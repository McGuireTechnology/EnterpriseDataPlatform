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defaultThemeVersion="166925"/>
  <mc:AlternateContent xmlns:mc="http://schemas.openxmlformats.org/markup-compatibility/2006">
    <mc:Choice Requires="x15">
      <x15ac:absPath xmlns:x15ac="http://schemas.microsoft.com/office/spreadsheetml/2010/11/ac" url="/Users/mjohnson/Desktop/"/>
    </mc:Choice>
  </mc:AlternateContent>
  <xr:revisionPtr revIDLastSave="0" documentId="8_{90610B6B-1957-7F4C-AE79-CD8B011F228B}" xr6:coauthVersionLast="47" xr6:coauthVersionMax="47" xr10:uidLastSave="{00000000-0000-0000-0000-000000000000}"/>
  <bookViews>
    <workbookView xWindow="-36980" yWindow="500" windowWidth="23100" windowHeight="20060" tabRatio="934" xr2:uid="{5FB309F1-118B-4514-8FE1-25A01A609E8C}"/>
  </bookViews>
  <sheets>
    <sheet name="Cover" sheetId="19" r:id="rId1"/>
    <sheet name="Read_Me" sheetId="22" r:id="rId2"/>
    <sheet name="Important Resources" sheetId="24" r:id="rId3"/>
    <sheet name="Risk Register Controls v8.1" sheetId="8" r:id="rId4"/>
    <sheet name="Legend" sheetId="10" r:id="rId5"/>
    <sheet name="Lookup Tables" sheetId="6" r:id="rId6"/>
    <sheet name="CIS CSAT Pro" sheetId="15" r:id="rId7"/>
    <sheet name="CIS-Hosted CSAT" sheetId="14" r:id="rId8"/>
    <sheet name="Risk Reg Controls v8.1 -Example" sheetId="25" r:id="rId9"/>
    <sheet name="CIS CSAT Pro - EXAMPLE" sheetId="13" r:id="rId10"/>
    <sheet name="CIS-Hosted CSAT - EXAMPLE" sheetId="18" r:id="rId11"/>
  </sheets>
  <definedNames>
    <definedName name="_Hlk82606169" localSheetId="6">'CIS CSAT Pro'!$G$16</definedName>
    <definedName name="Asset_Class" localSheetId="8">#REF!</definedName>
    <definedName name="Asset_Class">tblVCDBIndex[[#All],[Asset Class]]</definedName>
    <definedName name="Industry" localSheetId="8">#REF!</definedName>
    <definedName name="Industry" localSheetId="3">tblVCDBIndex[Asset Class]</definedName>
    <definedName name="Maturity_Score" localSheetId="8">#REF!</definedName>
    <definedName name="Maturity_Score">tblMaturityScores[Maturity Scores]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6" i="25" l="1"/>
  <c r="T82" i="25"/>
  <c r="T77" i="25"/>
  <c r="T76" i="25"/>
  <c r="T75" i="25"/>
  <c r="T74" i="25"/>
  <c r="T73" i="25"/>
  <c r="T66" i="25"/>
  <c r="T62" i="25"/>
  <c r="T58" i="25"/>
  <c r="T57" i="25"/>
  <c r="T56" i="25"/>
  <c r="T55" i="25"/>
  <c r="T54" i="25"/>
  <c r="T53" i="25"/>
  <c r="T46" i="25"/>
  <c r="T42" i="25"/>
  <c r="T38" i="25"/>
  <c r="T37" i="25"/>
  <c r="T36" i="25"/>
  <c r="T35" i="25"/>
  <c r="T34" i="25"/>
  <c r="T33" i="25"/>
  <c r="G88" i="25"/>
  <c r="T88" i="25" s="1"/>
  <c r="G87" i="25"/>
  <c r="T87" i="25" s="1"/>
  <c r="G86" i="25"/>
  <c r="H86" i="25" s="1"/>
  <c r="G85" i="25"/>
  <c r="H85" i="25" s="1"/>
  <c r="H84" i="25"/>
  <c r="G84" i="25"/>
  <c r="T84" i="25" s="1"/>
  <c r="H83" i="25"/>
  <c r="G83" i="25"/>
  <c r="T83" i="25" s="1"/>
  <c r="G82" i="25"/>
  <c r="H82" i="25" s="1"/>
  <c r="G81" i="25"/>
  <c r="T81" i="25" s="1"/>
  <c r="G80" i="25"/>
  <c r="T80" i="25" s="1"/>
  <c r="G79" i="25"/>
  <c r="T79" i="25" s="1"/>
  <c r="G78" i="25"/>
  <c r="T78" i="25" s="1"/>
  <c r="G77" i="25"/>
  <c r="H77" i="25" s="1"/>
  <c r="G76" i="25"/>
  <c r="H76" i="25" s="1"/>
  <c r="G75" i="25"/>
  <c r="H75" i="25" s="1"/>
  <c r="H74" i="25"/>
  <c r="G74" i="25"/>
  <c r="H73" i="25"/>
  <c r="G73" i="25"/>
  <c r="G72" i="25"/>
  <c r="H72" i="25" s="1"/>
  <c r="G71" i="25"/>
  <c r="H71" i="25" s="1"/>
  <c r="G70" i="25"/>
  <c r="H70" i="25" s="1"/>
  <c r="G69" i="25"/>
  <c r="H69" i="25" s="1"/>
  <c r="G68" i="25"/>
  <c r="T68" i="25" s="1"/>
  <c r="G67" i="25"/>
  <c r="T67" i="25" s="1"/>
  <c r="G66" i="25"/>
  <c r="H66" i="25" s="1"/>
  <c r="G65" i="25"/>
  <c r="H65" i="25" s="1"/>
  <c r="H64" i="25"/>
  <c r="G64" i="25"/>
  <c r="T64" i="25" s="1"/>
  <c r="H63" i="25"/>
  <c r="G63" i="25"/>
  <c r="T63" i="25" s="1"/>
  <c r="G62" i="25"/>
  <c r="H62" i="25" s="1"/>
  <c r="G61" i="25"/>
  <c r="T61" i="25" s="1"/>
  <c r="G60" i="25"/>
  <c r="T60" i="25" s="1"/>
  <c r="G59" i="25"/>
  <c r="T59" i="25" s="1"/>
  <c r="G58" i="25"/>
  <c r="H58" i="25" s="1"/>
  <c r="G57" i="25"/>
  <c r="H57" i="25" s="1"/>
  <c r="G56" i="25"/>
  <c r="H56" i="25" s="1"/>
  <c r="G55" i="25"/>
  <c r="H55" i="25" s="1"/>
  <c r="H54" i="25"/>
  <c r="G54" i="25"/>
  <c r="H53" i="25"/>
  <c r="G53" i="25"/>
  <c r="G52" i="25"/>
  <c r="H52" i="25" s="1"/>
  <c r="G51" i="25"/>
  <c r="H51" i="25" s="1"/>
  <c r="G50" i="25"/>
  <c r="H50" i="25" s="1"/>
  <c r="G49" i="25"/>
  <c r="H49" i="25" s="1"/>
  <c r="G48" i="25"/>
  <c r="T48" i="25" s="1"/>
  <c r="G47" i="25"/>
  <c r="T47" i="25" s="1"/>
  <c r="G46" i="25"/>
  <c r="H46" i="25" s="1"/>
  <c r="G45" i="25"/>
  <c r="H45" i="25" s="1"/>
  <c r="H44" i="25"/>
  <c r="G44" i="25"/>
  <c r="T44" i="25" s="1"/>
  <c r="H43" i="25"/>
  <c r="G43" i="25"/>
  <c r="T43" i="25" s="1"/>
  <c r="G42" i="25"/>
  <c r="H42" i="25" s="1"/>
  <c r="G41" i="25"/>
  <c r="T41" i="25" s="1"/>
  <c r="G40" i="25"/>
  <c r="T40" i="25" s="1"/>
  <c r="G39" i="25"/>
  <c r="T39" i="25" s="1"/>
  <c r="G38" i="25"/>
  <c r="H38" i="25" s="1"/>
  <c r="G37" i="25"/>
  <c r="H37" i="25" s="1"/>
  <c r="G36" i="25"/>
  <c r="H36" i="25" s="1"/>
  <c r="G35" i="25"/>
  <c r="H35" i="25" s="1"/>
  <c r="H34" i="25"/>
  <c r="G34" i="25"/>
  <c r="H33" i="25"/>
  <c r="G33" i="25"/>
  <c r="T45" i="25" l="1"/>
  <c r="T65" i="25"/>
  <c r="T85" i="25"/>
  <c r="T49" i="25"/>
  <c r="T69" i="25"/>
  <c r="H47" i="25"/>
  <c r="H67" i="25"/>
  <c r="H87" i="25"/>
  <c r="T50" i="25"/>
  <c r="T70" i="25"/>
  <c r="T51" i="25"/>
  <c r="T71" i="25"/>
  <c r="H48" i="25"/>
  <c r="H68" i="25"/>
  <c r="H78" i="25"/>
  <c r="H88" i="25"/>
  <c r="T52" i="25"/>
  <c r="T72" i="25"/>
  <c r="H39" i="25"/>
  <c r="H59" i="25"/>
  <c r="H79" i="25"/>
  <c r="H40" i="25"/>
  <c r="H60" i="25"/>
  <c r="H80" i="25"/>
  <c r="H41" i="25"/>
  <c r="H61" i="25"/>
  <c r="H81" i="25"/>
  <c r="I33" i="25" l="1"/>
  <c r="J33" i="25"/>
  <c r="K33" i="25"/>
  <c r="U33" i="25"/>
  <c r="V33" i="25"/>
  <c r="W33" i="25"/>
  <c r="AD33" i="25"/>
  <c r="AF33" i="25" s="1"/>
  <c r="I34" i="25"/>
  <c r="J34" i="25"/>
  <c r="K34" i="25"/>
  <c r="U34" i="25"/>
  <c r="V34" i="25"/>
  <c r="W34" i="25"/>
  <c r="AD34" i="25"/>
  <c r="AF34" i="25" s="1"/>
  <c r="I35" i="25"/>
  <c r="L35" i="25" s="1"/>
  <c r="J35" i="25"/>
  <c r="K35" i="25"/>
  <c r="U35" i="25"/>
  <c r="V35" i="25"/>
  <c r="W35" i="25"/>
  <c r="AD35" i="25"/>
  <c r="AF35" i="25"/>
  <c r="I36" i="25"/>
  <c r="J36" i="25"/>
  <c r="K36" i="25"/>
  <c r="U36" i="25"/>
  <c r="V36" i="25"/>
  <c r="W36" i="25"/>
  <c r="AD36" i="25"/>
  <c r="AF36" i="25" s="1"/>
  <c r="I37" i="25"/>
  <c r="J37" i="25"/>
  <c r="K37" i="25"/>
  <c r="U37" i="25"/>
  <c r="V37" i="25"/>
  <c r="W37" i="25"/>
  <c r="AD37" i="25"/>
  <c r="AF37" i="25" s="1"/>
  <c r="I38" i="25"/>
  <c r="J38" i="25"/>
  <c r="K38" i="25"/>
  <c r="U38" i="25"/>
  <c r="V38" i="25"/>
  <c r="W38" i="25"/>
  <c r="AD38" i="25"/>
  <c r="AF38" i="25" s="1"/>
  <c r="I39" i="25"/>
  <c r="J39" i="25"/>
  <c r="K39" i="25"/>
  <c r="U39" i="25"/>
  <c r="V39" i="25"/>
  <c r="W39" i="25"/>
  <c r="AD39" i="25"/>
  <c r="AF39" i="25"/>
  <c r="I40" i="25"/>
  <c r="J40" i="25"/>
  <c r="K40" i="25"/>
  <c r="U40" i="25"/>
  <c r="V40" i="25"/>
  <c r="W40" i="25"/>
  <c r="AD40" i="25"/>
  <c r="AF40" i="25" s="1"/>
  <c r="I41" i="25"/>
  <c r="J41" i="25"/>
  <c r="K41" i="25"/>
  <c r="U41" i="25"/>
  <c r="V41" i="25"/>
  <c r="W41" i="25"/>
  <c r="AD41" i="25"/>
  <c r="AF41" i="25" s="1"/>
  <c r="I42" i="25"/>
  <c r="J42" i="25"/>
  <c r="K42" i="25"/>
  <c r="U42" i="25"/>
  <c r="V42" i="25"/>
  <c r="W42" i="25"/>
  <c r="AD42" i="25"/>
  <c r="AF42" i="25" s="1"/>
  <c r="I43" i="25"/>
  <c r="J43" i="25"/>
  <c r="K43" i="25"/>
  <c r="U43" i="25"/>
  <c r="V43" i="25"/>
  <c r="W43" i="25"/>
  <c r="I44" i="25"/>
  <c r="J44" i="25"/>
  <c r="K44" i="25"/>
  <c r="U44" i="25"/>
  <c r="V44" i="25"/>
  <c r="W44" i="25"/>
  <c r="I45" i="25"/>
  <c r="J45" i="25"/>
  <c r="K45" i="25"/>
  <c r="U45" i="25"/>
  <c r="V45" i="25"/>
  <c r="W45" i="25"/>
  <c r="I46" i="25"/>
  <c r="J46" i="25"/>
  <c r="K46" i="25"/>
  <c r="U46" i="25"/>
  <c r="V46" i="25"/>
  <c r="W46" i="25"/>
  <c r="I47" i="25"/>
  <c r="J47" i="25"/>
  <c r="K47" i="25"/>
  <c r="U47" i="25"/>
  <c r="V47" i="25"/>
  <c r="W47" i="25"/>
  <c r="I48" i="25"/>
  <c r="J48" i="25"/>
  <c r="K48" i="25"/>
  <c r="U48" i="25"/>
  <c r="V48" i="25"/>
  <c r="W48" i="25"/>
  <c r="I49" i="25"/>
  <c r="J49" i="25"/>
  <c r="K49" i="25"/>
  <c r="U49" i="25"/>
  <c r="V49" i="25"/>
  <c r="W49" i="25"/>
  <c r="I50" i="25"/>
  <c r="J50" i="25"/>
  <c r="K50" i="25"/>
  <c r="U50" i="25"/>
  <c r="V50" i="25"/>
  <c r="W50" i="25"/>
  <c r="I51" i="25"/>
  <c r="J51" i="25"/>
  <c r="K51" i="25"/>
  <c r="U51" i="25"/>
  <c r="V51" i="25"/>
  <c r="W51" i="25"/>
  <c r="I52" i="25"/>
  <c r="J52" i="25"/>
  <c r="K52" i="25"/>
  <c r="U52" i="25"/>
  <c r="V52" i="25"/>
  <c r="W52" i="25"/>
  <c r="I53" i="25"/>
  <c r="J53" i="25"/>
  <c r="K53" i="25"/>
  <c r="U53" i="25"/>
  <c r="V53" i="25"/>
  <c r="W53" i="25"/>
  <c r="I54" i="25"/>
  <c r="J54" i="25"/>
  <c r="K54" i="25"/>
  <c r="U54" i="25"/>
  <c r="V54" i="25"/>
  <c r="W54" i="25"/>
  <c r="I55" i="25"/>
  <c r="J55" i="25"/>
  <c r="K55" i="25"/>
  <c r="U55" i="25"/>
  <c r="V55" i="25"/>
  <c r="W55" i="25"/>
  <c r="I56" i="25"/>
  <c r="J56" i="25"/>
  <c r="K56" i="25"/>
  <c r="U56" i="25"/>
  <c r="X56" i="25" s="1"/>
  <c r="V56" i="25"/>
  <c r="W56" i="25"/>
  <c r="I57" i="25"/>
  <c r="J57" i="25"/>
  <c r="K57" i="25"/>
  <c r="U57" i="25"/>
  <c r="V57" i="25"/>
  <c r="W57" i="25"/>
  <c r="I58" i="25"/>
  <c r="J58" i="25"/>
  <c r="K58" i="25"/>
  <c r="U58" i="25"/>
  <c r="V58" i="25"/>
  <c r="W58" i="25"/>
  <c r="I59" i="25"/>
  <c r="J59" i="25"/>
  <c r="K59" i="25"/>
  <c r="U59" i="25"/>
  <c r="V59" i="25"/>
  <c r="W59" i="25"/>
  <c r="I60" i="25"/>
  <c r="J60" i="25"/>
  <c r="K60" i="25"/>
  <c r="U60" i="25"/>
  <c r="V60" i="25"/>
  <c r="W60" i="25"/>
  <c r="X60" i="25"/>
  <c r="I61" i="25"/>
  <c r="J61" i="25"/>
  <c r="K61" i="25"/>
  <c r="U61" i="25"/>
  <c r="V61" i="25"/>
  <c r="W61" i="25"/>
  <c r="L62" i="25"/>
  <c r="M62" i="25" s="1"/>
  <c r="I62" i="25"/>
  <c r="J62" i="25"/>
  <c r="K62" i="25"/>
  <c r="X62" i="25"/>
  <c r="U62" i="25"/>
  <c r="V62" i="25"/>
  <c r="W62" i="25"/>
  <c r="I63" i="25"/>
  <c r="J63" i="25"/>
  <c r="K63" i="25"/>
  <c r="U63" i="25"/>
  <c r="V63" i="25"/>
  <c r="W63" i="25"/>
  <c r="I64" i="25"/>
  <c r="J64" i="25"/>
  <c r="K64" i="25"/>
  <c r="U64" i="25"/>
  <c r="V64" i="25"/>
  <c r="W64" i="25"/>
  <c r="L65" i="25"/>
  <c r="I65" i="25"/>
  <c r="J65" i="25"/>
  <c r="K65" i="25"/>
  <c r="U65" i="25"/>
  <c r="V65" i="25"/>
  <c r="W65" i="25"/>
  <c r="I66" i="25"/>
  <c r="J66" i="25"/>
  <c r="L66" i="25" s="1"/>
  <c r="K66" i="25"/>
  <c r="U66" i="25"/>
  <c r="V66" i="25"/>
  <c r="W66" i="25"/>
  <c r="X67" i="25"/>
  <c r="I67" i="25"/>
  <c r="J67" i="25"/>
  <c r="K67" i="25"/>
  <c r="U67" i="25"/>
  <c r="V67" i="25"/>
  <c r="W67" i="25"/>
  <c r="I68" i="25"/>
  <c r="J68" i="25"/>
  <c r="K68" i="25"/>
  <c r="U68" i="25"/>
  <c r="V68" i="25"/>
  <c r="W68" i="25"/>
  <c r="L69" i="25"/>
  <c r="I69" i="25"/>
  <c r="J69" i="25"/>
  <c r="K69" i="25"/>
  <c r="U69" i="25"/>
  <c r="V69" i="25"/>
  <c r="W69" i="25"/>
  <c r="I70" i="25"/>
  <c r="J70" i="25"/>
  <c r="K70" i="25"/>
  <c r="U70" i="25"/>
  <c r="V70" i="25"/>
  <c r="W70" i="25"/>
  <c r="I71" i="25"/>
  <c r="J71" i="25"/>
  <c r="K71" i="25"/>
  <c r="U71" i="25"/>
  <c r="V71" i="25"/>
  <c r="W71" i="25"/>
  <c r="I72" i="25"/>
  <c r="J72" i="25"/>
  <c r="K72" i="25"/>
  <c r="U72" i="25"/>
  <c r="V72" i="25"/>
  <c r="W72" i="25"/>
  <c r="I73" i="25"/>
  <c r="J73" i="25"/>
  <c r="K73" i="25"/>
  <c r="U73" i="25"/>
  <c r="V73" i="25"/>
  <c r="W73" i="25"/>
  <c r="I74" i="25"/>
  <c r="J74" i="25"/>
  <c r="K74" i="25"/>
  <c r="U74" i="25"/>
  <c r="V74" i="25"/>
  <c r="W74" i="25"/>
  <c r="I75" i="25"/>
  <c r="J75" i="25"/>
  <c r="K75" i="25"/>
  <c r="U75" i="25"/>
  <c r="V75" i="25"/>
  <c r="W75" i="25"/>
  <c r="I76" i="25"/>
  <c r="L76" i="25" s="1"/>
  <c r="M76" i="25" s="1"/>
  <c r="J76" i="25"/>
  <c r="K76" i="25"/>
  <c r="U76" i="25"/>
  <c r="V76" i="25"/>
  <c r="W76" i="25"/>
  <c r="L77" i="25"/>
  <c r="I77" i="25"/>
  <c r="J77" i="25"/>
  <c r="K77" i="25"/>
  <c r="U77" i="25"/>
  <c r="V77" i="25"/>
  <c r="W77" i="25"/>
  <c r="I78" i="25"/>
  <c r="J78" i="25"/>
  <c r="K78" i="25"/>
  <c r="U78" i="25"/>
  <c r="V78" i="25"/>
  <c r="W78" i="25"/>
  <c r="I79" i="25"/>
  <c r="J79" i="25"/>
  <c r="K79" i="25"/>
  <c r="U79" i="25"/>
  <c r="V79" i="25"/>
  <c r="W79" i="25"/>
  <c r="I80" i="25"/>
  <c r="J80" i="25"/>
  <c r="K80" i="25"/>
  <c r="X80" i="25"/>
  <c r="U80" i="25"/>
  <c r="V80" i="25"/>
  <c r="W80" i="25"/>
  <c r="I81" i="25"/>
  <c r="J81" i="25"/>
  <c r="K81" i="25"/>
  <c r="U81" i="25"/>
  <c r="V81" i="25"/>
  <c r="W81" i="25"/>
  <c r="L82" i="25"/>
  <c r="I82" i="25"/>
  <c r="J82" i="25"/>
  <c r="K82" i="25"/>
  <c r="U82" i="25"/>
  <c r="V82" i="25"/>
  <c r="W82" i="25"/>
  <c r="I83" i="25"/>
  <c r="J83" i="25"/>
  <c r="K83" i="25"/>
  <c r="U83" i="25"/>
  <c r="V83" i="25"/>
  <c r="W83" i="25"/>
  <c r="I84" i="25"/>
  <c r="L84" i="25" s="1"/>
  <c r="J84" i="25"/>
  <c r="K84" i="25"/>
  <c r="U84" i="25"/>
  <c r="V84" i="25"/>
  <c r="X84" i="25" s="1"/>
  <c r="W84" i="25"/>
  <c r="L85" i="25"/>
  <c r="I85" i="25"/>
  <c r="J85" i="25"/>
  <c r="K85" i="25"/>
  <c r="U85" i="25"/>
  <c r="V85" i="25"/>
  <c r="W85" i="25"/>
  <c r="I86" i="25"/>
  <c r="J86" i="25"/>
  <c r="K86" i="25"/>
  <c r="U86" i="25"/>
  <c r="V86" i="25"/>
  <c r="W86" i="25"/>
  <c r="I87" i="25"/>
  <c r="J87" i="25"/>
  <c r="K87" i="25"/>
  <c r="U87" i="25"/>
  <c r="V87" i="25"/>
  <c r="W87" i="25"/>
  <c r="L88" i="25"/>
  <c r="I88" i="25"/>
  <c r="J88" i="25"/>
  <c r="K88" i="25"/>
  <c r="U88" i="25"/>
  <c r="V88" i="25"/>
  <c r="W88" i="25"/>
  <c r="X83" i="25" l="1"/>
  <c r="L45" i="25"/>
  <c r="M45" i="25" s="1"/>
  <c r="X74" i="25"/>
  <c r="M85" i="25"/>
  <c r="X75" i="25"/>
  <c r="L73" i="25"/>
  <c r="M73" i="25" s="1"/>
  <c r="X65" i="25"/>
  <c r="Y65" i="25" s="1"/>
  <c r="X53" i="25"/>
  <c r="Y53" i="25" s="1"/>
  <c r="X48" i="25"/>
  <c r="L87" i="25"/>
  <c r="L56" i="25"/>
  <c r="L80" i="25"/>
  <c r="M80" i="25" s="1"/>
  <c r="X70" i="25"/>
  <c r="L68" i="25"/>
  <c r="M68" i="25" s="1"/>
  <c r="X45" i="25"/>
  <c r="L41" i="25"/>
  <c r="M41" i="25" s="1"/>
  <c r="X34" i="25"/>
  <c r="Y34" i="25" s="1"/>
  <c r="L58" i="25"/>
  <c r="M58" i="25" s="1"/>
  <c r="L48" i="25"/>
  <c r="Y48" i="25" s="1"/>
  <c r="L75" i="25"/>
  <c r="Y75" i="25" s="1"/>
  <c r="L53" i="25"/>
  <c r="L43" i="25"/>
  <c r="L34" i="25"/>
  <c r="X82" i="25"/>
  <c r="Y82" i="25" s="1"/>
  <c r="X87" i="25"/>
  <c r="Y87" i="25" s="1"/>
  <c r="L70" i="25"/>
  <c r="M70" i="25" s="1"/>
  <c r="X55" i="25"/>
  <c r="Y55" i="25" s="1"/>
  <c r="X50" i="25"/>
  <c r="X38" i="25"/>
  <c r="X77" i="25"/>
  <c r="Y77" i="25" s="1"/>
  <c r="L60" i="25"/>
  <c r="X79" i="25"/>
  <c r="L67" i="25"/>
  <c r="Y67" i="25" s="1"/>
  <c r="L55" i="25"/>
  <c r="L50" i="25"/>
  <c r="M50" i="25" s="1"/>
  <c r="L38" i="25"/>
  <c r="M38" i="25" s="1"/>
  <c r="L72" i="25"/>
  <c r="Y72" i="25" s="1"/>
  <c r="X42" i="25"/>
  <c r="X33" i="25"/>
  <c r="Y33" i="25" s="1"/>
  <c r="X72" i="25"/>
  <c r="L57" i="25"/>
  <c r="M57" i="25" s="1"/>
  <c r="X88" i="25"/>
  <c r="Y88" i="25" s="1"/>
  <c r="X76" i="25"/>
  <c r="L79" i="25"/>
  <c r="L52" i="25"/>
  <c r="Y52" i="25" s="1"/>
  <c r="X85" i="25"/>
  <c r="Y85" i="25" s="1"/>
  <c r="L64" i="25"/>
  <c r="M64" i="25" s="1"/>
  <c r="X59" i="25"/>
  <c r="Y59" i="25" s="1"/>
  <c r="X52" i="25"/>
  <c r="X37" i="25"/>
  <c r="L33" i="25"/>
  <c r="M33" i="25" s="1"/>
  <c r="L46" i="25"/>
  <c r="L74" i="25"/>
  <c r="Y74" i="25" s="1"/>
  <c r="X71" i="25"/>
  <c r="L71" i="25"/>
  <c r="M71" i="25" s="1"/>
  <c r="X68" i="25"/>
  <c r="Y68" i="25" s="1"/>
  <c r="L59" i="25"/>
  <c r="L54" i="25"/>
  <c r="M54" i="25" s="1"/>
  <c r="X51" i="25"/>
  <c r="L49" i="25"/>
  <c r="M49" i="25" s="1"/>
  <c r="L44" i="25"/>
  <c r="L83" i="25"/>
  <c r="Y83" i="25" s="1"/>
  <c r="L78" i="25"/>
  <c r="M78" i="25" s="1"/>
  <c r="X63" i="25"/>
  <c r="L61" i="25"/>
  <c r="M61" i="25" s="1"/>
  <c r="X41" i="25"/>
  <c r="L37" i="25"/>
  <c r="M37" i="25" s="1"/>
  <c r="M87" i="25"/>
  <c r="X58" i="25"/>
  <c r="M56" i="25"/>
  <c r="Y56" i="25"/>
  <c r="L51" i="25"/>
  <c r="L39" i="25"/>
  <c r="L63" i="25"/>
  <c r="M69" i="25"/>
  <c r="M66" i="25"/>
  <c r="X61" i="25"/>
  <c r="M46" i="25"/>
  <c r="M84" i="25"/>
  <c r="Y84" i="25"/>
  <c r="M77" i="25"/>
  <c r="X57" i="25"/>
  <c r="M35" i="25"/>
  <c r="L86" i="25"/>
  <c r="Y60" i="25"/>
  <c r="M60" i="25"/>
  <c r="L36" i="25"/>
  <c r="M44" i="25"/>
  <c r="M43" i="25"/>
  <c r="X64" i="25"/>
  <c r="M55" i="25"/>
  <c r="Y38" i="25"/>
  <c r="M88" i="25"/>
  <c r="M53" i="25"/>
  <c r="M59" i="25"/>
  <c r="X73" i="25"/>
  <c r="Y73" i="25" s="1"/>
  <c r="M65" i="25"/>
  <c r="M72" i="25"/>
  <c r="L47" i="25"/>
  <c r="X44" i="25"/>
  <c r="L40" i="25"/>
  <c r="M34" i="25"/>
  <c r="M79" i="25"/>
  <c r="X49" i="25"/>
  <c r="L42" i="25"/>
  <c r="L81" i="25"/>
  <c r="X54" i="25"/>
  <c r="X43" i="25"/>
  <c r="Y43" i="25" s="1"/>
  <c r="X39" i="25"/>
  <c r="X35" i="25"/>
  <c r="Y35" i="25" s="1"/>
  <c r="X86" i="25"/>
  <c r="X66" i="25"/>
  <c r="Y66" i="25" s="1"/>
  <c r="X46" i="25"/>
  <c r="Y46" i="25" s="1"/>
  <c r="X69" i="25"/>
  <c r="Y69" i="25" s="1"/>
  <c r="M82" i="25"/>
  <c r="X40" i="25"/>
  <c r="X36" i="25"/>
  <c r="X81" i="25"/>
  <c r="Y76" i="25"/>
  <c r="X78" i="25"/>
  <c r="Y62" i="25"/>
  <c r="X47" i="25"/>
  <c r="Y37" i="25" l="1"/>
  <c r="Y49" i="25"/>
  <c r="Y71" i="25"/>
  <c r="Y79" i="25"/>
  <c r="M75" i="25"/>
  <c r="Y80" i="25"/>
  <c r="M52" i="25"/>
  <c r="M83" i="25"/>
  <c r="Y41" i="25"/>
  <c r="Y64" i="25"/>
  <c r="M67" i="25"/>
  <c r="Y78" i="25"/>
  <c r="Y44" i="25"/>
  <c r="M48" i="25"/>
  <c r="Y57" i="25"/>
  <c r="Y58" i="25"/>
  <c r="Y70" i="25"/>
  <c r="Y50" i="25"/>
  <c r="M74" i="25"/>
  <c r="Y45" i="25"/>
  <c r="Y61" i="25"/>
  <c r="Y54" i="25"/>
  <c r="Y63" i="25"/>
  <c r="M63" i="25"/>
  <c r="Y42" i="25"/>
  <c r="M42" i="25"/>
  <c r="M40" i="25"/>
  <c r="Y40" i="25"/>
  <c r="M36" i="25"/>
  <c r="Y36" i="25"/>
  <c r="Y39" i="25"/>
  <c r="M39" i="25"/>
  <c r="M47" i="25"/>
  <c r="Y47" i="25"/>
  <c r="Y51" i="25"/>
  <c r="M51" i="25"/>
  <c r="M86" i="25"/>
  <c r="Y86" i="25"/>
  <c r="M81" i="25"/>
  <c r="Y81" i="25"/>
  <c r="AD33" i="8" l="1"/>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E35" i="6"/>
  <c r="E36" i="6"/>
  <c r="E37" i="6"/>
  <c r="E38" i="6"/>
  <c r="E39" i="6"/>
  <c r="E40" i="6"/>
  <c r="D35" i="6"/>
  <c r="D36" i="6"/>
  <c r="D37" i="6"/>
  <c r="D38" i="6"/>
  <c r="D39" i="6"/>
  <c r="D40" i="6"/>
  <c r="D57" i="13" l="1"/>
  <c r="E57" i="13" s="1"/>
  <c r="D56" i="13"/>
  <c r="E56" i="13" s="1"/>
  <c r="D55" i="13"/>
  <c r="E55" i="13" s="1"/>
  <c r="D54" i="13"/>
  <c r="E54" i="13" s="1"/>
  <c r="J69" i="18"/>
  <c r="I69" i="18"/>
  <c r="H69" i="18"/>
  <c r="G69" i="18"/>
  <c r="J68" i="18"/>
  <c r="I68" i="18"/>
  <c r="H68" i="18"/>
  <c r="G68" i="18"/>
  <c r="J67" i="18"/>
  <c r="I67" i="18"/>
  <c r="H67" i="18"/>
  <c r="G67" i="18"/>
  <c r="J66" i="18"/>
  <c r="I66" i="18"/>
  <c r="H66" i="18"/>
  <c r="G66" i="18"/>
  <c r="J65" i="18"/>
  <c r="I65" i="18"/>
  <c r="H65" i="18"/>
  <c r="G65" i="18"/>
  <c r="J64" i="18"/>
  <c r="I64" i="18"/>
  <c r="H64" i="18"/>
  <c r="G64" i="18"/>
  <c r="J63" i="18"/>
  <c r="I63" i="18"/>
  <c r="H63" i="18"/>
  <c r="G63" i="18"/>
  <c r="J62" i="18"/>
  <c r="I62" i="18"/>
  <c r="H62" i="18"/>
  <c r="G62" i="18"/>
  <c r="J61" i="18"/>
  <c r="I61" i="18"/>
  <c r="H61" i="18"/>
  <c r="G61" i="18"/>
  <c r="J60" i="18"/>
  <c r="I60" i="18"/>
  <c r="H60" i="18"/>
  <c r="G60" i="18"/>
  <c r="J59" i="18"/>
  <c r="I59" i="18"/>
  <c r="H59" i="18"/>
  <c r="G59" i="18"/>
  <c r="J58" i="18"/>
  <c r="I58" i="18"/>
  <c r="H58" i="18"/>
  <c r="G58" i="18"/>
  <c r="J57" i="18"/>
  <c r="I57" i="18"/>
  <c r="H57" i="18"/>
  <c r="G57" i="18"/>
  <c r="J56" i="18"/>
  <c r="I56" i="18"/>
  <c r="H56" i="18"/>
  <c r="G56" i="18"/>
  <c r="J55" i="18"/>
  <c r="I55" i="18"/>
  <c r="H55" i="18"/>
  <c r="G55" i="18"/>
  <c r="J54" i="18"/>
  <c r="I54" i="18"/>
  <c r="H54" i="18"/>
  <c r="G54" i="18"/>
  <c r="J53" i="18"/>
  <c r="I53" i="18"/>
  <c r="H53" i="18"/>
  <c r="G53" i="18"/>
  <c r="J52" i="18"/>
  <c r="I52" i="18"/>
  <c r="H52" i="18"/>
  <c r="G52" i="18"/>
  <c r="J51" i="18"/>
  <c r="I51" i="18"/>
  <c r="H51" i="18"/>
  <c r="G51" i="18"/>
  <c r="J50" i="18"/>
  <c r="I50" i="18"/>
  <c r="H50" i="18"/>
  <c r="G50" i="18"/>
  <c r="J49" i="18"/>
  <c r="I49" i="18"/>
  <c r="H49" i="18"/>
  <c r="G49" i="18"/>
  <c r="J48" i="18"/>
  <c r="I48" i="18"/>
  <c r="H48" i="18"/>
  <c r="G48" i="18"/>
  <c r="J47" i="18"/>
  <c r="I47" i="18"/>
  <c r="H47" i="18"/>
  <c r="G47" i="18"/>
  <c r="J46" i="18"/>
  <c r="I46" i="18"/>
  <c r="H46" i="18"/>
  <c r="G46" i="18"/>
  <c r="J45" i="18"/>
  <c r="I45" i="18"/>
  <c r="H45" i="18"/>
  <c r="G45" i="18"/>
  <c r="J44" i="18"/>
  <c r="I44" i="18"/>
  <c r="H44" i="18"/>
  <c r="G44" i="18"/>
  <c r="J43" i="18"/>
  <c r="I43" i="18"/>
  <c r="H43" i="18"/>
  <c r="G43" i="18"/>
  <c r="J42" i="18"/>
  <c r="I42" i="18"/>
  <c r="H42" i="18"/>
  <c r="G42" i="18"/>
  <c r="J41" i="18"/>
  <c r="I41" i="18"/>
  <c r="H41" i="18"/>
  <c r="G41" i="18"/>
  <c r="J40" i="18"/>
  <c r="I40" i="18"/>
  <c r="H40" i="18"/>
  <c r="G40" i="18"/>
  <c r="J39" i="18"/>
  <c r="I39" i="18"/>
  <c r="H39" i="18"/>
  <c r="G39" i="18"/>
  <c r="J38" i="18"/>
  <c r="I38" i="18"/>
  <c r="H38" i="18"/>
  <c r="G38" i="18"/>
  <c r="J37" i="18"/>
  <c r="I37" i="18"/>
  <c r="H37" i="18"/>
  <c r="G37" i="18"/>
  <c r="J36" i="18"/>
  <c r="I36" i="18"/>
  <c r="H36" i="18"/>
  <c r="G36" i="18"/>
  <c r="J35" i="18"/>
  <c r="I35" i="18"/>
  <c r="H35" i="18"/>
  <c r="G35" i="18"/>
  <c r="J34" i="18"/>
  <c r="I34" i="18"/>
  <c r="H34" i="18"/>
  <c r="G34" i="18"/>
  <c r="J33" i="18"/>
  <c r="I33" i="18"/>
  <c r="H33" i="18"/>
  <c r="G33" i="18"/>
  <c r="J32" i="18"/>
  <c r="I32" i="18"/>
  <c r="H32" i="18"/>
  <c r="G32" i="18"/>
  <c r="J31" i="18"/>
  <c r="I31" i="18"/>
  <c r="H31" i="18"/>
  <c r="G31" i="18"/>
  <c r="J30" i="18"/>
  <c r="I30" i="18"/>
  <c r="H30" i="18"/>
  <c r="G30" i="18"/>
  <c r="J29" i="18"/>
  <c r="I29" i="18"/>
  <c r="H29" i="18"/>
  <c r="G29" i="18"/>
  <c r="J28" i="18"/>
  <c r="I28" i="18"/>
  <c r="H28" i="18"/>
  <c r="G28" i="18"/>
  <c r="J27" i="18"/>
  <c r="I27" i="18"/>
  <c r="H27" i="18"/>
  <c r="G27" i="18"/>
  <c r="J26" i="18"/>
  <c r="I26" i="18"/>
  <c r="H26" i="18"/>
  <c r="G26" i="18"/>
  <c r="J25" i="18"/>
  <c r="I25" i="18"/>
  <c r="H25" i="18"/>
  <c r="G25" i="18"/>
  <c r="J24" i="18"/>
  <c r="I24" i="18"/>
  <c r="H24" i="18"/>
  <c r="G24" i="18"/>
  <c r="J23" i="18"/>
  <c r="I23" i="18"/>
  <c r="H23" i="18"/>
  <c r="G23" i="18"/>
  <c r="J22" i="18"/>
  <c r="I22" i="18"/>
  <c r="H22" i="18"/>
  <c r="G22" i="18"/>
  <c r="J21" i="18"/>
  <c r="I21" i="18"/>
  <c r="H21" i="18"/>
  <c r="G21" i="18"/>
  <c r="J20" i="18"/>
  <c r="I20" i="18"/>
  <c r="H20" i="18"/>
  <c r="G20" i="18"/>
  <c r="J19" i="18"/>
  <c r="I19" i="18"/>
  <c r="H19" i="18"/>
  <c r="G19" i="18"/>
  <c r="J18" i="18"/>
  <c r="I18" i="18"/>
  <c r="H18" i="18"/>
  <c r="G18" i="18"/>
  <c r="J17" i="18"/>
  <c r="I17" i="18"/>
  <c r="H17" i="18"/>
  <c r="G17" i="18"/>
  <c r="J16" i="18"/>
  <c r="I16" i="18"/>
  <c r="H16" i="18"/>
  <c r="G16" i="18"/>
  <c r="J15" i="18"/>
  <c r="I15" i="18"/>
  <c r="H15" i="18"/>
  <c r="G15" i="18"/>
  <c r="J14" i="18"/>
  <c r="I14" i="18"/>
  <c r="H14" i="18"/>
  <c r="G14" i="18"/>
  <c r="K15" i="18" l="1"/>
  <c r="L15" i="18" s="1"/>
  <c r="K24" i="18"/>
  <c r="L24" i="18" s="1"/>
  <c r="K27" i="18"/>
  <c r="L27" i="18" s="1"/>
  <c r="K30" i="18"/>
  <c r="K33" i="18"/>
  <c r="L33" i="18" s="1"/>
  <c r="K36" i="18"/>
  <c r="K39" i="18"/>
  <c r="L39" i="18" s="1"/>
  <c r="K42" i="18"/>
  <c r="L42" i="18" s="1"/>
  <c r="K45" i="18"/>
  <c r="L45" i="18" s="1"/>
  <c r="K48" i="18"/>
  <c r="L48" i="18" s="1"/>
  <c r="K51" i="18"/>
  <c r="K54" i="18"/>
  <c r="L54" i="18" s="1"/>
  <c r="K58" i="18"/>
  <c r="L58" i="18" s="1"/>
  <c r="K18" i="18"/>
  <c r="L18" i="18" s="1"/>
  <c r="K21" i="18"/>
  <c r="L21" i="18" s="1"/>
  <c r="K17" i="18"/>
  <c r="L17" i="18" s="1"/>
  <c r="K29" i="18"/>
  <c r="L29" i="18" s="1"/>
  <c r="K16" i="18"/>
  <c r="L16" i="18" s="1"/>
  <c r="K19" i="18"/>
  <c r="L19" i="18" s="1"/>
  <c r="K25" i="18"/>
  <c r="L25" i="18" s="1"/>
  <c r="K28" i="18"/>
  <c r="L28" i="18" s="1"/>
  <c r="K31" i="18"/>
  <c r="L31" i="18" s="1"/>
  <c r="K34" i="18"/>
  <c r="L34" i="18" s="1"/>
  <c r="K37" i="18"/>
  <c r="L37" i="18" s="1"/>
  <c r="K40" i="18"/>
  <c r="L40" i="18" s="1"/>
  <c r="K43" i="18"/>
  <c r="L43" i="18" s="1"/>
  <c r="K49" i="18"/>
  <c r="L49" i="18" s="1"/>
  <c r="K52" i="18"/>
  <c r="L52" i="18" s="1"/>
  <c r="K55" i="18"/>
  <c r="L55" i="18" s="1"/>
  <c r="K57" i="18"/>
  <c r="L57" i="18" s="1"/>
  <c r="K22" i="18"/>
  <c r="L22" i="18" s="1"/>
  <c r="K14" i="18"/>
  <c r="L14" i="18" s="1"/>
  <c r="K20" i="18"/>
  <c r="L20" i="18" s="1"/>
  <c r="K26" i="18"/>
  <c r="L26" i="18" s="1"/>
  <c r="K32" i="18"/>
  <c r="L32" i="18" s="1"/>
  <c r="K38" i="18"/>
  <c r="L38" i="18" s="1"/>
  <c r="K41" i="18"/>
  <c r="L41" i="18" s="1"/>
  <c r="K44" i="18"/>
  <c r="L44" i="18" s="1"/>
  <c r="K47" i="18"/>
  <c r="L47" i="18" s="1"/>
  <c r="K50" i="18"/>
  <c r="L50" i="18" s="1"/>
  <c r="K53" i="18"/>
  <c r="L53" i="18" s="1"/>
  <c r="K56" i="18"/>
  <c r="L56" i="18" s="1"/>
  <c r="K59" i="18"/>
  <c r="L59" i="18" s="1"/>
  <c r="K62" i="18"/>
  <c r="L62" i="18" s="1"/>
  <c r="K65" i="18"/>
  <c r="L65" i="18" s="1"/>
  <c r="K68" i="18"/>
  <c r="L68" i="18" s="1"/>
  <c r="K46" i="18"/>
  <c r="L46" i="18" s="1"/>
  <c r="K60" i="18"/>
  <c r="L60" i="18" s="1"/>
  <c r="K63" i="18"/>
  <c r="L63" i="18" s="1"/>
  <c r="K66" i="18"/>
  <c r="L66" i="18" s="1"/>
  <c r="K69" i="18"/>
  <c r="L69" i="18" s="1"/>
  <c r="K64" i="18"/>
  <c r="L64" i="18" s="1"/>
  <c r="K67" i="18"/>
  <c r="L67" i="18" s="1"/>
  <c r="K61" i="18"/>
  <c r="L61" i="18" s="1"/>
  <c r="K35" i="18"/>
  <c r="L35" i="18" s="1"/>
  <c r="K23" i="18"/>
  <c r="L23" i="18" s="1"/>
  <c r="L30" i="18"/>
  <c r="L36" i="18"/>
  <c r="L51" i="18"/>
  <c r="D60" i="15" l="1"/>
  <c r="E60" i="15" s="1"/>
  <c r="D59" i="15"/>
  <c r="E59" i="15" s="1"/>
  <c r="D58" i="15"/>
  <c r="E58" i="15" s="1"/>
  <c r="D57" i="15"/>
  <c r="E57" i="15" s="1"/>
  <c r="D56" i="15"/>
  <c r="E56" i="15" s="1"/>
  <c r="D55" i="15"/>
  <c r="E55" i="15" s="1"/>
  <c r="D54" i="15"/>
  <c r="E54" i="15" s="1"/>
  <c r="D53" i="15"/>
  <c r="E53" i="15" s="1"/>
  <c r="D52" i="15"/>
  <c r="E52" i="15" s="1"/>
  <c r="D51" i="15"/>
  <c r="E51" i="15" s="1"/>
  <c r="D50" i="15"/>
  <c r="E50" i="15" s="1"/>
  <c r="D49" i="15"/>
  <c r="E49" i="15" s="1"/>
  <c r="D48" i="15"/>
  <c r="E48" i="15" s="1"/>
  <c r="D47" i="15"/>
  <c r="E47" i="15" s="1"/>
  <c r="D46" i="15"/>
  <c r="E46" i="15" s="1"/>
  <c r="D45" i="15"/>
  <c r="E45" i="15" s="1"/>
  <c r="D44" i="15"/>
  <c r="E44" i="15" s="1"/>
  <c r="D43" i="15"/>
  <c r="E43" i="15" s="1"/>
  <c r="D42" i="15"/>
  <c r="E42" i="15" s="1"/>
  <c r="D41" i="15"/>
  <c r="E41" i="15" s="1"/>
  <c r="D40" i="15"/>
  <c r="E40" i="15" s="1"/>
  <c r="D39" i="15"/>
  <c r="E39" i="15" s="1"/>
  <c r="D38" i="15"/>
  <c r="E38" i="15" s="1"/>
  <c r="D37" i="15"/>
  <c r="E37" i="15" s="1"/>
  <c r="D36" i="15"/>
  <c r="E36" i="15" s="1"/>
  <c r="D35" i="15"/>
  <c r="E35" i="15" s="1"/>
  <c r="D34" i="15"/>
  <c r="E34" i="15" s="1"/>
  <c r="D33" i="15"/>
  <c r="E33" i="15" s="1"/>
  <c r="D32" i="15"/>
  <c r="E32" i="15" s="1"/>
  <c r="D31" i="15"/>
  <c r="E31" i="15" s="1"/>
  <c r="D30" i="15"/>
  <c r="E30" i="15" s="1"/>
  <c r="D29" i="15"/>
  <c r="E29" i="15" s="1"/>
  <c r="D28" i="15"/>
  <c r="E28" i="15" s="1"/>
  <c r="D27" i="15"/>
  <c r="E27" i="15" s="1"/>
  <c r="D26" i="15"/>
  <c r="E26" i="15" s="1"/>
  <c r="D25" i="15"/>
  <c r="E25" i="15" s="1"/>
  <c r="D24" i="15"/>
  <c r="E24" i="15" s="1"/>
  <c r="D23" i="15"/>
  <c r="E23" i="15" s="1"/>
  <c r="D22" i="15"/>
  <c r="E22" i="15" s="1"/>
  <c r="D21" i="15"/>
  <c r="E21" i="15" s="1"/>
  <c r="D20" i="15"/>
  <c r="E20" i="15" s="1"/>
  <c r="D19" i="15"/>
  <c r="E19" i="15" s="1"/>
  <c r="D18" i="15"/>
  <c r="E18" i="15" s="1"/>
  <c r="D17" i="15"/>
  <c r="E17" i="15" s="1"/>
  <c r="D16" i="15"/>
  <c r="E16" i="15" s="1"/>
  <c r="D15" i="15"/>
  <c r="E15" i="15" s="1"/>
  <c r="D14" i="15"/>
  <c r="E14" i="15" s="1"/>
  <c r="D13" i="15"/>
  <c r="E13" i="15" s="1"/>
  <c r="D12" i="15"/>
  <c r="E12" i="15" s="1"/>
  <c r="D11" i="15"/>
  <c r="E11" i="15" s="1"/>
  <c r="D10" i="15"/>
  <c r="E10" i="15" s="1"/>
  <c r="D9" i="15"/>
  <c r="E9" i="15" s="1"/>
  <c r="D8" i="15"/>
  <c r="E8" i="15" s="1"/>
  <c r="D7" i="15"/>
  <c r="E7" i="15" s="1"/>
  <c r="D6" i="15"/>
  <c r="E6" i="15" s="1"/>
  <c r="D5" i="15"/>
  <c r="E5" i="15" s="1"/>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14" i="14"/>
  <c r="G15" i="14"/>
  <c r="K15" i="14" s="1"/>
  <c r="L15" i="14" s="1"/>
  <c r="G16" i="14"/>
  <c r="K16" i="14" s="1"/>
  <c r="L16" i="14" s="1"/>
  <c r="G17" i="14"/>
  <c r="K17" i="14" s="1"/>
  <c r="L17" i="14" s="1"/>
  <c r="G18" i="14"/>
  <c r="K18" i="14" s="1"/>
  <c r="L18" i="14" s="1"/>
  <c r="G19" i="14"/>
  <c r="K19" i="14" s="1"/>
  <c r="L19" i="14" s="1"/>
  <c r="G20" i="14"/>
  <c r="K20" i="14" s="1"/>
  <c r="L20" i="14" s="1"/>
  <c r="G21" i="14"/>
  <c r="K21" i="14" s="1"/>
  <c r="L21" i="14" s="1"/>
  <c r="G22" i="14"/>
  <c r="K22" i="14" s="1"/>
  <c r="L22" i="14" s="1"/>
  <c r="G23" i="14"/>
  <c r="K23" i="14" s="1"/>
  <c r="L23" i="14" s="1"/>
  <c r="G24" i="14"/>
  <c r="K24" i="14" s="1"/>
  <c r="L24" i="14" s="1"/>
  <c r="G25" i="14"/>
  <c r="K25" i="14" s="1"/>
  <c r="L25" i="14" s="1"/>
  <c r="G26" i="14"/>
  <c r="K26" i="14" s="1"/>
  <c r="L26" i="14" s="1"/>
  <c r="G27" i="14"/>
  <c r="K27" i="14" s="1"/>
  <c r="L27" i="14" s="1"/>
  <c r="G28" i="14"/>
  <c r="K28" i="14" s="1"/>
  <c r="L28" i="14" s="1"/>
  <c r="G29" i="14"/>
  <c r="K29" i="14" s="1"/>
  <c r="L29" i="14" s="1"/>
  <c r="G30" i="14"/>
  <c r="K30" i="14" s="1"/>
  <c r="L30" i="14" s="1"/>
  <c r="G31" i="14"/>
  <c r="K31" i="14" s="1"/>
  <c r="L31" i="14" s="1"/>
  <c r="G32" i="14"/>
  <c r="K32" i="14" s="1"/>
  <c r="L32" i="14" s="1"/>
  <c r="G33" i="14"/>
  <c r="K33" i="14" s="1"/>
  <c r="L33" i="14" s="1"/>
  <c r="G34" i="14"/>
  <c r="K34" i="14" s="1"/>
  <c r="L34" i="14" s="1"/>
  <c r="G35" i="14"/>
  <c r="K35" i="14" s="1"/>
  <c r="L35" i="14" s="1"/>
  <c r="G36" i="14"/>
  <c r="K36" i="14" s="1"/>
  <c r="L36" i="14" s="1"/>
  <c r="G37" i="14"/>
  <c r="K37" i="14" s="1"/>
  <c r="L37" i="14" s="1"/>
  <c r="G38" i="14"/>
  <c r="K38" i="14" s="1"/>
  <c r="L38" i="14" s="1"/>
  <c r="G39" i="14"/>
  <c r="K39" i="14" s="1"/>
  <c r="L39" i="14" s="1"/>
  <c r="G40" i="14"/>
  <c r="K40" i="14" s="1"/>
  <c r="L40" i="14" s="1"/>
  <c r="G41" i="14"/>
  <c r="K41" i="14" s="1"/>
  <c r="L41" i="14" s="1"/>
  <c r="G42" i="14"/>
  <c r="K42" i="14" s="1"/>
  <c r="L42" i="14" s="1"/>
  <c r="G43" i="14"/>
  <c r="K43" i="14" s="1"/>
  <c r="L43" i="14" s="1"/>
  <c r="G44" i="14"/>
  <c r="K44" i="14" s="1"/>
  <c r="L44" i="14" s="1"/>
  <c r="G45" i="14"/>
  <c r="K45" i="14" s="1"/>
  <c r="L45" i="14" s="1"/>
  <c r="G46" i="14"/>
  <c r="K46" i="14" s="1"/>
  <c r="L46" i="14" s="1"/>
  <c r="G47" i="14"/>
  <c r="K47" i="14" s="1"/>
  <c r="L47" i="14" s="1"/>
  <c r="G48" i="14"/>
  <c r="K48" i="14" s="1"/>
  <c r="L48" i="14" s="1"/>
  <c r="G49" i="14"/>
  <c r="K49" i="14" s="1"/>
  <c r="L49" i="14" s="1"/>
  <c r="G50" i="14"/>
  <c r="K50" i="14" s="1"/>
  <c r="L50" i="14" s="1"/>
  <c r="G51" i="14"/>
  <c r="K51" i="14" s="1"/>
  <c r="L51" i="14" s="1"/>
  <c r="G52" i="14"/>
  <c r="K52" i="14" s="1"/>
  <c r="L52" i="14" s="1"/>
  <c r="G53" i="14"/>
  <c r="K53" i="14" s="1"/>
  <c r="L53" i="14" s="1"/>
  <c r="G54" i="14"/>
  <c r="K54" i="14" s="1"/>
  <c r="L54" i="14" s="1"/>
  <c r="G55" i="14"/>
  <c r="K55" i="14" s="1"/>
  <c r="L55" i="14" s="1"/>
  <c r="G56" i="14"/>
  <c r="K56" i="14" s="1"/>
  <c r="L56" i="14" s="1"/>
  <c r="G57" i="14"/>
  <c r="K57" i="14" s="1"/>
  <c r="L57" i="14" s="1"/>
  <c r="G58" i="14"/>
  <c r="K58" i="14" s="1"/>
  <c r="L58" i="14" s="1"/>
  <c r="G59" i="14"/>
  <c r="K59" i="14" s="1"/>
  <c r="L59" i="14" s="1"/>
  <c r="G60" i="14"/>
  <c r="K60" i="14" s="1"/>
  <c r="L60" i="14" s="1"/>
  <c r="G61" i="14"/>
  <c r="K61" i="14" s="1"/>
  <c r="L61" i="14" s="1"/>
  <c r="G62" i="14"/>
  <c r="K62" i="14" s="1"/>
  <c r="L62" i="14" s="1"/>
  <c r="G63" i="14"/>
  <c r="K63" i="14" s="1"/>
  <c r="L63" i="14" s="1"/>
  <c r="G64" i="14"/>
  <c r="K64" i="14" s="1"/>
  <c r="L64" i="14" s="1"/>
  <c r="G65" i="14"/>
  <c r="K65" i="14" s="1"/>
  <c r="L65" i="14" s="1"/>
  <c r="G66" i="14"/>
  <c r="K66" i="14" s="1"/>
  <c r="L66" i="14" s="1"/>
  <c r="G67" i="14"/>
  <c r="K67" i="14" s="1"/>
  <c r="L67" i="14" s="1"/>
  <c r="G68" i="14"/>
  <c r="K68" i="14" s="1"/>
  <c r="L68" i="14" s="1"/>
  <c r="G69" i="14"/>
  <c r="K69" i="14" s="1"/>
  <c r="L69" i="14" s="1"/>
  <c r="G14" i="14"/>
  <c r="K14" i="14" s="1"/>
  <c r="L14" i="14" s="1"/>
  <c r="D60" i="13" l="1"/>
  <c r="E60" i="13" s="1"/>
  <c r="D59" i="13"/>
  <c r="E59" i="13" s="1"/>
  <c r="D58" i="13"/>
  <c r="E58" i="13" s="1"/>
  <c r="D53" i="13"/>
  <c r="E53" i="13" s="1"/>
  <c r="D52" i="13"/>
  <c r="E52" i="13" s="1"/>
  <c r="D51" i="13"/>
  <c r="E51" i="13" s="1"/>
  <c r="D50" i="13"/>
  <c r="E50" i="13" s="1"/>
  <c r="D49" i="13"/>
  <c r="E49" i="13" s="1"/>
  <c r="D48" i="13"/>
  <c r="E48" i="13" s="1"/>
  <c r="D47" i="13"/>
  <c r="E47" i="13" s="1"/>
  <c r="D46" i="13"/>
  <c r="E46" i="13" s="1"/>
  <c r="D45" i="13"/>
  <c r="E45" i="13" s="1"/>
  <c r="D44" i="13"/>
  <c r="E44" i="13" s="1"/>
  <c r="D43" i="13"/>
  <c r="E43" i="13" s="1"/>
  <c r="D42" i="13"/>
  <c r="E42" i="13" s="1"/>
  <c r="D41" i="13"/>
  <c r="E41" i="13" s="1"/>
  <c r="D40" i="13"/>
  <c r="E40" i="13" s="1"/>
  <c r="D39" i="13"/>
  <c r="E39" i="13" s="1"/>
  <c r="D38" i="13"/>
  <c r="E38" i="13" s="1"/>
  <c r="D37" i="13"/>
  <c r="E37" i="13" s="1"/>
  <c r="D36" i="13"/>
  <c r="E36" i="13" s="1"/>
  <c r="D35" i="13"/>
  <c r="E35" i="13" s="1"/>
  <c r="D34" i="13"/>
  <c r="E34" i="13" s="1"/>
  <c r="D33" i="13"/>
  <c r="E33" i="13" s="1"/>
  <c r="D32" i="13"/>
  <c r="E32" i="13" s="1"/>
  <c r="D31" i="13"/>
  <c r="E31" i="13" s="1"/>
  <c r="D30" i="13"/>
  <c r="E30" i="13" s="1"/>
  <c r="D29" i="13"/>
  <c r="E29" i="13" s="1"/>
  <c r="D28" i="13"/>
  <c r="E28" i="13" s="1"/>
  <c r="D27" i="13"/>
  <c r="E27" i="13" s="1"/>
  <c r="D26" i="13"/>
  <c r="E26" i="13" s="1"/>
  <c r="D25" i="13"/>
  <c r="E25" i="13" s="1"/>
  <c r="D24" i="13"/>
  <c r="E24" i="13" s="1"/>
  <c r="D23" i="13"/>
  <c r="E23" i="13" s="1"/>
  <c r="D22" i="13"/>
  <c r="E22" i="13" s="1"/>
  <c r="D21" i="13"/>
  <c r="E21" i="13" s="1"/>
  <c r="D20" i="13"/>
  <c r="E20" i="13" s="1"/>
  <c r="D19" i="13"/>
  <c r="E19" i="13" s="1"/>
  <c r="D18" i="13"/>
  <c r="E18" i="13" s="1"/>
  <c r="D17" i="13"/>
  <c r="E17" i="13" s="1"/>
  <c r="D16" i="13"/>
  <c r="E16" i="13" s="1"/>
  <c r="D15" i="13"/>
  <c r="E15" i="13" s="1"/>
  <c r="D14" i="13"/>
  <c r="E14" i="13" s="1"/>
  <c r="D13" i="13"/>
  <c r="E13" i="13" s="1"/>
  <c r="D12" i="13"/>
  <c r="E12" i="13" s="1"/>
  <c r="D11" i="13"/>
  <c r="E11" i="13" s="1"/>
  <c r="D10" i="13"/>
  <c r="E10" i="13" s="1"/>
  <c r="D9" i="13"/>
  <c r="E9" i="13" s="1"/>
  <c r="D8" i="13"/>
  <c r="E8" i="13" s="1"/>
  <c r="D7" i="13"/>
  <c r="E7" i="13" s="1"/>
  <c r="D6" i="13"/>
  <c r="E6" i="13" s="1"/>
  <c r="D5" i="13"/>
  <c r="E5" i="13" s="1"/>
  <c r="J76" i="8" l="1"/>
  <c r="J77" i="8"/>
  <c r="J78" i="8"/>
  <c r="J79" i="8"/>
  <c r="J80" i="8"/>
  <c r="J81" i="8"/>
  <c r="J82" i="8"/>
  <c r="J83" i="8"/>
  <c r="J84" i="8"/>
  <c r="J85" i="8"/>
  <c r="J86" i="8"/>
  <c r="J87" i="8"/>
  <c r="J88" i="8"/>
  <c r="K76" i="8"/>
  <c r="K77" i="8"/>
  <c r="K78" i="8"/>
  <c r="K79" i="8"/>
  <c r="K80" i="8"/>
  <c r="K81" i="8"/>
  <c r="K82" i="8"/>
  <c r="K83" i="8"/>
  <c r="K84" i="8"/>
  <c r="K85" i="8"/>
  <c r="K86" i="8"/>
  <c r="K87" i="8"/>
  <c r="K88" i="8"/>
  <c r="U76" i="8"/>
  <c r="U77" i="8"/>
  <c r="U78" i="8"/>
  <c r="U79" i="8"/>
  <c r="U80" i="8"/>
  <c r="U81" i="8"/>
  <c r="U82" i="8"/>
  <c r="U83" i="8"/>
  <c r="U84" i="8"/>
  <c r="U85" i="8"/>
  <c r="U86" i="8"/>
  <c r="U87" i="8"/>
  <c r="U88" i="8"/>
  <c r="V76" i="8"/>
  <c r="V77" i="8"/>
  <c r="V78" i="8"/>
  <c r="V79" i="8"/>
  <c r="V80" i="8"/>
  <c r="V81" i="8"/>
  <c r="V82" i="8"/>
  <c r="V83" i="8"/>
  <c r="V84" i="8"/>
  <c r="V85" i="8"/>
  <c r="V86" i="8"/>
  <c r="V87" i="8"/>
  <c r="V88" i="8"/>
  <c r="W76" i="8"/>
  <c r="W77" i="8"/>
  <c r="W78" i="8"/>
  <c r="W79" i="8"/>
  <c r="W80" i="8"/>
  <c r="W81" i="8"/>
  <c r="W82" i="8"/>
  <c r="W83" i="8"/>
  <c r="W84" i="8"/>
  <c r="W85" i="8"/>
  <c r="W86" i="8"/>
  <c r="W87" i="8"/>
  <c r="W88" i="8"/>
  <c r="W75" i="8"/>
  <c r="V75" i="8"/>
  <c r="U75" i="8"/>
  <c r="K75" i="8"/>
  <c r="J75" i="8"/>
  <c r="W74" i="8"/>
  <c r="V74" i="8"/>
  <c r="U74" i="8"/>
  <c r="K74" i="8"/>
  <c r="J74" i="8"/>
  <c r="W73" i="8"/>
  <c r="V73" i="8"/>
  <c r="U73" i="8"/>
  <c r="K73" i="8"/>
  <c r="J73" i="8"/>
  <c r="W72" i="8"/>
  <c r="V72" i="8"/>
  <c r="U72" i="8"/>
  <c r="K72" i="8"/>
  <c r="J72" i="8"/>
  <c r="W71" i="8"/>
  <c r="V71" i="8"/>
  <c r="U71" i="8"/>
  <c r="K71" i="8"/>
  <c r="J71" i="8"/>
  <c r="W70" i="8"/>
  <c r="V70" i="8"/>
  <c r="U70" i="8"/>
  <c r="K70" i="8"/>
  <c r="J70" i="8"/>
  <c r="W69" i="8"/>
  <c r="V69" i="8"/>
  <c r="U69" i="8"/>
  <c r="K69" i="8"/>
  <c r="J69" i="8"/>
  <c r="W68" i="8"/>
  <c r="V68" i="8"/>
  <c r="U68" i="8"/>
  <c r="K68" i="8"/>
  <c r="J68" i="8"/>
  <c r="W67" i="8"/>
  <c r="V67" i="8"/>
  <c r="U67" i="8"/>
  <c r="K67" i="8"/>
  <c r="J67" i="8"/>
  <c r="W66" i="8"/>
  <c r="V66" i="8"/>
  <c r="U66" i="8"/>
  <c r="K66" i="8"/>
  <c r="J66" i="8"/>
  <c r="W65" i="8"/>
  <c r="V65" i="8"/>
  <c r="U65" i="8"/>
  <c r="K65" i="8"/>
  <c r="J65" i="8"/>
  <c r="W64" i="8"/>
  <c r="V64" i="8"/>
  <c r="U64" i="8"/>
  <c r="K64" i="8"/>
  <c r="J64" i="8"/>
  <c r="W63" i="8"/>
  <c r="V63" i="8"/>
  <c r="U63" i="8"/>
  <c r="K63" i="8"/>
  <c r="J63" i="8"/>
  <c r="W62" i="8"/>
  <c r="V62" i="8"/>
  <c r="U62" i="8"/>
  <c r="K62" i="8"/>
  <c r="J62" i="8"/>
  <c r="W61" i="8"/>
  <c r="V61" i="8"/>
  <c r="U61" i="8"/>
  <c r="K61" i="8"/>
  <c r="J61" i="8"/>
  <c r="W60" i="8"/>
  <c r="V60" i="8"/>
  <c r="U60" i="8"/>
  <c r="K60" i="8"/>
  <c r="J60" i="8"/>
  <c r="W59" i="8"/>
  <c r="V59" i="8"/>
  <c r="U59" i="8"/>
  <c r="K59" i="8"/>
  <c r="J59" i="8"/>
  <c r="W58" i="8"/>
  <c r="V58" i="8"/>
  <c r="U58" i="8"/>
  <c r="K58" i="8"/>
  <c r="J58" i="8"/>
  <c r="W57" i="8"/>
  <c r="V57" i="8"/>
  <c r="U57" i="8"/>
  <c r="K57" i="8"/>
  <c r="J57" i="8"/>
  <c r="W56" i="8"/>
  <c r="V56" i="8"/>
  <c r="U56" i="8"/>
  <c r="K56" i="8"/>
  <c r="J56" i="8"/>
  <c r="W55" i="8"/>
  <c r="V55" i="8"/>
  <c r="U55" i="8"/>
  <c r="K55" i="8"/>
  <c r="J55" i="8"/>
  <c r="W54" i="8"/>
  <c r="V54" i="8"/>
  <c r="U54" i="8"/>
  <c r="K54" i="8"/>
  <c r="J54" i="8"/>
  <c r="W53" i="8"/>
  <c r="V53" i="8"/>
  <c r="U53" i="8"/>
  <c r="K53" i="8"/>
  <c r="J53" i="8"/>
  <c r="W52" i="8"/>
  <c r="V52" i="8"/>
  <c r="U52" i="8"/>
  <c r="K52" i="8"/>
  <c r="J52" i="8"/>
  <c r="W51" i="8"/>
  <c r="V51" i="8"/>
  <c r="U51" i="8"/>
  <c r="K51" i="8"/>
  <c r="J51" i="8"/>
  <c r="W50" i="8"/>
  <c r="V50" i="8"/>
  <c r="U50" i="8"/>
  <c r="K50" i="8"/>
  <c r="J50" i="8"/>
  <c r="W49" i="8"/>
  <c r="V49" i="8"/>
  <c r="U49" i="8"/>
  <c r="K49" i="8"/>
  <c r="J49" i="8"/>
  <c r="W48" i="8"/>
  <c r="V48" i="8"/>
  <c r="U48" i="8"/>
  <c r="K48" i="8"/>
  <c r="J48" i="8"/>
  <c r="W47" i="8"/>
  <c r="V47" i="8"/>
  <c r="U47" i="8"/>
  <c r="K47" i="8"/>
  <c r="J47" i="8"/>
  <c r="W46" i="8"/>
  <c r="V46" i="8"/>
  <c r="U46" i="8"/>
  <c r="K46" i="8"/>
  <c r="J46" i="8"/>
  <c r="W45" i="8"/>
  <c r="V45" i="8"/>
  <c r="U45" i="8"/>
  <c r="K45" i="8"/>
  <c r="J45" i="8"/>
  <c r="W44" i="8"/>
  <c r="V44" i="8"/>
  <c r="U44" i="8"/>
  <c r="K44" i="8"/>
  <c r="J44" i="8"/>
  <c r="W43" i="8"/>
  <c r="V43" i="8"/>
  <c r="U43" i="8"/>
  <c r="K43" i="8"/>
  <c r="J43" i="8"/>
  <c r="AD42" i="8"/>
  <c r="AF42" i="8" s="1"/>
  <c r="W42" i="8"/>
  <c r="V42" i="8"/>
  <c r="U42" i="8"/>
  <c r="K42" i="8"/>
  <c r="J42" i="8"/>
  <c r="AD41" i="8"/>
  <c r="AF41" i="8" s="1"/>
  <c r="W41" i="8"/>
  <c r="V41" i="8"/>
  <c r="U41" i="8"/>
  <c r="K41" i="8"/>
  <c r="J41" i="8"/>
  <c r="AD40" i="8"/>
  <c r="AF40" i="8" s="1"/>
  <c r="W40" i="8"/>
  <c r="V40" i="8"/>
  <c r="U40" i="8"/>
  <c r="K40" i="8"/>
  <c r="J40" i="8"/>
  <c r="AD39" i="8"/>
  <c r="AF39" i="8" s="1"/>
  <c r="W39" i="8"/>
  <c r="V39" i="8"/>
  <c r="U39" i="8"/>
  <c r="K39" i="8"/>
  <c r="J39" i="8"/>
  <c r="AD38" i="8"/>
  <c r="AF38" i="8" s="1"/>
  <c r="W38" i="8"/>
  <c r="V38" i="8"/>
  <c r="U38" i="8"/>
  <c r="K38" i="8"/>
  <c r="J38" i="8"/>
  <c r="AD37" i="8"/>
  <c r="AF37" i="8" s="1"/>
  <c r="W37" i="8"/>
  <c r="V37" i="8"/>
  <c r="U37" i="8"/>
  <c r="K37" i="8"/>
  <c r="J37" i="8"/>
  <c r="AD36" i="8"/>
  <c r="AF36" i="8" s="1"/>
  <c r="W36" i="8"/>
  <c r="V36" i="8"/>
  <c r="U36" i="8"/>
  <c r="K36" i="8"/>
  <c r="J36" i="8"/>
  <c r="AD35" i="8"/>
  <c r="AF35" i="8" s="1"/>
  <c r="W35" i="8"/>
  <c r="V35" i="8"/>
  <c r="U35" i="8"/>
  <c r="K35" i="8"/>
  <c r="J35" i="8"/>
  <c r="AD34" i="8"/>
  <c r="AF34" i="8" s="1"/>
  <c r="W34" i="8"/>
  <c r="V34" i="8"/>
  <c r="U34" i="8"/>
  <c r="K34" i="8"/>
  <c r="J34" i="8"/>
  <c r="AF33" i="8"/>
  <c r="W33" i="8"/>
  <c r="V33" i="8"/>
  <c r="U33" i="8"/>
  <c r="K33" i="8"/>
  <c r="J33" i="8"/>
  <c r="G77" i="8" l="1"/>
  <c r="G87" i="8"/>
  <c r="G88" i="8"/>
  <c r="H88" i="8" l="1"/>
  <c r="L88" i="8" s="1"/>
  <c r="M88" i="8" s="1"/>
  <c r="T88" i="8"/>
  <c r="X88" i="8" s="1"/>
  <c r="T87" i="8"/>
  <c r="X87" i="8" s="1"/>
  <c r="H87" i="8"/>
  <c r="L87" i="8" s="1"/>
  <c r="T77" i="8"/>
  <c r="X77" i="8" s="1"/>
  <c r="H77" i="8"/>
  <c r="L77" i="8" s="1"/>
  <c r="Y88" i="8" l="1"/>
  <c r="Y77" i="8"/>
  <c r="M77" i="8"/>
  <c r="M87" i="8"/>
  <c r="Y87" i="8"/>
  <c r="G33" i="8" l="1"/>
  <c r="G80" i="8" l="1"/>
  <c r="G84" i="8"/>
  <c r="G83" i="8"/>
  <c r="G81" i="8"/>
  <c r="G79" i="8"/>
  <c r="G85" i="8"/>
  <c r="G86" i="8"/>
  <c r="G78" i="8"/>
  <c r="G82" i="8"/>
  <c r="G75" i="8"/>
  <c r="G73" i="8"/>
  <c r="G42" i="8"/>
  <c r="G74" i="8"/>
  <c r="G72" i="8"/>
  <c r="G41" i="8"/>
  <c r="G39" i="8"/>
  <c r="G38" i="8"/>
  <c r="G40" i="8"/>
  <c r="G65" i="8"/>
  <c r="G49" i="8"/>
  <c r="G45" i="8"/>
  <c r="G68" i="8"/>
  <c r="G66" i="8"/>
  <c r="G64" i="8"/>
  <c r="G76" i="8"/>
  <c r="G71" i="8"/>
  <c r="G69" i="8"/>
  <c r="G47" i="8"/>
  <c r="G43" i="8"/>
  <c r="G70" i="8"/>
  <c r="G48" i="8"/>
  <c r="G34" i="8"/>
  <c r="G59" i="8"/>
  <c r="G57" i="8"/>
  <c r="G55" i="8"/>
  <c r="G53" i="8"/>
  <c r="G51" i="8"/>
  <c r="G58" i="8"/>
  <c r="G56" i="8"/>
  <c r="G54" i="8"/>
  <c r="G52" i="8"/>
  <c r="G50" i="8"/>
  <c r="G46" i="8"/>
  <c r="G67" i="8"/>
  <c r="G63" i="8"/>
  <c r="G61" i="8"/>
  <c r="G62" i="8"/>
  <c r="G60" i="8"/>
  <c r="G44" i="8"/>
  <c r="G35" i="8"/>
  <c r="G37" i="8"/>
  <c r="G36" i="8"/>
  <c r="H86" i="8" l="1"/>
  <c r="L86" i="8" s="1"/>
  <c r="T86" i="8"/>
  <c r="X86" i="8" s="1"/>
  <c r="T79" i="8"/>
  <c r="X79" i="8" s="1"/>
  <c r="H79" i="8"/>
  <c r="L79" i="8" s="1"/>
  <c r="T81" i="8"/>
  <c r="X81" i="8" s="1"/>
  <c r="H81" i="8"/>
  <c r="L81" i="8" s="1"/>
  <c r="T78" i="8"/>
  <c r="X78" i="8" s="1"/>
  <c r="H78" i="8"/>
  <c r="L78" i="8" s="1"/>
  <c r="T83" i="8"/>
  <c r="X83" i="8" s="1"/>
  <c r="H83" i="8"/>
  <c r="L83" i="8" s="1"/>
  <c r="H85" i="8"/>
  <c r="L85" i="8" s="1"/>
  <c r="T85" i="8"/>
  <c r="X85" i="8" s="1"/>
  <c r="H84" i="8"/>
  <c r="L84" i="8" s="1"/>
  <c r="T84" i="8"/>
  <c r="X84" i="8" s="1"/>
  <c r="T82" i="8"/>
  <c r="X82" i="8" s="1"/>
  <c r="H82" i="8"/>
  <c r="L82" i="8" s="1"/>
  <c r="H80" i="8"/>
  <c r="L80" i="8" s="1"/>
  <c r="T80" i="8"/>
  <c r="X80" i="8" s="1"/>
  <c r="T44" i="8"/>
  <c r="X44" i="8" s="1"/>
  <c r="H44" i="8"/>
  <c r="L44" i="8" s="1"/>
  <c r="T63" i="8"/>
  <c r="X63" i="8" s="1"/>
  <c r="H63" i="8"/>
  <c r="L63" i="8" s="1"/>
  <c r="T54" i="8"/>
  <c r="X54" i="8" s="1"/>
  <c r="H54" i="8"/>
  <c r="L54" i="8" s="1"/>
  <c r="M54" i="8" s="1"/>
  <c r="H53" i="8"/>
  <c r="L53" i="8" s="1"/>
  <c r="T53" i="8"/>
  <c r="X53" i="8" s="1"/>
  <c r="T48" i="8"/>
  <c r="X48" i="8" s="1"/>
  <c r="H48" i="8"/>
  <c r="L48" i="8" s="1"/>
  <c r="H69" i="8"/>
  <c r="L69" i="8" s="1"/>
  <c r="T69" i="8"/>
  <c r="X69" i="8" s="1"/>
  <c r="T64" i="8"/>
  <c r="X64" i="8" s="1"/>
  <c r="H64" i="8"/>
  <c r="L64" i="8" s="1"/>
  <c r="H49" i="8"/>
  <c r="L49" i="8" s="1"/>
  <c r="T49" i="8"/>
  <c r="X49" i="8" s="1"/>
  <c r="H40" i="8"/>
  <c r="L40" i="8" s="1"/>
  <c r="T40" i="8"/>
  <c r="X40" i="8" s="1"/>
  <c r="T72" i="8"/>
  <c r="X72" i="8" s="1"/>
  <c r="H72" i="8"/>
  <c r="L72" i="8" s="1"/>
  <c r="T75" i="8"/>
  <c r="X75" i="8" s="1"/>
  <c r="H75" i="8"/>
  <c r="L75" i="8" s="1"/>
  <c r="H36" i="8"/>
  <c r="L36" i="8" s="1"/>
  <c r="T36" i="8"/>
  <c r="X36" i="8" s="1"/>
  <c r="T60" i="8"/>
  <c r="X60" i="8" s="1"/>
  <c r="H60" i="8"/>
  <c r="L60" i="8" s="1"/>
  <c r="T67" i="8"/>
  <c r="X67" i="8" s="1"/>
  <c r="H67" i="8"/>
  <c r="L67" i="8" s="1"/>
  <c r="T46" i="8"/>
  <c r="X46" i="8" s="1"/>
  <c r="H46" i="8"/>
  <c r="L46" i="8" s="1"/>
  <c r="M46" i="8" s="1"/>
  <c r="T56" i="8"/>
  <c r="X56" i="8" s="1"/>
  <c r="H56" i="8"/>
  <c r="L56" i="8" s="1"/>
  <c r="T55" i="8"/>
  <c r="X55" i="8" s="1"/>
  <c r="H55" i="8"/>
  <c r="L55" i="8" s="1"/>
  <c r="T70" i="8"/>
  <c r="X70" i="8" s="1"/>
  <c r="H70" i="8"/>
  <c r="L70" i="8" s="1"/>
  <c r="T71" i="8"/>
  <c r="X71" i="8" s="1"/>
  <c r="H71" i="8"/>
  <c r="L71" i="8" s="1"/>
  <c r="T66" i="8"/>
  <c r="X66" i="8" s="1"/>
  <c r="H66" i="8"/>
  <c r="L66" i="8" s="1"/>
  <c r="M66" i="8" s="1"/>
  <c r="H65" i="8"/>
  <c r="L65" i="8" s="1"/>
  <c r="T65" i="8"/>
  <c r="X65" i="8" s="1"/>
  <c r="T38" i="8"/>
  <c r="X38" i="8" s="1"/>
  <c r="H38" i="8"/>
  <c r="L38" i="8" s="1"/>
  <c r="T74" i="8"/>
  <c r="X74" i="8" s="1"/>
  <c r="H74" i="8"/>
  <c r="L74" i="8" s="1"/>
  <c r="H37" i="8"/>
  <c r="L37" i="8" s="1"/>
  <c r="T37" i="8"/>
  <c r="X37" i="8" s="1"/>
  <c r="T62" i="8"/>
  <c r="X62" i="8" s="1"/>
  <c r="H62" i="8"/>
  <c r="L62" i="8" s="1"/>
  <c r="M62" i="8" s="1"/>
  <c r="T50" i="8"/>
  <c r="X50" i="8" s="1"/>
  <c r="H50" i="8"/>
  <c r="L50" i="8" s="1"/>
  <c r="M50" i="8" s="1"/>
  <c r="T58" i="8"/>
  <c r="X58" i="8" s="1"/>
  <c r="H58" i="8"/>
  <c r="L58" i="8" s="1"/>
  <c r="M58" i="8" s="1"/>
  <c r="H57" i="8"/>
  <c r="L57" i="8" s="1"/>
  <c r="T57" i="8"/>
  <c r="X57" i="8" s="1"/>
  <c r="T33" i="8"/>
  <c r="X33" i="8" s="1"/>
  <c r="H33" i="8"/>
  <c r="L33" i="8" s="1"/>
  <c r="T43" i="8"/>
  <c r="X43" i="8" s="1"/>
  <c r="H43" i="8"/>
  <c r="L43" i="8" s="1"/>
  <c r="T68" i="8"/>
  <c r="X68" i="8" s="1"/>
  <c r="H68" i="8"/>
  <c r="L68" i="8" s="1"/>
  <c r="T39" i="8"/>
  <c r="X39" i="8" s="1"/>
  <c r="H39" i="8"/>
  <c r="L39" i="8" s="1"/>
  <c r="T42" i="8"/>
  <c r="X42" i="8" s="1"/>
  <c r="H42" i="8"/>
  <c r="L42" i="8" s="1"/>
  <c r="M42" i="8" s="1"/>
  <c r="H35" i="8"/>
  <c r="L35" i="8" s="1"/>
  <c r="T35" i="8"/>
  <c r="X35" i="8" s="1"/>
  <c r="H61" i="8"/>
  <c r="L61" i="8" s="1"/>
  <c r="T61" i="8"/>
  <c r="X61" i="8" s="1"/>
  <c r="T52" i="8"/>
  <c r="X52" i="8" s="1"/>
  <c r="H52" i="8"/>
  <c r="L52" i="8" s="1"/>
  <c r="T51" i="8"/>
  <c r="X51" i="8" s="1"/>
  <c r="H51" i="8"/>
  <c r="L51" i="8" s="1"/>
  <c r="T59" i="8"/>
  <c r="X59" i="8" s="1"/>
  <c r="H59" i="8"/>
  <c r="L59" i="8" s="1"/>
  <c r="T34" i="8"/>
  <c r="X34" i="8" s="1"/>
  <c r="H34" i="8"/>
  <c r="L34" i="8" s="1"/>
  <c r="T47" i="8"/>
  <c r="X47" i="8" s="1"/>
  <c r="H47" i="8"/>
  <c r="L47" i="8" s="1"/>
  <c r="H76" i="8"/>
  <c r="L76" i="8" s="1"/>
  <c r="M76" i="8" s="1"/>
  <c r="T76" i="8"/>
  <c r="X76" i="8" s="1"/>
  <c r="H45" i="8"/>
  <c r="L45" i="8" s="1"/>
  <c r="T45" i="8"/>
  <c r="X45" i="8" s="1"/>
  <c r="H41" i="8"/>
  <c r="L41" i="8" s="1"/>
  <c r="T41" i="8"/>
  <c r="X41" i="8" s="1"/>
  <c r="H73" i="8"/>
  <c r="L73" i="8" s="1"/>
  <c r="T73" i="8"/>
  <c r="X73" i="8" s="1"/>
  <c r="M84" i="8" l="1"/>
  <c r="Y84" i="8"/>
  <c r="Y78" i="8"/>
  <c r="M78" i="8"/>
  <c r="Y81" i="8"/>
  <c r="M81" i="8"/>
  <c r="M79" i="8"/>
  <c r="Y79" i="8"/>
  <c r="Y85" i="8"/>
  <c r="M85" i="8"/>
  <c r="M83" i="8"/>
  <c r="Y83" i="8"/>
  <c r="M82" i="8"/>
  <c r="Y82" i="8"/>
  <c r="M80" i="8"/>
  <c r="Y80" i="8"/>
  <c r="M86" i="8"/>
  <c r="Y86" i="8"/>
  <c r="Y58" i="8"/>
  <c r="Y42" i="8"/>
  <c r="Y46" i="8"/>
  <c r="Y54" i="8"/>
  <c r="Y50" i="8"/>
  <c r="Y62" i="8"/>
  <c r="Y66" i="8"/>
  <c r="Y76" i="8"/>
  <c r="Y47" i="8"/>
  <c r="M47" i="8"/>
  <c r="Y59" i="8"/>
  <c r="M59" i="8"/>
  <c r="M52" i="8"/>
  <c r="Y52" i="8"/>
  <c r="Y68" i="8"/>
  <c r="M68" i="8"/>
  <c r="M33" i="8"/>
  <c r="Y33" i="8"/>
  <c r="M38" i="8"/>
  <c r="Y38" i="8"/>
  <c r="Y70" i="8"/>
  <c r="M70" i="8"/>
  <c r="Y55" i="8"/>
  <c r="M55" i="8"/>
  <c r="M60" i="8"/>
  <c r="Y60" i="8"/>
  <c r="Y72" i="8"/>
  <c r="M72" i="8"/>
  <c r="Y64" i="8"/>
  <c r="M64" i="8"/>
  <c r="Y63" i="8"/>
  <c r="M63" i="8"/>
  <c r="M41" i="8"/>
  <c r="Y41" i="8"/>
  <c r="M61" i="8"/>
  <c r="Y61" i="8"/>
  <c r="M37" i="8"/>
  <c r="Y37" i="8"/>
  <c r="M65" i="8"/>
  <c r="Y65" i="8"/>
  <c r="M69" i="8"/>
  <c r="Y69" i="8"/>
  <c r="M34" i="8"/>
  <c r="Y34" i="8"/>
  <c r="Y51" i="8"/>
  <c r="M51" i="8"/>
  <c r="Y39" i="8"/>
  <c r="M39" i="8"/>
  <c r="Y43" i="8"/>
  <c r="M43" i="8"/>
  <c r="M74" i="8"/>
  <c r="Y74" i="8"/>
  <c r="Y71" i="8"/>
  <c r="M71" i="8"/>
  <c r="Y56" i="8"/>
  <c r="M56" i="8"/>
  <c r="Y67" i="8"/>
  <c r="M67" i="8"/>
  <c r="Y75" i="8"/>
  <c r="M75" i="8"/>
  <c r="Y48" i="8"/>
  <c r="M48" i="8"/>
  <c r="M44" i="8"/>
  <c r="Y44" i="8"/>
  <c r="M73" i="8"/>
  <c r="Y73" i="8"/>
  <c r="M45" i="8"/>
  <c r="Y45" i="8"/>
  <c r="Y35" i="8"/>
  <c r="M35" i="8"/>
  <c r="M57" i="8"/>
  <c r="Y57" i="8"/>
  <c r="Y36" i="8"/>
  <c r="M36" i="8"/>
  <c r="Y40" i="8"/>
  <c r="M40" i="8"/>
  <c r="M49" i="8"/>
  <c r="Y49" i="8"/>
  <c r="M53" i="8"/>
  <c r="Y53" i="8"/>
</calcChain>
</file>

<file path=xl/sharedStrings.xml><?xml version="1.0" encoding="utf-8"?>
<sst xmlns="http://schemas.openxmlformats.org/spreadsheetml/2006/main" count="1340" uniqueCount="376">
  <si>
    <t>Impact to Mission</t>
  </si>
  <si>
    <t>Impact to Obligations</t>
  </si>
  <si>
    <t>Risk Score</t>
  </si>
  <si>
    <t>Risk Level</t>
  </si>
  <si>
    <t>Definition</t>
  </si>
  <si>
    <t>Impact Scores</t>
  </si>
  <si>
    <t>Mission</t>
  </si>
  <si>
    <t>Acceptable Risk Score</t>
  </si>
  <si>
    <t>&lt;6</t>
  </si>
  <si>
    <t>Risk Acceptance Criteria</t>
  </si>
  <si>
    <t>All scores lower than '6' may be automatically accepted. All other risks must be reduced.</t>
  </si>
  <si>
    <t>Sum of Threat Count / Industry</t>
  </si>
  <si>
    <t>Percentage</t>
  </si>
  <si>
    <t>Maturity</t>
  </si>
  <si>
    <t>Index</t>
  </si>
  <si>
    <t>Address Unauthorized Assets</t>
  </si>
  <si>
    <t>Use Unique Passwords</t>
  </si>
  <si>
    <t>Ensure Use of Only Fully Supported Browsers and Email Clients</t>
  </si>
  <si>
    <t>Disable Dormant Accounts</t>
  </si>
  <si>
    <t>Mission Impact</t>
  </si>
  <si>
    <t>Obligations Impact</t>
  </si>
  <si>
    <t>Impact Criteria</t>
  </si>
  <si>
    <t>VCDB Index</t>
  </si>
  <si>
    <t>VCDB Index Weight Table</t>
  </si>
  <si>
    <t>Asset Class</t>
  </si>
  <si>
    <t>Obligations</t>
  </si>
  <si>
    <t>Scope</t>
  </si>
  <si>
    <t>Last Completed (Date)</t>
  </si>
  <si>
    <t>We would not be able to achieve our mission.</t>
  </si>
  <si>
    <t>We would achieve our mission.</t>
  </si>
  <si>
    <t>We would have to reinvest or correct the situation to achieve our mission.</t>
  </si>
  <si>
    <t>We would meet our objectives.</t>
  </si>
  <si>
    <t>We would have to reinvest or correct the situation to achieve our objectives.</t>
  </si>
  <si>
    <t>We would not be able to meet our objectives.</t>
  </si>
  <si>
    <t>1. Acceptable</t>
  </si>
  <si>
    <t>2. Unacceptable</t>
  </si>
  <si>
    <t>3. Catastrophic</t>
  </si>
  <si>
    <t>No harm would come to others.</t>
  </si>
  <si>
    <t xml:space="preserve">The harm that would come to others would be correctable. </t>
  </si>
  <si>
    <t>The harm that would come to others would not be correctable.</t>
  </si>
  <si>
    <t>The high dollar limit for each impact score.</t>
  </si>
  <si>
    <t>Risk Register</t>
  </si>
  <si>
    <t>Inherent Risk Criteria</t>
  </si>
  <si>
    <t>Risk Treatment Safeguard</t>
  </si>
  <si>
    <t>Implementation Year</t>
  </si>
  <si>
    <t>Year</t>
  </si>
  <si>
    <t>Reasonable?</t>
  </si>
  <si>
    <t>Risk Treatment
Safeguard Title</t>
  </si>
  <si>
    <t>Risk Treatment
Safeguard Description</t>
  </si>
  <si>
    <t>Risk Treatment Safeguard Impact to Mission</t>
  </si>
  <si>
    <t>Risk Treatment Safeguard Impact to Obligations</t>
  </si>
  <si>
    <t>Risk Treatment Safeguard Cost</t>
  </si>
  <si>
    <t>Risk Treatment Safeguard Risk Score</t>
  </si>
  <si>
    <t>This risk should be expected to cause a security incident at some time.</t>
  </si>
  <si>
    <t>We should expect this to happen soon, if it has not already occurred.</t>
  </si>
  <si>
    <t>Establish and Maintain Detailed Enterprise Asset Inventory</t>
  </si>
  <si>
    <t>Establish and Maintain a Software Inventory</t>
  </si>
  <si>
    <t xml:space="preserve">Ensure Authorized Software is Currently Supported </t>
  </si>
  <si>
    <t>Address Unauthorized Software</t>
  </si>
  <si>
    <t>Establish and Maintain a Data Management Process</t>
  </si>
  <si>
    <t>Establish and Maintain a Data Inventory</t>
  </si>
  <si>
    <t>Configure Data Access Control Lists</t>
  </si>
  <si>
    <t>Enforce Data Retention</t>
  </si>
  <si>
    <t>Securely Dispose of Data</t>
  </si>
  <si>
    <t>Encrypt Data on End-User Devices</t>
  </si>
  <si>
    <t>Establish and Maintain a Secure Configuration Process</t>
  </si>
  <si>
    <t>Establish and Maintain a Secure Configuration Process for Network Infrastructure</t>
  </si>
  <si>
    <t>Configure Automatic Session Locking on Enterprise Assets</t>
  </si>
  <si>
    <t>Implement and Manage a Firewall on Servers</t>
  </si>
  <si>
    <t>Implement and Manage a Firewall on End-User Devices</t>
  </si>
  <si>
    <t>Securely Manage Enterprise Assets and Software</t>
  </si>
  <si>
    <t>Manage Default Accounts on Enterprise Assets and Software</t>
  </si>
  <si>
    <t>Establish and Maintain an Inventory of Accounts</t>
  </si>
  <si>
    <t>Restrict Administrator Privileges to Dedicated Administrator Accounts</t>
  </si>
  <si>
    <t>Establish an Access Granting Process</t>
  </si>
  <si>
    <t>Establish an Access Revoking Process</t>
  </si>
  <si>
    <t>Require MFA for Externally-Exposed Applications</t>
  </si>
  <si>
    <t>Require MFA for Remote Network Access</t>
  </si>
  <si>
    <t>Require MFA for Administrative Access</t>
  </si>
  <si>
    <t>Establish and Maintain a Vulnerability Management Process</t>
  </si>
  <si>
    <t>Establish and Maintain a Remediation Process</t>
  </si>
  <si>
    <t>Perform Automated Operating System Patch Management</t>
  </si>
  <si>
    <t>Perform Automated Application Patch Management</t>
  </si>
  <si>
    <t>Establish and Maintain an Audit Log Management Process</t>
  </si>
  <si>
    <t>Collect Audit Logs</t>
  </si>
  <si>
    <t>Ensure Adequate Audit Log Storage</t>
  </si>
  <si>
    <t>Use DNS Filtering Services</t>
  </si>
  <si>
    <t>Deploy and Maintain Anti-Malware Software</t>
  </si>
  <si>
    <t>Configure Automatic Anti-Malware Signature Updates</t>
  </si>
  <si>
    <t>Disable Autorun and Autoplay for Removable Media</t>
  </si>
  <si>
    <t>Establish and Maintain a Data Recovery Process </t>
  </si>
  <si>
    <t>Perform Automated Backups </t>
  </si>
  <si>
    <t>Protect Recovery Data</t>
  </si>
  <si>
    <t>Establish and Maintain an Isolated Instance of Recovery Data </t>
  </si>
  <si>
    <t>Ensure Network Infrastructure is Up-to-Date</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</si>
  <si>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</si>
  <si>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</si>
  <si>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</si>
  <si>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</si>
  <si>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</si>
  <si>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</si>
  <si>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</si>
  <si>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</si>
  <si>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Establish and Maintain an Inventory of Service Providers</t>
  </si>
  <si>
    <t>Designate Personnel to Manage Incident Handling</t>
  </si>
  <si>
    <t>Establish and Maintain Contact Information for Reporting Security Incidents</t>
  </si>
  <si>
    <t>Establish and Maintain an Enterprise Process for Reporting Incidents</t>
  </si>
  <si>
    <t>Data</t>
  </si>
  <si>
    <t>Devices</t>
  </si>
  <si>
    <t>Network</t>
  </si>
  <si>
    <t>Users</t>
  </si>
  <si>
    <t>Enterprise Name</t>
  </si>
  <si>
    <t>Operational Objectives</t>
  </si>
  <si>
    <t>Financial Objectives</t>
  </si>
  <si>
    <t>Operational Objectives Impact</t>
  </si>
  <si>
    <t>Impact to Operational Objectives</t>
  </si>
  <si>
    <t>Risk Treatment Safeguard Impact to Operational Objectives</t>
  </si>
  <si>
    <t>Impact to Financial Objectives</t>
  </si>
  <si>
    <t>Incident Count</t>
  </si>
  <si>
    <t>As of</t>
  </si>
  <si>
    <t>VCDB Index Lookup</t>
  </si>
  <si>
    <t>Implementation Quarter</t>
  </si>
  <si>
    <t>Safeguard is not implemented or is inconsistently implemented.</t>
  </si>
  <si>
    <t>Safeguard is implemented fully on some assets or partially on all assets.</t>
  </si>
  <si>
    <t>Safeguard is implemented on all assets.</t>
  </si>
  <si>
    <t>CIS Safeguard #</t>
  </si>
  <si>
    <t>CIS Safeguard Title</t>
  </si>
  <si>
    <t>Our Planned Implementation</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</si>
  <si>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</si>
  <si>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</si>
  <si>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</si>
  <si>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</si>
  <si>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Configure data access control lists based on a user’s need to know. Apply data access control lists, also known as access permissions, to local and remote file systems, databases, and applications.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</si>
  <si>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</si>
  <si>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</si>
  <si>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host-based firewall or port-filtering tool on end-user devices, with a default-deny rule that drops all traffic except those services and ports that are explicitly allowed.</t>
  </si>
  <si>
    <t>Manage default accounts on enterprise assets and software, such as root, administrator, and other pre-configured vendor accounts. Example implementations can include: disabling default accounts or making them unusable.</t>
  </si>
  <si>
    <t>Delete or disable any dormant accounts after a period of 45 days of inactivity, where supported.</t>
  </si>
  <si>
    <t>Restrict administrator privileges to dedicated administrator accounts on enterprise assets. Conduct general computing activities, such as internet browsing, email, and productivity suite use, from the user’s primary, non-privileged account.</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</si>
  <si>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</si>
  <si>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all externally-exposed enterprise or third-party applications to enforce MFA, where supported. Enforcing MFA through a directory service or SSO provider is a satisfactory implementation of this Safeguard.</t>
  </si>
  <si>
    <t>Require MFA for remote network access.</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</si>
  <si>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</si>
  <si>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</si>
  <si>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</si>
  <si>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application updates on enterprise assets through automated patch management on a monthly, or more frequent, basis.</t>
  </si>
  <si>
    <t>Collect audit logs. Ensure that logging, per the enterprise’s audit log management process, has been enabled across enterprise assets.</t>
  </si>
  <si>
    <t>Ensure that logging destinations maintain adequate storage to comply with the enterprise’s audit log management process.</t>
  </si>
  <si>
    <t>Ensure only fully supported browsers and email clients are allowed to execute in the enterprise, only using the latest version of browsers and email clients provided through the vendor.</t>
  </si>
  <si>
    <t>Deploy and maintain anti-malware software on all enterprise assets.</t>
  </si>
  <si>
    <t>Configure automatic updates for anti-malware signature files on all enterprise assets.</t>
  </si>
  <si>
    <t>Disable autorun and autoplay auto-execute functionality for removable media.</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</si>
  <si>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</si>
  <si>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</si>
  <si>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</si>
  <si>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</si>
  <si>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</si>
  <si>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</si>
  <si>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</si>
  <si>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</si>
  <si>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</si>
  <si>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</si>
  <si>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</si>
  <si>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Encrypt data on end-user devices containing sensitive data. Example implementations can include: Windows BitLocker®, Apple FileVault®, Linux® dm-crypt.</t>
  </si>
  <si>
    <t>Risk Treatment</t>
  </si>
  <si>
    <t>Reasonable and Acceptable</t>
  </si>
  <si>
    <t>Risk Analysis</t>
  </si>
  <si>
    <t>Risk Treatment Safeguard Title</t>
  </si>
  <si>
    <t>Risk Treatment Safeguard Description</t>
  </si>
  <si>
    <t>Required</t>
  </si>
  <si>
    <t>Optional</t>
  </si>
  <si>
    <t>Color Key</t>
  </si>
  <si>
    <t>Meaning</t>
  </si>
  <si>
    <t>For user input. Risk assessors will add values into these columns.</t>
  </si>
  <si>
    <t>For optional user input. Risk assessors may add values into these columns if it's useful to them.</t>
  </si>
  <si>
    <t>Used to evaluate risk acceptance</t>
  </si>
  <si>
    <t>Used to populate "VCDB Index"</t>
  </si>
  <si>
    <t>Color</t>
  </si>
  <si>
    <t>Safeguard Maturity Score</t>
  </si>
  <si>
    <t>Risk Treatment Safeguard Maturity Score</t>
  </si>
  <si>
    <t>Used for "Safeguard Maturity Score" and "Risk Treatment Safeguard Maturity Score"</t>
  </si>
  <si>
    <t>Maturity Scores</t>
  </si>
  <si>
    <t>Risk Treatment Option</t>
  </si>
  <si>
    <t>Safeguard is tested and inconsistencies are corrected.</t>
  </si>
  <si>
    <t>Safeguard has mechanisms that ensure consistent implementation over time.</t>
  </si>
  <si>
    <t>CIS-Hosted CSAT</t>
  </si>
  <si>
    <t>Calculated Numerical Score</t>
  </si>
  <si>
    <t>CSAT Pro Export Score</t>
  </si>
  <si>
    <t>CSAT Pro Score (Stripped)</t>
  </si>
  <si>
    <t>Policy Defined</t>
  </si>
  <si>
    <t>Control Implemented</t>
  </si>
  <si>
    <t>Control Automated</t>
  </si>
  <si>
    <t>Control Reported</t>
  </si>
  <si>
    <t>5 (81-100%)</t>
  </si>
  <si>
    <t>Approved Written Policy</t>
  </si>
  <si>
    <t>Implemented on Most Systems</t>
  </si>
  <si>
    <t>Automated on All Systems</t>
  </si>
  <si>
    <t>Reported on Some Systems</t>
  </si>
  <si>
    <t>3 (41-60%)</t>
  </si>
  <si>
    <t>Partially Written Policy</t>
  </si>
  <si>
    <t>Implemented on Some Systems</t>
  </si>
  <si>
    <t>Automated on Some Systems</t>
  </si>
  <si>
    <t>Reported on Most Systems</t>
  </si>
  <si>
    <t>4 (61-80%)</t>
  </si>
  <si>
    <t>Implemented on All Systems</t>
  </si>
  <si>
    <t>Reported on All Systems</t>
  </si>
  <si>
    <t>Automated on Most Systems</t>
  </si>
  <si>
    <t>2 (21-40%)</t>
  </si>
  <si>
    <t>Informal Policy</t>
  </si>
  <si>
    <t>Parts of Policy Implemented</t>
  </si>
  <si>
    <t>Parts of Policy Automated</t>
  </si>
  <si>
    <t>Not Applicable</t>
  </si>
  <si>
    <t>No Policy</t>
  </si>
  <si>
    <t>Not Implemented</t>
  </si>
  <si>
    <t>Not Reported</t>
  </si>
  <si>
    <t>Not Available</t>
  </si>
  <si>
    <t>Not Automated</t>
  </si>
  <si>
    <t>Written Policy</t>
  </si>
  <si>
    <t>None</t>
  </si>
  <si>
    <t>CIS-Hosted CSAT Maturity Scores</t>
  </si>
  <si>
    <t>Parts of Policy Reported</t>
  </si>
  <si>
    <t>Unknown - Unscored</t>
  </si>
  <si>
    <t>Unknown - N/A</t>
  </si>
  <si>
    <t>CIS-Hosted CSAT Values From XLSX Export</t>
  </si>
  <si>
    <t>https://workbench.cisecurity.org/dashboard</t>
  </si>
  <si>
    <t>Instructions for Importing CIS-Hosted CSAT Scores into CIS RAM</t>
  </si>
  <si>
    <r>
      <t>1)</t>
    </r>
    <r>
      <rPr>
        <sz val="7"/>
        <color theme="1"/>
        <rFont val="Arial"/>
        <family val="2"/>
      </rPr>
      <t xml:space="preserve">      </t>
    </r>
    <r>
      <rPr>
        <b/>
        <sz val="11"/>
        <color theme="1"/>
        <rFont val="Arial"/>
        <family val="2"/>
      </rPr>
      <t>In CIS-Hosted CSAT</t>
    </r>
    <r>
      <rPr>
        <sz val="11"/>
        <color theme="1"/>
        <rFont val="Arial"/>
        <family val="2"/>
      </rPr>
      <t>, filter on IG1 and export the filtered Safeguards</t>
    </r>
  </si>
  <si>
    <t>CIS RAM Maturity Score Average</t>
  </si>
  <si>
    <t>CIS RAM Maturity Score Final</t>
  </si>
  <si>
    <t>CIS CSAT Pro</t>
  </si>
  <si>
    <t>Instructions for Importing CIS CSAT Pro Scores into CIS RAM</t>
  </si>
  <si>
    <t>Note: Please ensure that your enterprise's method for scoring Safeguards in CSAT Pro aligns closely enough with the CIS RAM Maturity Scores (defined below). Adjustments may need to be made based on your current scoring.</t>
  </si>
  <si>
    <t>All data on this page is considered sample data only, and not meant to reflect an individual organization's CSAT/RAM scoring. Only to be used for demonstration purposes.</t>
  </si>
  <si>
    <r>
      <t>b.</t>
    </r>
    <r>
      <rPr>
        <sz val="7"/>
        <color theme="1"/>
        <rFont val="Arial"/>
        <family val="2"/>
      </rPr>
      <t xml:space="preserve">       </t>
    </r>
    <r>
      <rPr>
        <sz val="11"/>
        <color theme="1"/>
        <rFont val="Arial"/>
        <family val="2"/>
      </rPr>
      <t>Click the Filter button.</t>
    </r>
  </si>
  <si>
    <r>
      <t>a.</t>
    </r>
    <r>
      <rPr>
        <sz val="7"/>
        <color theme="1"/>
        <rFont val="Arial"/>
        <family val="2"/>
      </rPr>
      <t xml:space="preserve">       </t>
    </r>
    <r>
      <rPr>
        <sz val="11"/>
        <color theme="1"/>
        <rFont val="Arial"/>
        <family val="2"/>
      </rPr>
      <t>Go to the All Controls page for the assessment of interest (this is reachable from the All Controls link on the menu on the left under “Current Assessment”).</t>
    </r>
  </si>
  <si>
    <r>
      <t>c.</t>
    </r>
    <r>
      <rPr>
        <sz val="7"/>
        <color theme="1"/>
        <rFont val="Arial"/>
        <family val="2"/>
      </rPr>
      <t xml:space="preserve">       </t>
    </r>
    <r>
      <rPr>
        <sz val="11"/>
        <color theme="1"/>
        <rFont val="Arial"/>
        <family val="2"/>
      </rPr>
      <t>Select “Group 1” for the Implementation Group filter and click Filter.</t>
    </r>
  </si>
  <si>
    <r>
      <rPr>
        <sz val="11"/>
        <color theme="1"/>
        <rFont val="Arial"/>
        <family val="2"/>
      </rPr>
      <t>i.</t>
    </r>
    <r>
      <rPr>
        <sz val="7"/>
        <color theme="1"/>
        <rFont val="Arial"/>
        <family val="2"/>
      </rPr>
      <t xml:space="preserve">      </t>
    </r>
    <r>
      <rPr>
        <sz val="11"/>
        <color theme="1"/>
        <rFont val="Arial"/>
        <family val="2"/>
      </rPr>
      <t>Select the checkbox next to each blue Safeguard</t>
    </r>
    <r>
      <rPr>
        <sz val="7"/>
        <color theme="1"/>
        <rFont val="Arial"/>
        <family val="2"/>
      </rPr>
      <t>.</t>
    </r>
  </si>
  <si>
    <r>
      <t>e.</t>
    </r>
    <r>
      <rPr>
        <sz val="7"/>
        <color theme="1"/>
        <rFont val="Arial"/>
        <family val="2"/>
      </rPr>
      <t xml:space="preserve">       </t>
    </r>
    <r>
      <rPr>
        <sz val="11"/>
        <color theme="1"/>
        <rFont val="Arial"/>
        <family val="2"/>
      </rPr>
      <t>Click the Download Report button to export the report.</t>
    </r>
  </si>
  <si>
    <r>
      <t>2)</t>
    </r>
    <r>
      <rPr>
        <sz val="7"/>
        <color theme="1"/>
        <rFont val="Arial"/>
        <family val="2"/>
      </rPr>
      <t xml:space="preserve">      </t>
    </r>
    <r>
      <rPr>
        <sz val="11"/>
        <color theme="1"/>
        <rFont val="Arial"/>
        <family val="2"/>
      </rPr>
      <t xml:space="preserve">Copy your scores from the exported CIS-Hosted CSAT XLSX file </t>
    </r>
    <r>
      <rPr>
        <b/>
        <sz val="11"/>
        <color theme="1"/>
        <rFont val="Arial"/>
        <family val="2"/>
      </rPr>
      <t>to the CIS RAM for IG1 Workbook</t>
    </r>
    <r>
      <rPr>
        <sz val="11"/>
        <color theme="1"/>
        <rFont val="Arial"/>
        <family val="2"/>
      </rPr>
      <t>.</t>
    </r>
  </si>
  <si>
    <r>
      <rPr>
        <sz val="11"/>
        <color theme="1"/>
        <rFont val="Arial"/>
        <family val="2"/>
      </rPr>
      <t>ii.</t>
    </r>
    <r>
      <rPr>
        <sz val="7"/>
        <color theme="1"/>
        <rFont val="Arial"/>
        <family val="2"/>
      </rPr>
      <t xml:space="preserve">      </t>
    </r>
    <r>
      <rPr>
        <sz val="11"/>
        <color theme="1"/>
        <rFont val="Arial"/>
        <family val="2"/>
      </rPr>
      <t>Select “Un-Assign the control” from the Bulk Action option dropdown and click the “Save” button next to the dropdown.</t>
    </r>
    <r>
      <rPr>
        <b/>
        <sz val="11"/>
        <color theme="1"/>
        <rFont val="Arial"/>
        <family val="2"/>
      </rPr>
      <t xml:space="preserve"> Please note:</t>
    </r>
    <r>
      <rPr>
        <sz val="11"/>
        <color theme="1"/>
        <rFont val="Arial"/>
        <family val="2"/>
      </rPr>
      <t xml:space="preserve"> If any of the selected Safeguards were assigned, this will remove the assignee and the due date.</t>
    </r>
  </si>
  <si>
    <t>Title</t>
  </si>
  <si>
    <r>
      <t>d.</t>
    </r>
    <r>
      <rPr>
        <sz val="7"/>
        <color theme="1"/>
        <rFont val="Arial"/>
        <family val="2"/>
      </rPr>
      <t xml:space="preserve">       </t>
    </r>
    <r>
      <rPr>
        <sz val="11"/>
        <color theme="1"/>
        <rFont val="Arial"/>
        <family val="2"/>
      </rPr>
      <t>Check to see if any of these Safeguards are in the blue (Not Assessed) state. You can see this in the “#” column – there will be a colored circle in each row by the Safeguard number. Any Safeguards that have a blue circle there will not export; if you have any blue Safeguards and you want to continue these steps, one way to get them out of the blue state is to:</t>
    </r>
  </si>
  <si>
    <t>Automated or fixed values on the Risk Treatment side of the Risk Register. While the worksheet is in protected mode, these values cannot be changed.</t>
  </si>
  <si>
    <t>Automated or fixed values on the Risk Analysis side of the Risk Register. While the worksheet is in protected mode, these values cannot be changed.</t>
  </si>
  <si>
    <t>The unique CIS Safeguard identifier, as published in the CIS Controls.</t>
  </si>
  <si>
    <t>The title of the CIS Safeguard, as published in the CIS Controls.</t>
  </si>
  <si>
    <t>The asset class, as published in the CIS Controls.</t>
  </si>
  <si>
    <t>An automatically calculated value to represent how common the related threat is as a cause for reported cybersecurity incidents.</t>
  </si>
  <si>
    <t>An automatically calculated value to represent how commonly the related threat would be the cause of a cybersecurity incident, given your current Safeguard.</t>
  </si>
  <si>
    <t>The magnitude of harm that a successful threat would cause to your Mission.</t>
  </si>
  <si>
    <t>The magnitude of harm that a successful threat would cause to your Operational Objectives.</t>
  </si>
  <si>
    <t>The magnitude of harm that a successful threat would cause to your Obligations.</t>
  </si>
  <si>
    <t>An evaluation of the risk as acceptable, unacceptable, or catastrophic.</t>
  </si>
  <si>
    <t>A statement about whether the enterprise will accept or reduce the risk.</t>
  </si>
  <si>
    <t>The description of the CIS Safeguard, as published in the CIS Controls.</t>
  </si>
  <si>
    <t>A brief description of how the Safeguard will be implemented and operated in the enterprise.</t>
  </si>
  <si>
    <t>An automatically calculated value to represent how commonly the related threat would be the cause of a cybersecurity incident, given the planned Safeguard.</t>
  </si>
  <si>
    <t>A determination of whether the planned Safeguard is reasonable and acceptable.</t>
  </si>
  <si>
    <t>An estimate of how much the Safeguard is expected to cost.</t>
  </si>
  <si>
    <t>When the Safeguard is planned for completion of implementation (which quarter).</t>
  </si>
  <si>
    <t>When the Safeguard is planned for completion of implementation (which year).</t>
  </si>
  <si>
    <t>The risk is not expected in this environment.</t>
  </si>
  <si>
    <t>CIS CSAT (Controls Self Assessment Tool)</t>
  </si>
  <si>
    <t>TWO TYPES:</t>
  </si>
  <si>
    <t>https://csat.cisecurity.org/</t>
  </si>
  <si>
    <t>https://www.cisecurity.org/controls/cis-controls-self-assessment-tool-cis-csat/</t>
  </si>
  <si>
    <t>A score of '1' through '5' designating the reliability of a Safeguard's effectiveness against threats.</t>
  </si>
  <si>
    <t>A score of '1' through '5' designating the planned reliability of a Safeguard's effectiveness against threats.</t>
  </si>
  <si>
    <t>Expectancy Score</t>
  </si>
  <si>
    <t>Risk Treatment
Safeguard Expectancy Score</t>
  </si>
  <si>
    <t>Enterprise Risk Assessment Criteria</t>
  </si>
  <si>
    <t>Reasonable Annual Cost</t>
  </si>
  <si>
    <t>Used for "Expectancy Score" and "Risk Treatment Safeguard Expectancy Score"</t>
  </si>
  <si>
    <t>Expectancy Scores</t>
  </si>
  <si>
    <t>Expectancy Definition</t>
  </si>
  <si>
    <t>Used to calculate "Expectancy Score" and "Risk Treatment Safeguard Expectancy Score"</t>
  </si>
  <si>
    <t>Expectancy</t>
  </si>
  <si>
    <t>Automated or fixed values on the Reasonable Annual Cost side of the Risk Register. While the worksheet is in protected mode, these values cannot be changed.</t>
  </si>
  <si>
    <t xml:space="preserve">The total Risk Treatment Safeguard Cost for the year. </t>
  </si>
  <si>
    <t>The year the total cost was incurred.</t>
  </si>
  <si>
    <t xml:space="preserve">Whether or not the total cost falls above or below the acceptable limit, based on the Acceptable Criteria for the enterprise's Financial Objectives. </t>
  </si>
  <si>
    <t>Risk Treatment Safeguard Expectancy Score</t>
  </si>
  <si>
    <t>Expectancy Criteria</t>
  </si>
  <si>
    <t>Risk Levels</t>
  </si>
  <si>
    <t>Red</t>
  </si>
  <si>
    <r>
      <t>Red indicates that the risk is “urgent.”</t>
    </r>
    <r>
      <rPr>
        <sz val="8"/>
        <color rgb="FF1B2B38"/>
        <rFont val="Arial"/>
        <family val="2"/>
      </rPr>
      <t> </t>
    </r>
  </si>
  <si>
    <t>Yellow</t>
  </si>
  <si>
    <t>Yellow indicates that the risk is “unacceptably high, but not urgent.”</t>
  </si>
  <si>
    <t>Green</t>
  </si>
  <si>
    <t>Green indicates that the risk evaluates as “acceptable.”</t>
  </si>
  <si>
    <t>The product of the Expectancy and the highest of the three Impacts.</t>
  </si>
  <si>
    <t>The product of the Expectancy and the highest of the three impacts, given the planned Safeguard.</t>
  </si>
  <si>
    <t>NIST CSF Security Function</t>
  </si>
  <si>
    <t>Identify</t>
  </si>
  <si>
    <t>Respond</t>
  </si>
  <si>
    <t>Protect</t>
  </si>
  <si>
    <t>Detect</t>
  </si>
  <si>
    <t>Recover</t>
  </si>
  <si>
    <t>Mapping between the NIST CSF Security Functions and CIS Safeguards, as published in the CIS Controls.</t>
  </si>
  <si>
    <t>Overview: The CIS Controls® Self Assessment Tool, also known as CIS CSAT, enables organizations to assess and track their implementation of the CIS Controls for Versions 8 and 7.1. The CIS Controls are a prioritized set of consensus-developed security best practices used by organizations around the world to defend against cyber threats.</t>
  </si>
  <si>
    <t>Software</t>
  </si>
  <si>
    <t>Govern</t>
  </si>
  <si>
    <t>Documentation</t>
  </si>
  <si>
    <t>CIS RAM v2.2 for IG1</t>
  </si>
  <si>
    <t>What is the highest impact to the Mission, Operational Objectives, and Obligations that each Asset Type could cause? If you wish to estimate risks for each Asset Class, you must also add values to the rows that contain the Asset Classes you wish to analyze.</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</si>
  <si>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</si>
  <si>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</si>
  <si>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https://www.cisecurity.org/controls/resources?crc=about-the-cis-critical-security-controls</t>
  </si>
  <si>
    <t>A free tool with a dynamic list of the CIS Safeguards that can be filtered by Implemtation Groups and  mappings to multiple frameworks.</t>
  </si>
  <si>
    <t>https://www.cisecurity.org/controls/cis-controls-navigator</t>
  </si>
  <si>
    <t>Join our community where you can discuss the CIS Controls with our global army of experts and voluneers!</t>
  </si>
  <si>
    <r>
      <rPr>
        <b/>
        <sz val="11"/>
        <color theme="1"/>
        <rFont val="Arial"/>
        <family val="2"/>
      </rPr>
      <t>CIS CSAT Pro:</t>
    </r>
    <r>
      <rPr>
        <sz val="11"/>
        <color theme="1"/>
        <rFont val="Arial"/>
        <family val="2"/>
      </rPr>
      <t xml:space="preserve"> The on-premises version of CIS CSAT is available exclusively for CIS SecureSuite Members. This version offers additional features and benefits: Save time by using a simplified scoring method with a reduced number of questions, Decide whether to opt in to share data and see how scores compare to industry average, Greater flexibility with organization trees for tracking organizations, sub-organizations, and assessments, Assign users to different roles for different organizations/sub-organizations as well as greater separation of administrative and non-administrative roles, Track multiple concurrent assessments in the same organization, Easily access your tasks, assessments, and organizations from a consolidated home page, Includes CIS Controls Safeguard mappings to NIST CSF, NIST SP 800-53, and PCI. (released August 2020)</t>
    </r>
  </si>
  <si>
    <t>CIS-Hosted CSAT: The CIS-hosted version of CIS CSAT is free to every organization for use in a non-commercial capacity to conduct CIS Controls assessments of their organization. (released January 2019)</t>
  </si>
  <si>
    <r>
      <t>The CIS RAM for IG1 Workbook protects most cells in the Risk Register and lookup tables to prevent users from accidentally changing the formulas and lookups that automate the risk analysis and make it simple. 
If users are confident in their use of Microsoft</t>
    </r>
    <r>
      <rPr>
        <vertAlign val="superscript"/>
        <sz val="15"/>
        <color theme="0"/>
        <rFont val="Arial"/>
        <family val="2"/>
      </rPr>
      <t>®</t>
    </r>
    <r>
      <rPr>
        <sz val="15"/>
        <color theme="0"/>
        <rFont val="Arial"/>
        <family val="2"/>
      </rPr>
      <t xml:space="preserve"> Excel and wish to modify values, such as Risk Acceptance Criteria, they may “unprotect” the document by going to the “Review” tab in the Excel menu and selecting the “Unprotect sheet” button. However, guidance for maintenance of the Workbook, formulas, lookups, and protected cells is beyond the scope of this document.</t>
    </r>
  </si>
  <si>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</si>
  <si>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</si>
  <si>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</si>
  <si>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</si>
  <si>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</si>
  <si>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</si>
  <si>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</si>
  <si>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</si>
  <si>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</si>
  <si>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</si>
  <si>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</si>
  <si>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Use DNS filtering services on all end-user devices, including remote and on-premises assets, to block access to known malicious domains.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</si>
  <si>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</si>
  <si>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</si>
  <si>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Train workforce members to recognize social engineering attacks, such as phishing, business email compromise (BEC), pretexting, and tailgating. </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</si>
  <si>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</si>
  <si>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</si>
  <si>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</si>
  <si>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</si>
  <si>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</si>
  <si>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CIS-Hosted CSAT for CIS Controls v8/v8.1</t>
  </si>
  <si>
    <t>v8/v8.1 IG1 Safeguard #</t>
  </si>
  <si>
    <t>CIS CSAT Pro for CIS Controls v8/v8.1</t>
  </si>
  <si>
    <r>
      <t xml:space="preserve">1   </t>
    </r>
    <r>
      <rPr>
        <sz val="11"/>
        <color theme="1"/>
        <rFont val="Arial"/>
        <family val="2"/>
      </rPr>
      <t>In CIS CSAT Pro, filter on IG1 and Export Filtered CSV.</t>
    </r>
  </si>
  <si>
    <r>
      <t xml:space="preserve">b      </t>
    </r>
    <r>
      <rPr>
        <sz val="11"/>
        <color theme="1"/>
        <rFont val="Arial"/>
        <family val="2"/>
      </rPr>
      <t>Click the Filter button.</t>
    </r>
  </si>
  <si>
    <r>
      <t xml:space="preserve">2   </t>
    </r>
    <r>
      <rPr>
        <sz val="11"/>
        <color theme="1"/>
        <rFont val="Arial"/>
        <family val="2"/>
      </rPr>
      <t>Copy your scores from the exported CSAT Pro CSV file to the CIS RAM for IG1 Workbook.</t>
    </r>
  </si>
  <si>
    <r>
      <t xml:space="preserve">3   </t>
    </r>
    <r>
      <rPr>
        <sz val="11"/>
        <color theme="1"/>
        <rFont val="Arial"/>
        <family val="2"/>
      </rPr>
      <t>Once scores are final, copy the scores in the “CIS RAM Maturity Score Final” column into the “Safeguard Maturity Score” column of the appropriate CIS RAM tab.</t>
    </r>
  </si>
  <si>
    <r>
      <t xml:space="preserve">a      </t>
    </r>
    <r>
      <rPr>
        <sz val="11"/>
        <color theme="1"/>
        <rFont val="Arial"/>
        <family val="2"/>
      </rPr>
      <t>Right-click to copy and “Paste Special” as “Values” (e.g., 1,2,3).</t>
    </r>
  </si>
  <si>
    <r>
      <t>a  </t>
    </r>
    <r>
      <rPr>
        <sz val="11"/>
        <color theme="1"/>
        <rFont val="Arial"/>
        <family val="2"/>
      </rPr>
      <t>Go to the Assessment Summary page for the assessment of interest (this is reachable from the  Assessment Summary tab at the top of the Assessment Dashboard for that assessment).</t>
    </r>
  </si>
  <si>
    <r>
      <t>b </t>
    </r>
    <r>
      <rPr>
        <sz val="11"/>
        <color theme="1"/>
        <rFont val="Arial"/>
        <family val="2"/>
      </rPr>
      <t>Click the Filter button.</t>
    </r>
  </si>
  <si>
    <r>
      <t>c </t>
    </r>
    <r>
      <rPr>
        <sz val="11"/>
        <color theme="1"/>
        <rFont val="Arial"/>
        <family val="2"/>
      </rPr>
      <t>Select “IG-1” for the Implementation Group filter and click Search.</t>
    </r>
  </si>
  <si>
    <r>
      <t>d </t>
    </r>
    <r>
      <rPr>
        <sz val="11"/>
        <color theme="1"/>
        <rFont val="Arial"/>
        <family val="2"/>
      </rPr>
      <t>Click the “Export Filtered CSV” button to export the report.</t>
    </r>
  </si>
  <si>
    <r>
      <t>a  </t>
    </r>
    <r>
      <rPr>
        <sz val="11"/>
        <color theme="1"/>
        <rFont val="Arial"/>
        <family val="2"/>
      </rPr>
      <t>In the CSAT Pro CSV file, copy the contents of column E (labeled “Sub-Control</t>
    </r>
    <r>
      <rPr>
        <b/>
        <sz val="11"/>
        <color theme="1"/>
        <rFont val="Arial"/>
        <family val="2"/>
      </rPr>
      <t xml:space="preserve"> </t>
    </r>
    <r>
      <rPr>
        <sz val="11"/>
        <color theme="1"/>
        <rFont val="Arial"/>
        <family val="2"/>
      </rPr>
      <t>Score”) excluding the heading row.</t>
    </r>
  </si>
  <si>
    <r>
      <t xml:space="preserve">      b </t>
    </r>
    <r>
      <rPr>
        <sz val="11"/>
        <color theme="1"/>
        <rFont val="Arial"/>
        <family val="2"/>
      </rPr>
      <t>Go to the “CIS CSAT Pro” tab in the CIS RAM for IG1 Workbook.</t>
    </r>
  </si>
  <si>
    <r>
      <t xml:space="preserve">      c </t>
    </r>
    <r>
      <rPr>
        <sz val="11"/>
        <color theme="1"/>
        <rFont val="Arial"/>
        <family val="2"/>
      </rPr>
      <t>Paste the copied data into the appropriate section of the “CIS CSAT Pro” tab.</t>
    </r>
  </si>
  <si>
    <r>
      <t xml:space="preserve">      a </t>
    </r>
    <r>
      <rPr>
        <sz val="11"/>
        <color theme="1"/>
        <rFont val="Arial"/>
        <family val="2"/>
      </rPr>
      <t>Right-click to copy and “Paste Special” as “Values” (e.g., 1,2,3).</t>
    </r>
  </si>
  <si>
    <r>
      <t xml:space="preserve">1   </t>
    </r>
    <r>
      <rPr>
        <sz val="11"/>
        <color theme="1"/>
        <rFont val="Arial"/>
        <family val="2"/>
      </rPr>
      <t>In CIS-Hosted CSAT, filter on IG1 and export the filtered Safeguards.</t>
    </r>
  </si>
  <si>
    <r>
      <t xml:space="preserve">a      </t>
    </r>
    <r>
      <rPr>
        <sz val="11"/>
        <color theme="1"/>
        <rFont val="Arial"/>
        <family val="2"/>
      </rPr>
      <t>Go to the All Controls page for the assessment of interest (this is reachable from the All Controls link on the menu on the left under “Current Assessment”).</t>
    </r>
  </si>
  <si>
    <r>
      <t xml:space="preserve">c      </t>
    </r>
    <r>
      <rPr>
        <sz val="11"/>
        <color theme="1"/>
        <rFont val="Arial"/>
        <family val="2"/>
      </rPr>
      <t>Select “Group 1” for the Implementation Group filter and click Filter.</t>
    </r>
  </si>
  <si>
    <r>
      <t xml:space="preserve">d      </t>
    </r>
    <r>
      <rPr>
        <sz val="11"/>
        <color theme="1"/>
        <rFont val="Arial"/>
        <family val="2"/>
      </rPr>
      <t>Check to see if any of these Safeguards are in the blue (Not Assessed) state. You can see this in the “#” column – there will be a colored circle in each row by the Safeguard number. Any Safeguards that have a blue circle there will not export; if you have any blue Safeguards and you want to continue these steps, one way to get them out of the blue state is to:</t>
    </r>
  </si>
  <si>
    <r>
      <t xml:space="preserve">i     </t>
    </r>
    <r>
      <rPr>
        <sz val="11"/>
        <color theme="1"/>
        <rFont val="Arial"/>
        <family val="2"/>
      </rPr>
      <t>Select the checkbox next to each blue Safeguard.</t>
    </r>
  </si>
  <si>
    <r>
      <t xml:space="preserve">ii    </t>
    </r>
    <r>
      <rPr>
        <sz val="11"/>
        <color theme="1"/>
        <rFont val="Arial"/>
        <family val="2"/>
      </rPr>
      <t>Select “Un-Assign the control” from the Bulk Action option dropdown and click the “Save” button next to the dropdown. Please note: If any of the selected Safeguards were assigned, this will remove the assignee and the due date.</t>
    </r>
  </si>
  <si>
    <r>
      <t xml:space="preserve">e      </t>
    </r>
    <r>
      <rPr>
        <sz val="11"/>
        <color theme="1"/>
        <rFont val="Arial"/>
        <family val="2"/>
      </rPr>
      <t>Click the Download Report button to export the report.</t>
    </r>
  </si>
  <si>
    <r>
      <t xml:space="preserve">2   </t>
    </r>
    <r>
      <rPr>
        <sz val="11"/>
        <color theme="1"/>
        <rFont val="Arial"/>
        <family val="2"/>
      </rPr>
      <t>Copy your scores from the exported CIS-Hosted CSAT XLSX file to the CIS RAM IG1 Workbook.</t>
    </r>
  </si>
  <si>
    <r>
      <t xml:space="preserve">a      </t>
    </r>
    <r>
      <rPr>
        <sz val="11"/>
        <color theme="1"/>
        <rFont val="Arial"/>
        <family val="2"/>
      </rPr>
      <t>In the CIS-Hosted CSAT XLSX file, copy the contents of columns E through H (labeled Policy Defined, Control Implemented, Control Automated, and Control Reported) excluding the heading row.</t>
    </r>
  </si>
  <si>
    <r>
      <t xml:space="preserve">b      </t>
    </r>
    <r>
      <rPr>
        <sz val="11"/>
        <color theme="1"/>
        <rFont val="Arial"/>
        <family val="2"/>
      </rPr>
      <t>Go to the “CIS-Hosted CSAT” tab in the CIS RAM for IG1 Workbook.</t>
    </r>
  </si>
  <si>
    <r>
      <t xml:space="preserve">c      </t>
    </r>
    <r>
      <rPr>
        <sz val="11"/>
        <color theme="1"/>
        <rFont val="Arial"/>
        <family val="2"/>
      </rPr>
      <t>Paste the copied data into the appropriate section of the “CIS-Hosted CSAT” tab.</t>
    </r>
  </si>
  <si>
    <t>Q4</t>
  </si>
  <si>
    <t>After data inventory scan, review RBAC to determine whether permissions need to change. Apply necessary changes.</t>
  </si>
  <si>
    <t>Reduce</t>
  </si>
  <si>
    <t>Run data inventory each quarter. Compare results to Data Classification Zone standard.Resolve discrepencies.</t>
  </si>
  <si>
    <t>Accept</t>
  </si>
  <si>
    <t>Q1</t>
  </si>
  <si>
    <t>Add detection of unsupported software to the incident response plan.</t>
  </si>
  <si>
    <t>Deploy application allow-listing.</t>
  </si>
  <si>
    <t>Q3</t>
  </si>
  <si>
    <t>Implement a NAC</t>
  </si>
  <si>
    <t>Q2</t>
  </si>
  <si>
    <t>Example Manufacturer</t>
  </si>
  <si>
    <t>Enterprise</t>
  </si>
  <si>
    <r>
      <t xml:space="preserve">Note: This method will average the four scoring categories in CIS-Hosted CSAT for each Safeguard and aligns those averages with the CIS RAM Maturity Scores.  Please review the CIS RAM Maturity Scores, </t>
    </r>
    <r>
      <rPr>
        <b/>
        <u/>
        <sz val="11"/>
        <color rgb="FFFF0000"/>
        <rFont val="Arial"/>
        <family val="2"/>
      </rPr>
      <t>as defined below</t>
    </r>
    <r>
      <rPr>
        <b/>
        <sz val="11"/>
        <color rgb="FFFF0000"/>
        <rFont val="Arial"/>
        <family val="2"/>
      </rPr>
      <t xml:space="preserve">, to ensure this method aligns closely enough for your enterprise's scoring practices.
</t>
    </r>
  </si>
  <si>
    <t>CIS Controls v8.1 is not currently available in CIS-Hosted CSAT; however, copying the data from a CSAT Controls v 8.0 assessment will still work for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</si>
</sst>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40" x14ac:knownFonts="1">
    <font>
      <sz val="11"/>
      <color theme="1"/>
      <name val="Calibri"/>
      <family val="2"/>
      <scheme val="minor"/>
    </font>
    <font>
      <sz val="11"/>
      <color theme="1"/>
      <name val="Arial"/>
      <family val="2"/>
    </font>
    <font>
      <sz val="11"/>
      <color theme="1"/>
      <name val="Calibri"/>
      <family val="2"/>
      <scheme val="minor"/>
    </font>
    <font>
      <b/>
      <sz val="10"/>
      <color theme="0"/>
      <name val="Arial"/>
      <family val="2"/>
    </font>
    <font>
      <b/>
      <sz val="10"/>
      <color theme="1"/>
      <name val="Arial"/>
      <family val="2"/>
    </font>
    <font>
      <sz val="10"/>
      <color theme="1"/>
      <name val="Arial"/>
      <family val="2"/>
    </font>
    <font>
      <b/>
      <i/>
      <u/>
      <sz val="10"/>
      <color rgb="FF7030A0"/>
      <name val="Arial"/>
      <family val="2"/>
    </font>
    <font>
      <sz val="10"/>
      <color rgb="FF000000"/>
      <name val="Arial"/>
      <family val="2"/>
    </font>
    <font>
      <b/>
      <i/>
      <u/>
      <sz val="10"/>
      <color theme="1"/>
      <name val="Arial"/>
      <family val="2"/>
    </font>
    <font>
      <i/>
      <sz val="10"/>
      <color rgb="FF000000"/>
      <name val="Arial"/>
      <family val="2"/>
    </font>
    <font>
      <i/>
      <sz val="10"/>
      <name val="Arial"/>
      <family val="2"/>
    </font>
    <font>
      <b/>
      <i/>
      <u/>
      <sz val="10"/>
      <color rgb="FF000000"/>
      <name val="Arial"/>
      <family val="2"/>
    </font>
    <font>
      <b/>
      <sz val="11"/>
      <color theme="1"/>
      <name val="Arial"/>
      <family val="2"/>
    </font>
    <font>
      <sz val="11"/>
      <color theme="1"/>
      <name val="Arial"/>
      <family val="2"/>
    </font>
    <font>
      <b/>
      <i/>
      <sz val="10"/>
      <color theme="0"/>
      <name val="Arial"/>
      <family val="2"/>
    </font>
    <font>
      <sz val="20"/>
      <color theme="1"/>
      <name val="Arial"/>
      <family val="2"/>
    </font>
    <font>
      <sz val="7"/>
      <color theme="1"/>
      <name val="Arial"/>
      <family val="2"/>
    </font>
    <font>
      <b/>
      <sz val="36"/>
      <color theme="1"/>
      <name val="Arial"/>
      <family val="2"/>
    </font>
    <font>
      <b/>
      <sz val="12"/>
      <color rgb="FFFF0000"/>
      <name val="Arial"/>
      <family val="2"/>
    </font>
    <font>
      <b/>
      <sz val="22"/>
      <color theme="1"/>
      <name val="Arial"/>
      <family val="2"/>
    </font>
    <font>
      <b/>
      <sz val="35"/>
      <color theme="1"/>
      <name val="Arial"/>
      <family val="2"/>
    </font>
    <font>
      <b/>
      <sz val="11"/>
      <color rgb="FFFF0000"/>
      <name val="Arial"/>
      <family val="2"/>
    </font>
    <font>
      <b/>
      <u/>
      <sz val="11"/>
      <color rgb="FFFF0000"/>
      <name val="Arial"/>
      <family val="2"/>
    </font>
    <font>
      <b/>
      <sz val="20"/>
      <color rgb="FFFF0000"/>
      <name val="Arial"/>
      <family val="2"/>
    </font>
    <font>
      <sz val="28"/>
      <color rgb="FFFF0000"/>
      <name val="Arial"/>
      <family val="2"/>
    </font>
    <font>
      <b/>
      <sz val="12"/>
      <color theme="0"/>
      <name val="Arial"/>
      <family val="2"/>
    </font>
    <font>
      <b/>
      <sz val="12"/>
      <color theme="1"/>
      <name val="Arial"/>
      <family val="2"/>
    </font>
    <font>
      <b/>
      <sz val="11"/>
      <color theme="0"/>
      <name val="Arial"/>
      <family val="2"/>
    </font>
    <font>
      <sz val="8"/>
      <color rgb="FF1B2B38"/>
      <name val="Arial"/>
      <family val="2"/>
    </font>
    <font>
      <b/>
      <sz val="25"/>
      <color rgb="FF0086BF"/>
      <name val="Arial"/>
      <family val="2"/>
    </font>
    <font>
      <sz val="15"/>
      <color theme="0"/>
      <name val="Arial"/>
      <family val="2"/>
    </font>
    <font>
      <sz val="12"/>
      <color theme="1"/>
      <name val="Calibri"/>
      <family val="2"/>
      <scheme val="minor"/>
    </font>
    <font>
      <u/>
      <sz val="12"/>
      <color theme="10"/>
      <name val="Calibri"/>
      <family val="2"/>
      <scheme val="minor"/>
    </font>
    <font>
      <b/>
      <sz val="10"/>
      <color theme="7" tint="0.39997558519241921"/>
      <name val="Arial"/>
      <family val="2"/>
    </font>
    <font>
      <b/>
      <sz val="10"/>
      <color rgb="FF39B54A"/>
      <name val="Arial"/>
      <family val="2"/>
    </font>
    <font>
      <u/>
      <sz val="11"/>
      <color theme="10"/>
      <name val="Calibri"/>
      <family val="2"/>
      <scheme val="minor"/>
    </font>
    <font>
      <u/>
      <sz val="11"/>
      <color theme="10"/>
      <name val="Arial"/>
      <family val="2"/>
    </font>
    <font>
      <sz val="11"/>
      <color rgb="FF0086BF"/>
      <name val="Arial"/>
      <family val="2"/>
    </font>
    <font>
      <vertAlign val="superscript"/>
      <sz val="15"/>
      <color theme="0"/>
      <name val="Arial"/>
      <family val="2"/>
    </font>
    <font>
      <b/>
      <sz val="11"/>
      <color rgb="FF0083C1"/>
      <name val="Arial"/>
      <family val="2"/>
    </font>
  </fonts>
  <fills count="19">
    <fill>
      <patternFill patternType="none"/>
    </fill>
    <fill>
      <patternFill patternType="gray125"/>
    </fill>
    <fill>
      <patternFill patternType="solid">
        <fgColor theme="3"/>
        <bgColor indexed="64"/>
      </patternFill>
    </fill>
    <fill>
      <patternFill patternType="solid">
        <fgColor rgb="FF00B050"/>
        <bgColor indexed="64"/>
      </patternFill>
    </fill>
    <fill>
      <patternFill patternType="solid">
        <fgColor rgb="FF92D050"/>
        <bgColor indexed="64"/>
      </patternFill>
    </fill>
    <fill>
      <patternFill patternType="solid">
        <fgColor rgb="FF00206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A391F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DADCDE"/>
        <bgColor indexed="64"/>
      </patternFill>
    </fill>
    <fill>
      <patternFill patternType="solid">
        <fgColor rgb="FF0086BF"/>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bottom style="thick">
        <color theme="0"/>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medium">
        <color indexed="64"/>
      </left>
      <right style="thin">
        <color theme="0"/>
      </right>
      <top style="thin">
        <color theme="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ck">
        <color theme="0"/>
      </bottom>
      <diagonal/>
    </border>
    <border>
      <left style="medium">
        <color indexed="64"/>
      </left>
      <right/>
      <top style="medium">
        <color indexed="64"/>
      </top>
      <bottom style="thick">
        <color theme="0"/>
      </bottom>
      <diagonal/>
    </border>
    <border>
      <left/>
      <right/>
      <top style="medium">
        <color indexed="64"/>
      </top>
      <bottom style="thick">
        <color theme="0"/>
      </bottom>
      <diagonal/>
    </border>
    <border>
      <left/>
      <right style="medium">
        <color indexed="64"/>
      </right>
      <top style="medium">
        <color indexed="64"/>
      </top>
      <bottom style="thick">
        <color theme="0"/>
      </bottom>
      <diagonal/>
    </border>
    <border>
      <left style="medium">
        <color indexed="64"/>
      </left>
      <right style="thin">
        <color theme="0"/>
      </right>
      <top/>
      <bottom style="thick">
        <color theme="0"/>
      </bottom>
      <diagonal/>
    </border>
    <border>
      <left style="thin">
        <color theme="0"/>
      </left>
      <right style="medium">
        <color indexed="64"/>
      </right>
      <top/>
      <bottom style="thick">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medium">
        <color indexed="64"/>
      </left>
      <right style="medium">
        <color indexed="64"/>
      </right>
      <top style="thick">
        <color theme="0"/>
      </top>
      <bottom style="thin">
        <color theme="0"/>
      </bottom>
      <diagonal/>
    </border>
    <border>
      <left style="medium">
        <color indexed="64"/>
      </left>
      <right/>
      <top/>
      <bottom style="thick">
        <color theme="0"/>
      </bottom>
      <diagonal/>
    </border>
    <border>
      <left/>
      <right style="medium">
        <color indexed="64"/>
      </right>
      <top/>
      <bottom style="thick">
        <color theme="0"/>
      </bottom>
      <diagonal/>
    </border>
    <border>
      <left style="medium">
        <color theme="0"/>
      </left>
      <right/>
      <top/>
      <bottom style="thick">
        <color theme="0"/>
      </bottom>
      <diagonal/>
    </border>
    <border>
      <left/>
      <right style="medium">
        <color theme="0"/>
      </right>
      <top/>
      <bottom style="thick">
        <color theme="0"/>
      </bottom>
      <diagonal/>
    </border>
    <border>
      <left style="medium">
        <color theme="0"/>
      </left>
      <right style="thin">
        <color theme="0"/>
      </right>
      <top/>
      <bottom style="thick">
        <color theme="0"/>
      </bottom>
      <diagonal/>
    </border>
    <border>
      <left style="medium">
        <color indexed="64"/>
      </left>
      <right style="medium">
        <color theme="0"/>
      </right>
      <top/>
      <bottom style="thick">
        <color theme="0"/>
      </bottom>
      <diagonal/>
    </border>
    <border>
      <left style="medium">
        <color indexed="64"/>
      </left>
      <right style="thin">
        <color theme="0"/>
      </right>
      <top style="thick">
        <color theme="0"/>
      </top>
      <bottom style="thin">
        <color theme="0"/>
      </bottom>
      <diagonal/>
    </border>
    <border>
      <left style="medium">
        <color theme="0"/>
      </left>
      <right/>
      <top/>
      <bottom/>
      <diagonal/>
    </border>
    <border>
      <left style="thick">
        <color indexed="64"/>
      </left>
      <right style="thin">
        <color indexed="64"/>
      </right>
      <top style="thick">
        <color indexed="64"/>
      </top>
      <bottom style="thin">
        <color indexed="64"/>
      </bottom>
      <diagonal/>
    </border>
    <border>
      <left/>
      <right/>
      <top style="thick">
        <color indexed="64"/>
      </top>
      <bottom/>
      <diagonal/>
    </border>
    <border>
      <left/>
      <right style="medium">
        <color indexed="64"/>
      </right>
      <top style="thick">
        <color indexed="64"/>
      </top>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right/>
      <top/>
      <bottom style="thick">
        <color indexed="64"/>
      </bottom>
      <diagonal/>
    </border>
    <border>
      <left/>
      <right style="medium">
        <color indexed="64"/>
      </right>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style="medium">
        <color indexed="64"/>
      </right>
      <top style="medium">
        <color indexed="64"/>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left>
      <right style="thin">
        <color theme="1"/>
      </right>
      <top/>
      <bottom style="thin">
        <color theme="1"/>
      </bottom>
      <diagonal/>
    </border>
    <border>
      <left/>
      <right/>
      <top style="medium">
        <color indexed="64"/>
      </top>
      <bottom style="thin">
        <color theme="0"/>
      </bottom>
      <diagonal/>
    </border>
    <border>
      <left/>
      <right/>
      <top style="thin">
        <color theme="0"/>
      </top>
      <bottom style="thin">
        <color theme="0"/>
      </bottom>
      <diagonal/>
    </border>
    <border>
      <left/>
      <right/>
      <top style="thin">
        <color theme="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0" fontId="31" fillId="0" borderId="0"/>
    <xf numFmtId="0" fontId="32" fillId="0" borderId="0" applyNumberFormat="0" applyFill="0" applyBorder="0" applyAlignment="0" applyProtection="0"/>
    <xf numFmtId="0" fontId="35" fillId="0" borderId="0" applyNumberFormat="0" applyFill="0" applyBorder="0" applyAlignment="0" applyProtection="0"/>
  </cellStyleXfs>
  <cellXfs count="251">
    <xf numFmtId="0" fontId="0" fillId="0" borderId="0" xfId="0"/>
    <xf numFmtId="0" fontId="4" fillId="7" borderId="1" xfId="0" applyFont="1" applyFill="1" applyBorder="1" applyAlignment="1">
      <alignment horizontal="left" vertical="center"/>
    </xf>
    <xf numFmtId="0" fontId="5" fillId="0" borderId="0" xfId="0" applyFont="1"/>
    <xf numFmtId="0" fontId="5" fillId="5" borderId="0" xfId="0" applyFont="1" applyFill="1" applyAlignment="1">
      <alignment horizontal="center" vertical="center"/>
    </xf>
    <xf numFmtId="0" fontId="5" fillId="5" borderId="0" xfId="0" applyFont="1" applyFill="1" applyAlignment="1">
      <alignment horizontal="left" vertical="center" wrapText="1"/>
    </xf>
    <xf numFmtId="0" fontId="4" fillId="8" borderId="1" xfId="0" applyFont="1" applyFill="1" applyBorder="1" applyAlignment="1">
      <alignment vertical="center"/>
    </xf>
    <xf numFmtId="0" fontId="4" fillId="4" borderId="0" xfId="0" applyFont="1" applyFill="1" applyAlignment="1">
      <alignment horizontal="center" vertical="center" wrapText="1"/>
    </xf>
    <xf numFmtId="0" fontId="4" fillId="6"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wrapText="1"/>
    </xf>
    <xf numFmtId="44" fontId="5" fillId="0" borderId="0" xfId="2" applyFont="1" applyFill="1" applyAlignment="1" applyProtection="1">
      <alignment horizontal="left" vertical="center" wrapText="1"/>
      <protection locked="0"/>
    </xf>
    <xf numFmtId="44" fontId="5" fillId="8" borderId="0" xfId="2" applyFont="1" applyFill="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wrapText="1"/>
    </xf>
    <xf numFmtId="0" fontId="5" fillId="5"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pplyProtection="1">
      <alignment horizontal="left" vertical="center" wrapText="1"/>
      <protection locked="0"/>
    </xf>
    <xf numFmtId="1" fontId="6" fillId="0" borderId="0" xfId="0" applyNumberFormat="1" applyFont="1" applyAlignment="1" applyProtection="1">
      <alignment horizontal="center" vertical="center" wrapText="1"/>
      <protection locked="0"/>
    </xf>
    <xf numFmtId="164" fontId="7" fillId="0" borderId="0" xfId="2" applyNumberFormat="1" applyFont="1" applyFill="1" applyAlignment="1" applyProtection="1">
      <alignment horizontal="center" vertical="center" wrapText="1"/>
      <protection locked="0"/>
    </xf>
    <xf numFmtId="1" fontId="7" fillId="0" borderId="0" xfId="0" applyNumberFormat="1" applyFont="1" applyAlignment="1" applyProtection="1">
      <alignment horizontal="center" vertical="center" wrapText="1"/>
      <protection locked="0"/>
    </xf>
    <xf numFmtId="44" fontId="5" fillId="0" borderId="0" xfId="2" applyFont="1" applyAlignment="1">
      <alignment horizontal="right" vertical="center"/>
    </xf>
    <xf numFmtId="0" fontId="5" fillId="5" borderId="0" xfId="0" applyFont="1" applyFill="1"/>
    <xf numFmtId="0" fontId="3" fillId="2" borderId="1" xfId="0" applyFont="1" applyFill="1" applyBorder="1" applyAlignment="1">
      <alignment horizontal="left" vertical="center"/>
    </xf>
    <xf numFmtId="9" fontId="5" fillId="0" borderId="0" xfId="1" applyFont="1" applyAlignment="1">
      <alignment horizontal="center" vertical="center"/>
    </xf>
    <xf numFmtId="0" fontId="4" fillId="8" borderId="1" xfId="0" applyFont="1" applyFill="1" applyBorder="1" applyAlignment="1">
      <alignment horizontal="left" vertical="center" wrapText="1"/>
    </xf>
    <xf numFmtId="14" fontId="5" fillId="0" borderId="0" xfId="0" applyNumberFormat="1" applyFont="1" applyAlignment="1">
      <alignment horizontal="left" vertical="center"/>
    </xf>
    <xf numFmtId="0" fontId="7" fillId="0" borderId="0" xfId="0" applyFont="1" applyAlignment="1" applyProtection="1">
      <alignment horizontal="center" vertical="center" wrapText="1"/>
      <protection locked="0"/>
    </xf>
    <xf numFmtId="0" fontId="8" fillId="0" borderId="0" xfId="0" applyFont="1" applyAlignment="1" applyProtection="1">
      <alignment horizontal="left" vertical="center" wrapText="1"/>
      <protection locked="0"/>
    </xf>
    <xf numFmtId="0" fontId="8" fillId="0" borderId="0" xfId="0" applyFont="1" applyAlignment="1">
      <alignment horizontal="left" vertical="center" wrapText="1"/>
    </xf>
    <xf numFmtId="0" fontId="4" fillId="0" borderId="0" xfId="0" applyFont="1" applyAlignment="1" applyProtection="1">
      <alignment horizontal="center" vertical="center" wrapText="1"/>
      <protection locked="0"/>
    </xf>
    <xf numFmtId="0" fontId="9" fillId="0" borderId="0" xfId="0" applyFont="1" applyAlignment="1">
      <alignment horizontal="center" vertical="center" wrapText="1"/>
    </xf>
    <xf numFmtId="0" fontId="10" fillId="0" borderId="0" xfId="0" applyFont="1" applyAlignment="1">
      <alignment horizontal="center" vertical="center" wrapText="1"/>
    </xf>
    <xf numFmtId="0" fontId="3" fillId="9" borderId="1" xfId="0" applyFont="1" applyFill="1" applyBorder="1" applyAlignment="1">
      <alignment horizontal="center" vertical="center" wrapText="1"/>
    </xf>
    <xf numFmtId="1" fontId="11" fillId="0" borderId="0" xfId="0" applyNumberFormat="1" applyFont="1" applyAlignment="1" applyProtection="1">
      <alignment horizontal="left" vertical="center" wrapText="1"/>
      <protection locked="0"/>
    </xf>
    <xf numFmtId="0" fontId="4" fillId="0" borderId="1" xfId="0" applyFont="1" applyBorder="1" applyAlignment="1">
      <alignment horizontal="left" vertical="center"/>
    </xf>
    <xf numFmtId="0" fontId="5" fillId="0" borderId="1" xfId="0" applyFont="1" applyBorder="1"/>
    <xf numFmtId="0" fontId="14" fillId="6" borderId="0" xfId="0" applyFont="1" applyFill="1" applyAlignment="1">
      <alignment horizontal="center" vertical="center" wrapText="1"/>
    </xf>
    <xf numFmtId="0" fontId="5" fillId="0" borderId="0" xfId="0" applyFont="1" applyAlignment="1">
      <alignment vertical="center"/>
    </xf>
    <xf numFmtId="0" fontId="7" fillId="12" borderId="7"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7" fillId="12" borderId="20" xfId="0" applyFont="1" applyFill="1" applyBorder="1" applyAlignment="1">
      <alignment horizontal="center" vertical="center" wrapText="1"/>
    </xf>
    <xf numFmtId="0" fontId="7" fillId="11" borderId="20" xfId="0" applyFont="1" applyFill="1" applyBorder="1" applyAlignment="1">
      <alignment horizontal="center" vertical="center" wrapText="1"/>
    </xf>
    <xf numFmtId="0" fontId="7" fillId="11" borderId="21" xfId="0" applyFont="1" applyFill="1" applyBorder="1" applyAlignment="1">
      <alignment horizontal="center" vertical="center" wrapText="1"/>
    </xf>
    <xf numFmtId="0" fontId="7" fillId="12" borderId="22" xfId="0" applyFont="1" applyFill="1" applyBorder="1" applyAlignment="1">
      <alignment horizontal="center" vertical="center" wrapText="1"/>
    </xf>
    <xf numFmtId="0" fontId="3" fillId="10" borderId="27" xfId="0" applyFont="1" applyFill="1" applyBorder="1" applyAlignment="1">
      <alignment horizontal="center" vertical="center" wrapText="1"/>
    </xf>
    <xf numFmtId="0" fontId="3" fillId="10"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7" borderId="34" xfId="0" applyFont="1" applyFill="1" applyBorder="1" applyAlignment="1">
      <alignment horizontal="center" vertical="center" wrapText="1"/>
    </xf>
    <xf numFmtId="0" fontId="4" fillId="7" borderId="35" xfId="0" applyFont="1" applyFill="1" applyBorder="1" applyAlignment="1">
      <alignment horizontal="center" vertical="center" wrapText="1"/>
    </xf>
    <xf numFmtId="0" fontId="4" fillId="7" borderId="36" xfId="0" applyFont="1" applyFill="1" applyBorder="1" applyAlignment="1">
      <alignment horizontal="center" vertical="center" wrapText="1"/>
    </xf>
    <xf numFmtId="0" fontId="4" fillId="7" borderId="37" xfId="0" applyFont="1" applyFill="1" applyBorder="1" applyAlignment="1">
      <alignment horizontal="center" vertical="center" wrapText="1"/>
    </xf>
    <xf numFmtId="0" fontId="4" fillId="7" borderId="40" xfId="0" applyFont="1" applyFill="1" applyBorder="1" applyAlignment="1">
      <alignment horizontal="center" vertical="center" wrapText="1"/>
    </xf>
    <xf numFmtId="0" fontId="5" fillId="0" borderId="6" xfId="0" applyFont="1" applyBorder="1" applyAlignment="1">
      <alignment vertical="center"/>
    </xf>
    <xf numFmtId="0" fontId="5" fillId="0" borderId="38" xfId="0" applyFont="1" applyBorder="1" applyAlignment="1">
      <alignment vertical="center"/>
    </xf>
    <xf numFmtId="0" fontId="5" fillId="0" borderId="39" xfId="0" applyFont="1" applyBorder="1" applyAlignment="1">
      <alignment vertical="center"/>
    </xf>
    <xf numFmtId="0" fontId="5" fillId="0" borderId="0" xfId="0" applyFont="1" applyAlignment="1">
      <alignment horizontal="center" wrapText="1"/>
    </xf>
    <xf numFmtId="0" fontId="5" fillId="0" borderId="0" xfId="0" applyFont="1" applyProtection="1">
      <protection locked="0"/>
    </xf>
    <xf numFmtId="0" fontId="5" fillId="0" borderId="0" xfId="0" applyFont="1" applyAlignment="1" applyProtection="1">
      <alignment wrapText="1"/>
      <protection locked="0"/>
    </xf>
    <xf numFmtId="0" fontId="5" fillId="0" borderId="0" xfId="0" applyFont="1" applyAlignment="1" applyProtection="1">
      <alignment horizontal="center" wrapText="1"/>
      <protection locked="0"/>
    </xf>
    <xf numFmtId="0" fontId="5" fillId="0" borderId="52" xfId="0" applyFont="1" applyBorder="1" applyProtection="1">
      <protection locked="0"/>
    </xf>
    <xf numFmtId="0" fontId="5" fillId="0" borderId="0" xfId="0" applyFont="1" applyAlignment="1" applyProtection="1">
      <alignment horizontal="center" vertical="center"/>
      <protection locked="0"/>
    </xf>
    <xf numFmtId="0" fontId="13" fillId="0" borderId="12" xfId="0" applyFont="1" applyBorder="1" applyAlignment="1" applyProtection="1">
      <alignment horizontal="left" vertical="center" indent="5"/>
      <protection locked="0"/>
    </xf>
    <xf numFmtId="0" fontId="5" fillId="0" borderId="0" xfId="0" applyFont="1" applyAlignment="1" applyProtection="1">
      <alignment horizontal="left" vertical="center"/>
      <protection locked="0"/>
    </xf>
    <xf numFmtId="0" fontId="13" fillId="0" borderId="12" xfId="0" applyFont="1" applyBorder="1" applyAlignment="1" applyProtection="1">
      <alignment horizontal="left" vertical="center" wrapText="1" indent="10"/>
      <protection locked="0"/>
    </xf>
    <xf numFmtId="0" fontId="13" fillId="0" borderId="12" xfId="0" applyFont="1" applyBorder="1" applyAlignment="1" applyProtection="1">
      <alignment horizontal="left" vertical="center" indent="10"/>
      <protection locked="0"/>
    </xf>
    <xf numFmtId="0" fontId="16" fillId="0" borderId="12" xfId="0" applyFont="1" applyBorder="1" applyAlignment="1" applyProtection="1">
      <alignment horizontal="left" vertical="center" indent="15"/>
      <protection locked="0"/>
    </xf>
    <xf numFmtId="0" fontId="16" fillId="0" borderId="12" xfId="0" applyFont="1" applyBorder="1" applyAlignment="1" applyProtection="1">
      <alignment horizontal="left" vertical="center" wrapText="1" indent="15"/>
      <protection locked="0"/>
    </xf>
    <xf numFmtId="0" fontId="13" fillId="0" borderId="12" xfId="0" applyFont="1" applyBorder="1" applyAlignment="1" applyProtection="1">
      <alignment horizontal="left" vertical="center" wrapText="1" indent="5"/>
      <protection locked="0"/>
    </xf>
    <xf numFmtId="0" fontId="5" fillId="0" borderId="0" xfId="0" applyFont="1" applyAlignment="1" applyProtection="1">
      <alignment vertical="center"/>
      <protection locked="0"/>
    </xf>
    <xf numFmtId="0" fontId="3" fillId="10" borderId="27" xfId="0" applyFont="1" applyFill="1" applyBorder="1" applyAlignment="1" applyProtection="1">
      <alignment horizontal="center" vertical="center" wrapText="1"/>
      <protection locked="0"/>
    </xf>
    <xf numFmtId="0" fontId="3" fillId="10" borderId="18"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3" fillId="10" borderId="28" xfId="0" applyFont="1" applyFill="1" applyBorder="1" applyAlignment="1" applyProtection="1">
      <alignment horizontal="center" vertical="center" wrapText="1"/>
      <protection locked="0"/>
    </xf>
    <xf numFmtId="0" fontId="7" fillId="12" borderId="7" xfId="0" applyFont="1" applyFill="1" applyBorder="1" applyAlignment="1" applyProtection="1">
      <alignment horizontal="center" vertical="center" wrapText="1"/>
      <protection locked="0"/>
    </xf>
    <xf numFmtId="0" fontId="7" fillId="12" borderId="20" xfId="0" applyFont="1" applyFill="1" applyBorder="1" applyAlignment="1" applyProtection="1">
      <alignment horizontal="center" vertical="center" wrapText="1"/>
      <protection locked="0"/>
    </xf>
    <xf numFmtId="0" fontId="7" fillId="12" borderId="29" xfId="0" applyFont="1" applyFill="1" applyBorder="1" applyAlignment="1" applyProtection="1">
      <alignment horizontal="center" vertical="center" wrapText="1"/>
      <protection locked="0"/>
    </xf>
    <xf numFmtId="0" fontId="7" fillId="12" borderId="22" xfId="0" applyFont="1" applyFill="1" applyBorder="1" applyAlignment="1" applyProtection="1">
      <alignment horizontal="center" vertical="center" wrapText="1"/>
      <protection locked="0"/>
    </xf>
    <xf numFmtId="0" fontId="7" fillId="11" borderId="7" xfId="0" applyFont="1" applyFill="1" applyBorder="1" applyAlignment="1" applyProtection="1">
      <alignment horizontal="center" vertical="center" wrapText="1"/>
      <protection locked="0"/>
    </xf>
    <xf numFmtId="0" fontId="7" fillId="11" borderId="20" xfId="0" applyFont="1" applyFill="1" applyBorder="1" applyAlignment="1" applyProtection="1">
      <alignment horizontal="center" vertical="center" wrapText="1"/>
      <protection locked="0"/>
    </xf>
    <xf numFmtId="0" fontId="7" fillId="11" borderId="8" xfId="0" applyFont="1" applyFill="1" applyBorder="1" applyAlignment="1" applyProtection="1">
      <alignment horizontal="center" vertical="center" wrapText="1"/>
      <protection locked="0"/>
    </xf>
    <xf numFmtId="0" fontId="7" fillId="11" borderId="21" xfId="0" applyFont="1" applyFill="1" applyBorder="1" applyAlignment="1" applyProtection="1">
      <alignment horizontal="center" vertical="center" wrapText="1"/>
      <protection locked="0"/>
    </xf>
    <xf numFmtId="0" fontId="4" fillId="7" borderId="43" xfId="0" applyFont="1" applyFill="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7" borderId="46" xfId="0" applyFont="1" applyFill="1" applyBorder="1" applyAlignment="1">
      <alignment horizontal="center" vertical="center" wrapText="1"/>
    </xf>
    <xf numFmtId="0" fontId="4" fillId="7" borderId="41" xfId="0" applyFont="1" applyFill="1" applyBorder="1" applyAlignment="1">
      <alignment horizontal="center" vertical="center" wrapText="1"/>
    </xf>
    <xf numFmtId="0" fontId="5" fillId="0" borderId="47" xfId="0" applyFont="1" applyBorder="1" applyAlignment="1">
      <alignment vertical="center" wrapText="1"/>
    </xf>
    <xf numFmtId="0" fontId="5" fillId="0" borderId="48" xfId="0" applyFont="1" applyBorder="1" applyAlignment="1">
      <alignment vertical="center" wrapText="1"/>
    </xf>
    <xf numFmtId="0" fontId="4" fillId="7" borderId="42" xfId="0" applyFont="1" applyFill="1" applyBorder="1" applyAlignment="1">
      <alignment horizontal="center" vertical="center" wrapText="1"/>
    </xf>
    <xf numFmtId="0" fontId="5" fillId="0" borderId="1" xfId="0" applyFont="1" applyBorder="1" applyAlignment="1">
      <alignment vertical="center" wrapText="1"/>
    </xf>
    <xf numFmtId="0" fontId="5" fillId="0" borderId="49" xfId="0" applyFont="1" applyBorder="1" applyAlignment="1">
      <alignment vertical="center" wrapText="1"/>
    </xf>
    <xf numFmtId="0" fontId="5" fillId="0" borderId="50" xfId="0" applyFont="1" applyBorder="1" applyAlignment="1">
      <alignment vertical="center" wrapText="1"/>
    </xf>
    <xf numFmtId="0" fontId="5" fillId="0" borderId="51" xfId="0" applyFont="1" applyBorder="1" applyAlignment="1">
      <alignment vertical="center" wrapText="1"/>
    </xf>
    <xf numFmtId="0" fontId="15" fillId="0" borderId="0" xfId="0" applyFont="1" applyAlignment="1" applyProtection="1">
      <alignment wrapText="1"/>
      <protection locked="0"/>
    </xf>
    <xf numFmtId="0" fontId="5" fillId="0" borderId="0" xfId="0" applyFont="1" applyAlignment="1" applyProtection="1">
      <alignment horizontal="center" vertical="center" wrapText="1"/>
      <protection locked="0"/>
    </xf>
    <xf numFmtId="0" fontId="3" fillId="10" borderId="5" xfId="0" applyFont="1" applyFill="1" applyBorder="1" applyAlignment="1" applyProtection="1">
      <alignment horizontal="center" vertical="center" wrapText="1"/>
      <protection locked="0"/>
    </xf>
    <xf numFmtId="0" fontId="3" fillId="10" borderId="19" xfId="0" applyFont="1" applyFill="1" applyBorder="1" applyAlignment="1" applyProtection="1">
      <alignment horizontal="center" vertical="center" wrapText="1"/>
      <protection locked="0"/>
    </xf>
    <xf numFmtId="0" fontId="3" fillId="10" borderId="5" xfId="0" applyFont="1" applyFill="1" applyBorder="1" applyAlignment="1">
      <alignment horizontal="center" vertical="center" wrapText="1"/>
    </xf>
    <xf numFmtId="0" fontId="15" fillId="0" borderId="0" xfId="0" applyFont="1" applyAlignment="1">
      <alignment wrapText="1"/>
    </xf>
    <xf numFmtId="0" fontId="5" fillId="0" borderId="0" xfId="0" applyFont="1" applyAlignment="1">
      <alignment horizontal="center" vertical="center" wrapText="1"/>
    </xf>
    <xf numFmtId="0" fontId="3" fillId="10" borderId="19" xfId="0" applyFont="1" applyFill="1" applyBorder="1" applyAlignment="1">
      <alignment horizontal="center" vertical="center" wrapText="1"/>
    </xf>
    <xf numFmtId="0" fontId="3" fillId="10" borderId="23" xfId="0" applyFont="1" applyFill="1" applyBorder="1" applyAlignment="1" applyProtection="1">
      <alignment horizontal="center" vertical="center" wrapText="1"/>
      <protection locked="0"/>
    </xf>
    <xf numFmtId="0" fontId="3" fillId="10" borderId="2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5" fillId="0" borderId="53" xfId="0" applyFont="1" applyBorder="1" applyAlignment="1">
      <alignment horizontal="left" vertical="center" wrapText="1"/>
    </xf>
    <xf numFmtId="0" fontId="3" fillId="9" borderId="53" xfId="0" applyFont="1" applyFill="1" applyBorder="1" applyAlignment="1">
      <alignment horizontal="center" vertical="center" wrapText="1"/>
    </xf>
    <xf numFmtId="44" fontId="5" fillId="8" borderId="53" xfId="2" applyFont="1" applyFill="1" applyBorder="1" applyAlignment="1">
      <alignment horizontal="left" vertical="center" wrapText="1"/>
    </xf>
    <xf numFmtId="0" fontId="24" fillId="0" borderId="0" xfId="0" applyFont="1" applyAlignment="1">
      <alignment vertical="center" wrapText="1"/>
    </xf>
    <xf numFmtId="0" fontId="23" fillId="0" borderId="0" xfId="0" applyFont="1" applyAlignment="1">
      <alignment vertical="center" wrapText="1"/>
    </xf>
    <xf numFmtId="0" fontId="3" fillId="3" borderId="4"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10" borderId="4" xfId="0" applyFont="1" applyFill="1" applyBorder="1" applyAlignment="1">
      <alignment horizontal="left" vertical="center" wrapText="1"/>
    </xf>
    <xf numFmtId="0" fontId="3" fillId="9" borderId="4" xfId="0" applyFont="1" applyFill="1" applyBorder="1" applyAlignment="1">
      <alignment horizontal="left" vertical="center" wrapText="1"/>
    </xf>
    <xf numFmtId="0" fontId="4" fillId="7" borderId="54" xfId="0" applyFont="1" applyFill="1" applyBorder="1" applyAlignment="1">
      <alignment horizontal="center" vertical="center" wrapText="1"/>
    </xf>
    <xf numFmtId="0" fontId="3" fillId="3" borderId="58" xfId="0" applyFont="1" applyFill="1" applyBorder="1" applyAlignment="1">
      <alignment horizontal="left" vertical="center" wrapText="1"/>
    </xf>
    <xf numFmtId="0" fontId="3" fillId="3" borderId="59" xfId="0" applyFont="1" applyFill="1" applyBorder="1" applyAlignment="1">
      <alignment horizontal="left" vertical="center" wrapText="1"/>
    </xf>
    <xf numFmtId="0" fontId="5" fillId="0" borderId="57" xfId="0" applyFont="1" applyBorder="1" applyAlignment="1">
      <alignment vertical="center" wrapText="1"/>
    </xf>
    <xf numFmtId="0" fontId="3" fillId="6" borderId="58" xfId="0" applyFont="1" applyFill="1" applyBorder="1" applyAlignment="1">
      <alignment horizontal="left" vertical="center" wrapText="1"/>
    </xf>
    <xf numFmtId="0" fontId="3" fillId="9" borderId="59" xfId="0" applyFont="1" applyFill="1" applyBorder="1" applyAlignment="1">
      <alignment horizontal="left" vertical="center" wrapText="1"/>
    </xf>
    <xf numFmtId="0" fontId="5" fillId="14" borderId="48" xfId="0" applyFont="1" applyFill="1" applyBorder="1" applyAlignment="1">
      <alignment wrapText="1"/>
    </xf>
    <xf numFmtId="0" fontId="5" fillId="14" borderId="49" xfId="0" applyFont="1" applyFill="1" applyBorder="1" applyAlignment="1">
      <alignment wrapText="1"/>
    </xf>
    <xf numFmtId="0" fontId="5" fillId="14" borderId="57" xfId="0" applyFont="1" applyFill="1" applyBorder="1" applyAlignment="1">
      <alignment wrapText="1"/>
    </xf>
    <xf numFmtId="0" fontId="4" fillId="7" borderId="58" xfId="0" applyFont="1" applyFill="1" applyBorder="1" applyAlignment="1">
      <alignment horizontal="center" vertical="center" wrapText="1"/>
    </xf>
    <xf numFmtId="0" fontId="4" fillId="7" borderId="48" xfId="0" applyFont="1" applyFill="1" applyBorder="1" applyAlignment="1">
      <alignment horizontal="center" wrapText="1"/>
    </xf>
    <xf numFmtId="0" fontId="5" fillId="0" borderId="49" xfId="0" applyFont="1" applyBorder="1" applyAlignment="1">
      <alignment wrapText="1"/>
    </xf>
    <xf numFmtId="0" fontId="3" fillId="5" borderId="59" xfId="0" applyFont="1" applyFill="1" applyBorder="1" applyAlignment="1">
      <alignment horizontal="left" vertical="center" wrapText="1"/>
    </xf>
    <xf numFmtId="0" fontId="5" fillId="0" borderId="57" xfId="0" applyFont="1" applyBorder="1" applyAlignment="1">
      <alignment wrapText="1"/>
    </xf>
    <xf numFmtId="0" fontId="5" fillId="15" borderId="60" xfId="0" applyFont="1" applyFill="1" applyBorder="1" applyAlignment="1">
      <alignment horizontal="center" vertical="center" wrapText="1"/>
    </xf>
    <xf numFmtId="0" fontId="5" fillId="0" borderId="60" xfId="0" applyFont="1" applyBorder="1" applyAlignment="1">
      <alignment horizontal="left" vertical="center" wrapText="1"/>
    </xf>
    <xf numFmtId="0" fontId="5" fillId="16" borderId="53" xfId="0" applyFont="1" applyFill="1" applyBorder="1" applyAlignment="1">
      <alignment horizontal="center" vertical="center" wrapText="1"/>
    </xf>
    <xf numFmtId="0" fontId="5" fillId="3" borderId="53" xfId="0" applyFont="1" applyFill="1" applyBorder="1" applyAlignment="1">
      <alignment horizontal="center" vertical="center" wrapText="1"/>
    </xf>
    <xf numFmtId="0" fontId="3" fillId="5" borderId="61" xfId="0" applyFont="1" applyFill="1" applyBorder="1" applyAlignment="1">
      <alignment horizontal="left" vertical="center" wrapText="1"/>
    </xf>
    <xf numFmtId="0" fontId="3" fillId="5" borderId="62" xfId="0" applyFont="1" applyFill="1" applyBorder="1" applyAlignment="1">
      <alignment horizontal="left" vertical="center" wrapText="1"/>
    </xf>
    <xf numFmtId="0" fontId="3" fillId="5" borderId="63" xfId="0" applyFont="1" applyFill="1" applyBorder="1" applyAlignment="1">
      <alignment horizontal="left" vertical="center" wrapText="1"/>
    </xf>
    <xf numFmtId="0" fontId="5" fillId="0" borderId="1" xfId="0" applyFont="1" applyBorder="1" applyAlignment="1">
      <alignment horizontal="left"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49" fontId="7" fillId="0" borderId="0" xfId="0" applyNumberFormat="1" applyFont="1" applyAlignment="1" applyProtection="1">
      <alignment horizontal="center" vertical="center" wrapText="1"/>
      <protection locked="0"/>
    </xf>
    <xf numFmtId="0" fontId="1" fillId="0" borderId="0" xfId="0" applyFont="1"/>
    <xf numFmtId="0" fontId="1" fillId="0" borderId="0" xfId="0" applyFont="1" applyAlignment="1">
      <alignment wrapText="1"/>
    </xf>
    <xf numFmtId="0" fontId="1" fillId="0" borderId="64" xfId="0" applyFont="1" applyBorder="1"/>
    <xf numFmtId="0" fontId="1" fillId="0" borderId="66" xfId="0" applyFont="1" applyBorder="1" applyAlignment="1">
      <alignment wrapText="1"/>
    </xf>
    <xf numFmtId="0" fontId="1" fillId="0" borderId="67" xfId="0" applyFont="1" applyBorder="1"/>
    <xf numFmtId="0" fontId="1" fillId="0" borderId="6" xfId="0" applyFont="1" applyBorder="1" applyAlignment="1">
      <alignment wrapText="1"/>
    </xf>
    <xf numFmtId="0" fontId="36" fillId="0" borderId="6" xfId="5" applyFont="1" applyBorder="1" applyAlignment="1">
      <alignment wrapText="1"/>
    </xf>
    <xf numFmtId="0" fontId="1" fillId="0" borderId="68" xfId="0" applyFont="1" applyBorder="1"/>
    <xf numFmtId="0" fontId="0" fillId="0" borderId="65" xfId="0" applyBorder="1"/>
    <xf numFmtId="0" fontId="0" fillId="0" borderId="69" xfId="0" applyBorder="1"/>
    <xf numFmtId="0" fontId="12" fillId="0" borderId="6" xfId="3" applyFont="1" applyBorder="1" applyAlignment="1">
      <alignment vertical="center" wrapText="1"/>
    </xf>
    <xf numFmtId="0" fontId="1" fillId="0" borderId="6" xfId="3" applyFont="1" applyBorder="1" applyAlignment="1">
      <alignment vertical="top" wrapText="1"/>
    </xf>
    <xf numFmtId="0" fontId="1" fillId="0" borderId="6" xfId="3" applyFont="1" applyBorder="1" applyAlignment="1">
      <alignment horizontal="left" vertical="top" wrapText="1"/>
    </xf>
    <xf numFmtId="0" fontId="12" fillId="0" borderId="6" xfId="3" applyFont="1" applyBorder="1" applyAlignment="1">
      <alignment horizontal="left" vertical="top" wrapText="1"/>
    </xf>
    <xf numFmtId="0" fontId="37" fillId="0" borderId="6" xfId="4" applyFont="1" applyBorder="1" applyAlignment="1">
      <alignment horizontal="left" vertical="top" wrapText="1"/>
    </xf>
    <xf numFmtId="0" fontId="37" fillId="0" borderId="70" xfId="4" applyFont="1" applyBorder="1" applyAlignment="1">
      <alignment horizontal="left" vertical="top" wrapText="1"/>
    </xf>
    <xf numFmtId="0" fontId="13" fillId="0" borderId="0" xfId="0" applyFont="1" applyAlignment="1" applyProtection="1">
      <alignment horizontal="left" vertical="center" wrapText="1" indent="10"/>
      <protection locked="0"/>
    </xf>
    <xf numFmtId="0" fontId="19" fillId="8" borderId="71" xfId="0" applyFont="1" applyFill="1" applyBorder="1" applyAlignment="1" applyProtection="1">
      <alignment horizontal="center" vertical="center" wrapText="1"/>
      <protection locked="0"/>
    </xf>
    <xf numFmtId="0" fontId="39" fillId="0" borderId="12" xfId="0" applyFont="1" applyBorder="1" applyAlignment="1">
      <alignment horizontal="left" vertical="center" wrapText="1"/>
    </xf>
    <xf numFmtId="0" fontId="1" fillId="0" borderId="12" xfId="0" applyFont="1" applyBorder="1" applyAlignment="1">
      <alignment vertical="center" wrapText="1"/>
    </xf>
    <xf numFmtId="0" fontId="5" fillId="0" borderId="0" xfId="0" applyFont="1" applyAlignment="1" applyProtection="1">
      <alignment horizontal="left" wrapText="1" indent="2"/>
      <protection locked="0"/>
    </xf>
    <xf numFmtId="0" fontId="39" fillId="0" borderId="12" xfId="0" applyFont="1" applyBorder="1" applyAlignment="1">
      <alignment horizontal="left" vertical="center" wrapText="1" indent="1"/>
    </xf>
    <xf numFmtId="0" fontId="39" fillId="0" borderId="12" xfId="0" applyFont="1" applyBorder="1" applyAlignment="1">
      <alignment horizontal="left" vertical="center" wrapText="1" indent="3"/>
    </xf>
    <xf numFmtId="0" fontId="39" fillId="0" borderId="12" xfId="0" applyFont="1" applyBorder="1" applyAlignment="1">
      <alignment horizontal="left" vertical="center" wrapText="1" indent="4"/>
    </xf>
    <xf numFmtId="0" fontId="39" fillId="0" borderId="52" xfId="0" applyFont="1" applyBorder="1" applyAlignment="1">
      <alignment horizontal="left" vertical="center" wrapText="1"/>
    </xf>
    <xf numFmtId="0" fontId="39" fillId="0" borderId="12" xfId="0" applyFont="1" applyBorder="1" applyAlignment="1">
      <alignment horizontal="left" vertical="center" wrapText="1" indent="9"/>
    </xf>
    <xf numFmtId="0" fontId="39" fillId="0" borderId="12" xfId="0" applyFont="1" applyBorder="1" applyAlignment="1">
      <alignment horizontal="left" vertical="center" wrapText="1" indent="5"/>
    </xf>
    <xf numFmtId="0" fontId="39" fillId="0" borderId="13" xfId="0" applyFont="1" applyBorder="1" applyAlignment="1">
      <alignment horizontal="left" vertical="center" wrapText="1" indent="5"/>
    </xf>
    <xf numFmtId="0" fontId="39" fillId="0" borderId="13" xfId="0" applyFont="1" applyBorder="1" applyAlignment="1">
      <alignment horizontal="left" vertical="center" wrapText="1" indent="1"/>
    </xf>
    <xf numFmtId="0" fontId="29" fillId="17" borderId="2" xfId="0" applyFont="1" applyFill="1" applyBorder="1" applyAlignment="1">
      <alignment horizontal="center" vertical="center"/>
    </xf>
    <xf numFmtId="0" fontId="29" fillId="17" borderId="3" xfId="0" applyFont="1" applyFill="1" applyBorder="1" applyAlignment="1">
      <alignment horizontal="center" vertical="center"/>
    </xf>
    <xf numFmtId="0" fontId="29" fillId="17" borderId="4" xfId="0" applyFont="1" applyFill="1" applyBorder="1" applyAlignment="1">
      <alignment horizontal="center" vertical="center"/>
    </xf>
    <xf numFmtId="0" fontId="30" fillId="18" borderId="1" xfId="0" applyFont="1" applyFill="1" applyBorder="1" applyAlignment="1">
      <alignment horizontal="left" vertical="center" wrapText="1"/>
    </xf>
    <xf numFmtId="0" fontId="4" fillId="8" borderId="54" xfId="0" applyFont="1" applyFill="1" applyBorder="1" applyAlignment="1">
      <alignment horizontal="center" vertical="center" wrapText="1"/>
    </xf>
    <xf numFmtId="0" fontId="4" fillId="8" borderId="55" xfId="0" applyFont="1" applyFill="1" applyBorder="1" applyAlignment="1">
      <alignment horizontal="center" vertical="center" wrapText="1"/>
    </xf>
    <xf numFmtId="0" fontId="4" fillId="8" borderId="56" xfId="0" applyFont="1" applyFill="1" applyBorder="1" applyAlignment="1">
      <alignment horizontal="center"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xf numFmtId="0" fontId="5" fillId="0" borderId="1" xfId="0" applyFont="1" applyBorder="1" applyAlignment="1">
      <alignment horizontal="left" vertical="center" wrapText="1"/>
    </xf>
    <xf numFmtId="0" fontId="25" fillId="4" borderId="2"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5" fillId="0" borderId="0" xfId="0" applyFont="1" applyAlignment="1">
      <alignment horizontal="center" vertical="top"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25" fillId="4" borderId="52" xfId="0" applyFont="1" applyFill="1" applyBorder="1" applyAlignment="1">
      <alignment horizontal="center" vertical="center" wrapText="1"/>
    </xf>
    <xf numFmtId="0" fontId="25" fillId="4" borderId="12" xfId="0" applyFont="1" applyFill="1" applyBorder="1" applyAlignment="1">
      <alignment horizontal="center" vertical="center" wrapText="1"/>
    </xf>
    <xf numFmtId="0" fontId="25" fillId="4" borderId="13" xfId="0" applyFont="1" applyFill="1" applyBorder="1" applyAlignment="1">
      <alignment horizontal="center" vertical="center" wrapText="1"/>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26" fillId="0" borderId="52" xfId="0" applyFont="1" applyBorder="1" applyAlignment="1">
      <alignment horizontal="center" vertical="center"/>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7" fillId="3" borderId="1" xfId="0" applyFont="1" applyFill="1" applyBorder="1" applyAlignment="1">
      <alignment horizontal="center" vertical="center" wrapText="1"/>
    </xf>
    <xf numFmtId="0" fontId="18" fillId="0" borderId="9" xfId="0" applyFont="1" applyBorder="1" applyAlignment="1" applyProtection="1">
      <alignment horizontal="center" wrapText="1"/>
      <protection locked="0"/>
    </xf>
    <xf numFmtId="0" fontId="18" fillId="0" borderId="11" xfId="0" applyFont="1" applyBorder="1" applyAlignment="1" applyProtection="1">
      <alignment horizontal="center" wrapText="1"/>
      <protection locked="0"/>
    </xf>
    <xf numFmtId="0" fontId="3" fillId="10" borderId="15" xfId="0" applyFont="1" applyFill="1" applyBorder="1" applyAlignment="1" applyProtection="1">
      <alignment horizontal="center" vertical="center" wrapText="1"/>
      <protection locked="0"/>
    </xf>
    <xf numFmtId="0" fontId="3" fillId="10" borderId="16" xfId="0"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center" wrapText="1"/>
      <protection locked="0"/>
    </xf>
    <xf numFmtId="0" fontId="17" fillId="8" borderId="9" xfId="0" applyFont="1" applyFill="1" applyBorder="1" applyAlignment="1" applyProtection="1">
      <alignment horizontal="center" vertical="center"/>
      <protection locked="0"/>
    </xf>
    <xf numFmtId="0" fontId="17" fillId="8" borderId="10" xfId="0" applyFont="1" applyFill="1" applyBorder="1" applyAlignment="1" applyProtection="1">
      <alignment horizontal="center" vertical="center"/>
      <protection locked="0"/>
    </xf>
    <xf numFmtId="0" fontId="17" fillId="8" borderId="11" xfId="0" applyFont="1" applyFill="1" applyBorder="1" applyAlignment="1" applyProtection="1">
      <alignment horizontal="center" vertical="center"/>
      <protection locked="0"/>
    </xf>
    <xf numFmtId="0" fontId="1" fillId="0" borderId="65"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20" fillId="8" borderId="9" xfId="0" applyFont="1" applyFill="1" applyBorder="1" applyAlignment="1" applyProtection="1">
      <alignment horizontal="center" vertical="center" wrapText="1"/>
      <protection locked="0"/>
    </xf>
    <xf numFmtId="0" fontId="20" fillId="8" borderId="10" xfId="0" applyFont="1" applyFill="1" applyBorder="1" applyAlignment="1" applyProtection="1">
      <alignment horizontal="center" vertical="center" wrapText="1"/>
      <protection locked="0"/>
    </xf>
    <xf numFmtId="0" fontId="20" fillId="8" borderId="11" xfId="0" applyFont="1" applyFill="1" applyBorder="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1" fillId="0" borderId="52"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3" fillId="10" borderId="30"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center" wrapText="1"/>
      <protection locked="0"/>
    </xf>
    <xf numFmtId="0" fontId="3" fillId="10" borderId="14" xfId="0" applyFont="1" applyFill="1" applyBorder="1" applyAlignment="1" applyProtection="1">
      <alignment horizontal="center" vertical="center" wrapText="1"/>
      <protection locked="0"/>
    </xf>
    <xf numFmtId="0" fontId="3" fillId="10" borderId="24" xfId="0" applyFont="1" applyFill="1" applyBorder="1" applyAlignment="1" applyProtection="1">
      <alignment horizontal="center" vertical="center" wrapText="1"/>
      <protection locked="0"/>
    </xf>
    <xf numFmtId="0" fontId="3" fillId="10" borderId="23" xfId="0" applyFont="1" applyFill="1" applyBorder="1" applyAlignment="1" applyProtection="1">
      <alignment horizontal="center" vertical="center" wrapText="1"/>
      <protection locked="0"/>
    </xf>
    <xf numFmtId="0" fontId="3" fillId="10" borderId="26" xfId="0" applyFont="1" applyFill="1" applyBorder="1" applyAlignment="1" applyProtection="1">
      <alignment horizontal="center" vertical="center" wrapText="1"/>
      <protection locked="0"/>
    </xf>
    <xf numFmtId="0" fontId="3" fillId="10" borderId="15"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17" fillId="8" borderId="9" xfId="0" applyFont="1" applyFill="1" applyBorder="1" applyAlignment="1">
      <alignment horizontal="center" vertical="center"/>
    </xf>
    <xf numFmtId="0" fontId="17" fillId="8" borderId="10" xfId="0" applyFont="1" applyFill="1" applyBorder="1" applyAlignment="1">
      <alignment horizontal="center" vertical="center"/>
    </xf>
    <xf numFmtId="0" fontId="17" fillId="8" borderId="11" xfId="0" applyFont="1" applyFill="1" applyBorder="1" applyAlignment="1">
      <alignment horizontal="center" vertical="center"/>
    </xf>
    <xf numFmtId="0" fontId="23" fillId="13" borderId="0" xfId="0" applyFont="1" applyFill="1" applyAlignment="1">
      <alignment horizontal="center" vertical="center" wrapText="1"/>
    </xf>
    <xf numFmtId="0" fontId="20" fillId="8" borderId="9"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3" fillId="10" borderId="30"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0" borderId="26" xfId="0" applyFont="1" applyFill="1" applyBorder="1" applyAlignment="1">
      <alignment horizontal="center" vertical="center" wrapText="1"/>
    </xf>
  </cellXfs>
  <cellStyles count="6">
    <cellStyle name="Currency" xfId="2" builtinId="4"/>
    <cellStyle name="Hyperlink" xfId="5" builtinId="8"/>
    <cellStyle name="Hyperlink 2" xfId="4" xr:uid="{0CB9B323-17D9-4C6D-83F3-086F05562FBC}"/>
    <cellStyle name="Normal" xfId="0" builtinId="0"/>
    <cellStyle name="Normal 2" xfId="3" xr:uid="{FFAC3ACF-489C-47B4-88E6-FE59E4F8C723}"/>
    <cellStyle name="Percent" xfId="1" builtinId="5"/>
  </cellStyles>
  <dxfs count="152">
    <dxf>
      <font>
        <b/>
        <i val="0"/>
        <color rgb="FF519FD7"/>
      </font>
    </dxf>
    <dxf>
      <font>
        <b/>
        <i val="0"/>
        <color rgb="FF519FD7"/>
      </font>
    </dxf>
    <dxf>
      <font>
        <color rgb="FFF99D1C"/>
      </font>
    </dxf>
    <dxf>
      <font>
        <b/>
        <i val="0"/>
        <color rgb="FFEF4044"/>
      </font>
    </dxf>
    <dxf>
      <font>
        <b/>
        <i val="0"/>
        <color rgb="FF875295"/>
      </font>
    </dxf>
    <dxf>
      <font>
        <color rgb="FF9C0006"/>
      </font>
      <fill>
        <patternFill>
          <bgColor rgb="FFFFC7CE"/>
        </patternFill>
      </fill>
    </dxf>
    <dxf>
      <font>
        <b/>
        <i val="0"/>
        <color rgb="FF519FD7"/>
      </font>
    </dxf>
    <dxf>
      <font>
        <b/>
        <i val="0"/>
        <color rgb="FF519FD7"/>
      </font>
    </dxf>
    <dxf>
      <font>
        <color rgb="FFF99D1C"/>
      </font>
    </dxf>
    <dxf>
      <font>
        <b/>
        <i val="0"/>
        <color rgb="FFEF4044"/>
      </font>
    </dxf>
    <dxf>
      <font>
        <b/>
        <i val="0"/>
        <color rgb="FF875295"/>
      </font>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b/>
        <strike val="0"/>
        <outline val="0"/>
        <shadow val="0"/>
        <vertAlign val="baseline"/>
        <sz val="10"/>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0"/>
        <name val="Arial"/>
        <family val="2"/>
        <scheme val="none"/>
      </font>
      <fill>
        <patternFill patternType="none">
          <fgColor rgb="FF000000"/>
          <bgColor auto="1"/>
        </patternFill>
      </fill>
      <alignment horizontal="left" vertical="center" textRotation="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vertAlign val="baseline"/>
        <sz val="10"/>
        <name val="Arial"/>
        <family val="2"/>
        <scheme val="none"/>
      </font>
      <alignment horizontal="left" vertical="center" textRotation="0" wrapText="0" indent="0" justifyLastLine="0" shrinkToFit="0" readingOrder="0"/>
    </dxf>
    <dxf>
      <font>
        <strike val="0"/>
        <outline val="0"/>
        <shadow val="0"/>
        <vertAlign val="baseline"/>
        <sz val="10"/>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border outline="0">
        <left style="thin">
          <color theme="0"/>
        </left>
      </border>
      <protection locked="0" hidden="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right style="thin">
          <color theme="0"/>
        </right>
        <top style="medium">
          <color rgb="FF0086BF"/>
        </top>
        <bottom style="medium">
          <color rgb="FF0086BF"/>
        </bottom>
      </border>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1" indent="0" justifyLastLine="0" shrinkToFit="0" readingOrder="0"/>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b/>
        <strike val="0"/>
        <outline val="0"/>
        <shadow val="0"/>
        <vertAlign val="baseline"/>
        <sz val="10"/>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0"/>
        <name val="Arial"/>
        <family val="2"/>
        <scheme val="none"/>
      </font>
      <fill>
        <patternFill patternType="none">
          <fgColor rgb="FF000000"/>
          <bgColor auto="1"/>
        </patternFill>
      </fill>
      <alignment horizontal="left" vertical="center" textRotation="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vertAlign val="baseline"/>
        <sz val="10"/>
        <name val="Arial"/>
        <family val="2"/>
        <scheme val="none"/>
      </font>
      <alignment horizontal="left" vertical="center" textRotation="0" wrapText="0" indent="0" justifyLastLine="0" shrinkToFit="0" readingOrder="0"/>
    </dxf>
    <dxf>
      <font>
        <strike val="0"/>
        <outline val="0"/>
        <shadow val="0"/>
        <vertAlign val="baseline"/>
        <sz val="10"/>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0"/>
        <name val="Arial"/>
        <family val="2"/>
        <scheme val="none"/>
      </font>
      <fill>
        <patternFill patternType="none">
          <fgColor indexed="64"/>
          <bgColor auto="1"/>
        </patternFill>
      </fill>
      <alignment horizontal="left" vertical="center" textRotation="0" wrapText="1" indent="0" justifyLastLine="0" shrinkToFit="0" readingOrder="0"/>
    </dxf>
    <dxf>
      <font>
        <b/>
        <strike val="0"/>
        <outline val="0"/>
        <shadow val="0"/>
        <vertAlign val="baseline"/>
        <sz val="10"/>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vertAlign val="baseline"/>
        <sz val="10"/>
        <name val="Arial"/>
        <family val="2"/>
        <scheme val="none"/>
      </font>
      <fill>
        <patternFill patternType="none">
          <fgColor rgb="FF000000"/>
          <bgColor auto="1"/>
        </patternFill>
      </fill>
      <alignment horizontal="left" vertical="center" textRotation="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font>
        <b/>
        <strike val="0"/>
        <outline val="0"/>
        <shadow val="0"/>
        <vertAlign val="baseline"/>
        <sz val="10"/>
        <name val="Arial"/>
        <family val="2"/>
        <scheme val="none"/>
      </font>
      <alignment horizontal="left" vertical="center" textRotation="0" wrapText="0" indent="0" justifyLastLine="0" shrinkToFit="0" readingOrder="0"/>
    </dxf>
    <dxf>
      <font>
        <strike val="0"/>
        <outline val="0"/>
        <shadow val="0"/>
        <vertAlign val="baseline"/>
        <sz val="10"/>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rgb="FF92D050"/>
        </patternFill>
      </fill>
      <alignment horizontal="center" vertical="center" textRotation="0" wrapText="1" indent="0" justifyLastLine="0" shrinkToFit="0" readingOrder="0"/>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border outline="0">
        <left style="thin">
          <color theme="0"/>
        </left>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right style="thin">
          <color theme="0"/>
        </right>
        <top style="medium">
          <color rgb="FF0086BF"/>
        </top>
        <bottom style="medium">
          <color rgb="FF0086BF"/>
        </bottom>
      </border>
      <protection locked="1"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colors>
    <mruColors>
      <color rgb="FF003B5C"/>
      <color rgb="FFA391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757330</xdr:colOff>
      <xdr:row>58</xdr:row>
      <xdr:rowOff>137391</xdr:rowOff>
    </xdr:to>
    <xdr:pic>
      <xdr:nvPicPr>
        <xdr:cNvPr id="4" name="Picture 3">
          <a:extLst>
            <a:ext uri="{FF2B5EF4-FFF2-40B4-BE49-F238E27FC236}">
              <a16:creationId xmlns:a16="http://schemas.microsoft.com/office/drawing/2014/main" id="{30F8840F-7B49-491A-BE51-9FC6F362DD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8644030" cy="11186391"/>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677009</xdr:colOff>
      <xdr:row>4</xdr:row>
      <xdr:rowOff>0</xdr:rowOff>
    </xdr:from>
    <xdr:to>
      <xdr:col>1</xdr:col>
      <xdr:colOff>3422550</xdr:colOff>
      <xdr:row>4</xdr:row>
      <xdr:rowOff>491166</xdr:rowOff>
    </xdr:to>
    <xdr:pic>
      <xdr:nvPicPr>
        <xdr:cNvPr id="2" name="Graphic 3">
          <a:extLst>
            <a:ext uri="{FF2B5EF4-FFF2-40B4-BE49-F238E27FC236}">
              <a16:creationId xmlns:a16="http://schemas.microsoft.com/office/drawing/2014/main" id="{41D0174B-2CC6-477C-8A0E-5ABF089AF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24709" y="774700"/>
          <a:ext cx="2745541" cy="491166"/>
        </a:xfrm>
        <a:prstGeom prst="rect">
          <a:avLst/>
        </a:prstGeom>
      </xdr:spPr>
    </xdr:pic>
    <xdr:clientData/>
  </xdr:twoCellAnchor>
  <xdr:twoCellAnchor editAs="oneCell">
    <xdr:from>
      <xdr:col>1</xdr:col>
      <xdr:colOff>699433</xdr:colOff>
      <xdr:row>8</xdr:row>
      <xdr:rowOff>165100</xdr:rowOff>
    </xdr:from>
    <xdr:to>
      <xdr:col>1</xdr:col>
      <xdr:colOff>3428121</xdr:colOff>
      <xdr:row>10</xdr:row>
      <xdr:rowOff>99060</xdr:rowOff>
    </xdr:to>
    <xdr:pic>
      <xdr:nvPicPr>
        <xdr:cNvPr id="3" name="Graphic 2">
          <a:extLst>
            <a:ext uri="{FF2B5EF4-FFF2-40B4-BE49-F238E27FC236}">
              <a16:creationId xmlns:a16="http://schemas.microsoft.com/office/drawing/2014/main" id="{621A821C-F684-4308-A388-6810B6E3FC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47133" y="3454400"/>
          <a:ext cx="2728688" cy="657860"/>
        </a:xfrm>
        <a:prstGeom prst="rect">
          <a:avLst/>
        </a:prstGeom>
      </xdr:spPr>
    </xdr:pic>
    <xdr:clientData/>
  </xdr:twoCellAnchor>
  <xdr:twoCellAnchor editAs="oneCell">
    <xdr:from>
      <xdr:col>1</xdr:col>
      <xdr:colOff>477907</xdr:colOff>
      <xdr:row>12</xdr:row>
      <xdr:rowOff>155574</xdr:rowOff>
    </xdr:from>
    <xdr:to>
      <xdr:col>1</xdr:col>
      <xdr:colOff>3527678</xdr:colOff>
      <xdr:row>16</xdr:row>
      <xdr:rowOff>177799</xdr:rowOff>
    </xdr:to>
    <xdr:pic>
      <xdr:nvPicPr>
        <xdr:cNvPr id="4" name="Graphic 5">
          <a:extLst>
            <a:ext uri="{FF2B5EF4-FFF2-40B4-BE49-F238E27FC236}">
              <a16:creationId xmlns:a16="http://schemas.microsoft.com/office/drawing/2014/main" id="{8CD76C39-4ED2-427E-867A-280B186263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125607" y="4562474"/>
          <a:ext cx="3049771" cy="796925"/>
        </a:xfrm>
        <a:prstGeom prst="rect">
          <a:avLst/>
        </a:prstGeom>
      </xdr:spPr>
    </xdr:pic>
    <xdr:clientData/>
  </xdr:twoCellAnchor>
  <xdr:twoCellAnchor editAs="oneCell">
    <xdr:from>
      <xdr:col>1</xdr:col>
      <xdr:colOff>700906</xdr:colOff>
      <xdr:row>17</xdr:row>
      <xdr:rowOff>152400</xdr:rowOff>
    </xdr:from>
    <xdr:to>
      <xdr:col>1</xdr:col>
      <xdr:colOff>2748281</xdr:colOff>
      <xdr:row>20</xdr:row>
      <xdr:rowOff>68461</xdr:rowOff>
    </xdr:to>
    <xdr:pic>
      <xdr:nvPicPr>
        <xdr:cNvPr id="10" name="Graphic 8">
          <a:extLst>
            <a:ext uri="{FF2B5EF4-FFF2-40B4-BE49-F238E27FC236}">
              <a16:creationId xmlns:a16="http://schemas.microsoft.com/office/drawing/2014/main" id="{CE4A45CE-3FB1-4EF0-A917-C58CF78C0E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348606" y="5537200"/>
          <a:ext cx="2047375" cy="487561"/>
        </a:xfrm>
        <a:prstGeom prst="rect">
          <a:avLst/>
        </a:prstGeom>
      </xdr:spPr>
    </xdr:pic>
    <xdr:clientData/>
  </xdr:twoCellAnchor>
  <xdr:twoCellAnchor editAs="oneCell">
    <xdr:from>
      <xdr:col>1</xdr:col>
      <xdr:colOff>716035</xdr:colOff>
      <xdr:row>26</xdr:row>
      <xdr:rowOff>70653</xdr:rowOff>
    </xdr:from>
    <xdr:to>
      <xdr:col>1</xdr:col>
      <xdr:colOff>3479800</xdr:colOff>
      <xdr:row>27</xdr:row>
      <xdr:rowOff>380877</xdr:rowOff>
    </xdr:to>
    <xdr:pic>
      <xdr:nvPicPr>
        <xdr:cNvPr id="11" name="Graphic 4">
          <a:extLst>
            <a:ext uri="{FF2B5EF4-FFF2-40B4-BE49-F238E27FC236}">
              <a16:creationId xmlns:a16="http://schemas.microsoft.com/office/drawing/2014/main" id="{C9CC310B-93D5-4A4C-992C-646DB9ED8D6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363735" y="7957353"/>
          <a:ext cx="2763765" cy="5007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9971061-7220-4DAC-8B1D-8D6F28AAD72F}" name="tblRiskRegister15" displayName="tblRiskRegister15" ref="B32:AB88" totalsRowShown="0" headerRowDxfId="151" dataDxfId="150">
  <autoFilter ref="B32:AB88" xr:uid="{9DD1637E-6A24-4152-BF1D-6C69C54474D3}"/>
  <sortState xmlns:xlrd2="http://schemas.microsoft.com/office/spreadsheetml/2017/richdata2" ref="B33:M75">
    <sortCondition ref="B32:B75"/>
  </sortState>
  <tableColumns count="27">
    <tableColumn id="1" xr3:uid="{246BA068-BAF2-4355-A976-D6EB0D5BC613}" name="CIS Safeguard #" dataDxfId="149"/>
    <tableColumn id="2" xr3:uid="{E6230B82-51F8-44D6-8C7E-FD017256F1FE}" name="CIS Safeguard Title" dataDxfId="148"/>
    <tableColumn id="20" xr3:uid="{6579D6C7-4B83-4740-84E3-9B2944E75E1C}" name="NIST CSF Security Function" dataDxfId="147"/>
    <tableColumn id="4" xr3:uid="{4A71CC5E-AF8D-40D3-B275-407DD9BCEE3E}" name="Asset Class" dataDxfId="146"/>
    <tableColumn id="3" xr3:uid="{783881EF-B815-4882-9C81-C1BF39FE3043}" name="Safeguard Maturity Score" dataDxfId="145"/>
    <tableColumn id="27" xr3:uid="{73A30BFA-6302-4EC4-B194-1BEC3C351F8C}" name="VCDB Index" dataDxfId="144">
      <calculatedColumnFormula>IFERROR(VLOOKUP(tblRiskRegister15[[#This Row],[Asset Class]],tblVCDBIndex[],4,FALSE),"")</calculatedColumnFormula>
    </tableColumn>
    <tableColumn id="9" xr3:uid="{9EC765C2-3602-4A61-B606-D26BE034F476}" name="Expectancy Score" dataDxfId="143">
      <calculatedColumnFormula>IFERROR(VLOOKUP(10*tblRiskRegister15[[#This Row],[Safeguard Maturity Score]]+tblRiskRegister15[[#This Row],[VCDB Index]],tblHITIndexWeightTable[],4,FALSE),"")</calculatedColumnFormula>
    </tableColumn>
    <tableColumn id="10" xr3:uid="{1F75B6A3-4E2E-44DC-B9A3-A615F2C3E383}" name="Impact to Mission" dataDxfId="142">
      <calculatedColumnFormula>VLOOKUP(tblRiskRegister15[[#This Row],[Asset Class]],tblImpactIndex17[],2,FALSE)</calculatedColumnFormula>
    </tableColumn>
    <tableColumn id="11" xr3:uid="{6ED84288-803D-4F0A-A071-19D6D37827C9}" name="Impact to Operational Objectives" dataDxfId="141">
      <calculatedColumnFormula>VLOOKUP(tblRiskRegister15[[#This Row],[Asset Class]],tblImpactIndex17[],3,FALSE)</calculatedColumnFormula>
    </tableColumn>
    <tableColumn id="12" xr3:uid="{379BBFE4-6831-4439-A434-CBECE2A4B9C1}" name="Impact to Obligations" dataDxfId="140">
      <calculatedColumnFormula>VLOOKUP(tblRiskRegister15[[#This Row],[Asset Class]],tblImpactIndex17[],4,FALSE)</calculatedColumnFormula>
    </tableColumn>
    <tableColumn id="13" xr3:uid="{A44BC147-C6B5-48EB-885A-E8382D6CD9EA}" name="Risk Score" dataDxfId="139">
      <calculatedColumnFormula>IFERROR(MAX(tblRiskRegister15[[#This Row],[Impact to Mission]:[Impact to Obligations]])*tblRiskRegister15[[#This Row],[Expectancy Score]],"")</calculatedColumnFormula>
    </tableColumn>
    <tableColumn id="14" xr3:uid="{AAF8D8CE-2AAA-4B92-BFBF-8F21EA7DE7F8}" name="Risk Level" dataDxfId="138">
      <calculatedColumnFormula>tblRiskRegister15[[#This Row],[Risk Score]]</calculatedColumnFormula>
    </tableColumn>
    <tableColumn id="25" xr3:uid="{A485CCFC-D4AE-43D5-9D96-2332B61E4867}" name="Risk Treatment Option" dataDxfId="137"/>
    <tableColumn id="5" xr3:uid="{9690D8CE-8545-4AE6-A342-95AD8EAEB056}" name="Risk Treatment Safeguard" dataDxfId="136"/>
    <tableColumn id="6" xr3:uid="{EDB72571-6E7E-462D-BD06-3FD4EE0374E5}" name="Risk Treatment_x000a_Safeguard Title" dataDxfId="135"/>
    <tableColumn id="24" xr3:uid="{613E8F85-3071-4ED0-AC15-05AEC007EFD8}" name="Risk Treatment_x000a_Safeguard Description" dataDxfId="134"/>
    <tableColumn id="21" xr3:uid="{6EB716D1-3284-4911-A6BA-37CEE048F3D4}" name="Our Planned Implementation" dataDxfId="133"/>
    <tableColumn id="7" xr3:uid="{AC0738F7-0BCF-4727-8814-E10CDEB7C95D}" name="Risk Treatment Safeguard Maturity Score" dataDxfId="132"/>
    <tableColumn id="15" xr3:uid="{02B5B1B6-EC70-47A4-A56A-A187AD97974C}" name="Risk Treatment_x000a_Safeguard Expectancy Score" dataDxfId="131">
      <calculatedColumnFormula>IFERROR(VLOOKUP(10*tblRiskRegister15[[#This Row],[Risk Treatment Safeguard Maturity Score]]+tblRiskRegister15[[#This Row],[VCDB Index]],tblHITIndexWeightTable[],4,FALSE),"")</calculatedColumnFormula>
    </tableColumn>
    <tableColumn id="16" xr3:uid="{5E8A539D-F8D5-46BC-BE5C-E4FC4289D137}" name="Risk Treatment Safeguard Impact to Mission" dataDxfId="130">
      <calculatedColumnFormula>VLOOKUP(tblRiskRegister15[[#This Row],[Asset Class]],tblImpactIndex17[],2,FALSE)</calculatedColumnFormula>
    </tableColumn>
    <tableColumn id="17" xr3:uid="{116A6520-B949-4A4F-9F26-090340226C51}" name="Risk Treatment Safeguard Impact to Operational Objectives" dataDxfId="129">
      <calculatedColumnFormula>VLOOKUP(tblRiskRegister15[[#This Row],[Asset Class]],tblImpactIndex17[],3,FALSE)</calculatedColumnFormula>
    </tableColumn>
    <tableColumn id="18" xr3:uid="{CB3CD96F-19BB-46E5-939E-FBDC16B1D9DD}" name="Risk Treatment Safeguard Impact to Obligations" dataDxfId="128">
      <calculatedColumnFormula>VLOOKUP(tblRiskRegister15[[#This Row],[Asset Class]],tblImpactIndex17[],4,FALSE)</calculatedColumnFormula>
    </tableColumn>
    <tableColumn id="28" xr3:uid="{EB68F924-4B2C-4158-B767-FCD6EE3A6A61}" name="Risk Treatment Safeguard Risk Score" dataDxfId="127">
      <calculatedColumnFormula>IFERROR(MAX(tblRiskRegister15[[#This Row],[Risk Treatment Safeguard Impact to Mission]:[Risk Treatment Safeguard Impact to Obligations]])*tblRiskRegister15[[#This Row],[Risk Treatment
Safeguard Expectancy Score]],"")</calculatedColumnFormula>
    </tableColumn>
    <tableColumn id="26" xr3:uid="{8A804315-B707-4293-AC5F-E9B4C1AD316E}" name="Reasonable and Acceptable" dataDxfId="126">
      <calculatedColumnFormula>IF(tblRiskRegister15[[#This Row],[Risk Score]]&gt;5,IF(tblRiskRegister15[[#This Row],[Risk Treatment Safeguard Risk Score]]&lt;6, IF(tblRiskRegister15[[#This Row],[Risk Treatment Safeguard Risk Score]]&lt;=tblRiskRegister15[[#This Row],[Risk Score]],"Yes","No"),"No"),"Yes")</calculatedColumnFormula>
    </tableColumn>
    <tableColumn id="19" xr3:uid="{71E866AE-76CD-4F8D-AD46-13A4F0E2C449}" name="Risk Treatment Safeguard Cost" dataDxfId="125" dataCellStyle="Currency"/>
    <tableColumn id="8" xr3:uid="{4C916945-1F66-41F5-90B9-A331D10F53DD}" name="Implementation Quarter" dataDxfId="124" dataCellStyle="Currency"/>
    <tableColumn id="23" xr3:uid="{76FE8402-B5DC-44BF-93CC-F1E300AEC0D7}" name="Implementation Year" dataDxfId="12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F8BA70-BCD7-43EF-A8DB-7E69C5C63CF4}" name="tblCostImpacts16" displayName="tblCostImpacts16" ref="AD32:AF42" totalsRowShown="0" headerRowDxfId="122" dataDxfId="121">
  <autoFilter ref="AD32:AF42" xr:uid="{8DF8E5E0-4444-493D-923E-B023F5A18943}"/>
  <tableColumns count="3">
    <tableColumn id="1" xr3:uid="{61DA70D4-35B9-4823-A15E-96CFE7E6EB86}" name="Impact to Financial Objectives" dataDxfId="120" dataCellStyle="Currency">
      <calculatedColumnFormula>SUMIF(tblRiskRegister15[[#All],[Implementation Year]],"="&amp;tblCostImpacts16[[#This Row],[Year]],tblRiskRegister15[[#All],[Risk Treatment Safeguard Cost]])</calculatedColumnFormula>
    </tableColumn>
    <tableColumn id="2" xr3:uid="{6E7AE7EE-61DB-4687-B418-A7D1C6404382}" name="Year" dataDxfId="119"/>
    <tableColumn id="3" xr3:uid="{394CB125-DB09-4668-AF9C-385E2892EF71}" name="Reasonable?" dataDxfId="118">
      <calculatedColumnFormula>IF(tblCostImpacts16[[#This Row],[Impact to Financial Objectives]]&lt;=$E$12,"Yes","No")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CFBC5D5-48E7-4FF1-A595-22C272F9FEFB}" name="tblImpactIndex17" displayName="tblImpactIndex17" ref="B20:E26" totalsRowShown="0" headerRowDxfId="117" dataDxfId="116">
  <autoFilter ref="B20:E26" xr:uid="{C77C6CEC-65BA-4FC6-A575-D28C134F13C6}">
    <filterColumn colId="0" hiddenButton="1"/>
    <filterColumn colId="1" hiddenButton="1"/>
    <filterColumn colId="2" hiddenButton="1"/>
    <filterColumn colId="3" hiddenButton="1"/>
  </autoFilter>
  <tableColumns count="4">
    <tableColumn id="1" xr3:uid="{2E0C10C5-F9C2-4898-84BA-811509A07501}" name="Asset Class" dataDxfId="115"/>
    <tableColumn id="2" xr3:uid="{B9D5924A-63C9-4166-8FFD-E745CB34569F}" name="Mission Impact" dataDxfId="114"/>
    <tableColumn id="3" xr3:uid="{67E2C6DB-DFC5-4B91-857E-0693256322AE}" name="Operational Objectives Impact" dataDxfId="113"/>
    <tableColumn id="4" xr3:uid="{E35E6118-B140-4FD2-87BD-36BF91CC6277}" name="Obligations Impact" dataDxfId="1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B0B95DF-3EA0-4085-8A30-4AE1117224B8}" name="tblImpactDefinitions318" displayName="tblImpactDefinitions318" ref="B10:F14" totalsRowShown="0" headerRowDxfId="111" dataDxfId="110">
  <autoFilter ref="B10:F14" xr:uid="{7EF762F8-1DFB-40FB-9D41-F321205BEB02}">
    <filterColumn colId="0" hiddenButton="1"/>
    <filterColumn colId="1" hiddenButton="1"/>
    <filterColumn colId="2" hiddenButton="1"/>
    <filterColumn colId="3" hiddenButton="1"/>
    <filterColumn colId="4" hiddenButton="1"/>
  </autoFilter>
  <tableColumns count="5">
    <tableColumn id="1" xr3:uid="{06E5978B-B1B3-4144-B8F7-BA3FCDDEEC5F}" name="Impact Scores" dataDxfId="109"/>
    <tableColumn id="2" xr3:uid="{E7E04036-E615-4228-BBF3-A5DC22612528}" name="Mission" dataDxfId="108"/>
    <tableColumn id="3" xr3:uid="{816316AD-8D96-4D4D-A6F7-22510CEE134D}" name="Operational Objectives" dataDxfId="107"/>
    <tableColumn id="4" xr3:uid="{23B5AAF0-B197-4003-AB33-DB6E975C65BD}" name="Financial Objectives" dataDxfId="106"/>
    <tableColumn id="5" xr3:uid="{42662EEB-0C8B-4A7D-B8F7-7A1CFED9942D}" name="Obligations" dataDxfId="105"/>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6C3C99-52B2-46D2-BD07-2C6F50D377F6}" name="tblImpactIndex11" displayName="tblImpactIndex11" ref="F10:I16" totalsRowShown="0" headerRowDxfId="104" dataDxfId="103">
  <autoFilter ref="F10:I16" xr:uid="{869140E4-D417-47A2-A5F7-2BF7E896B6B1}"/>
  <tableColumns count="4">
    <tableColumn id="1" xr3:uid="{8AFC6B6B-41AD-44A2-9582-10233B667EC3}" name="Asset Class" dataDxfId="102"/>
    <tableColumn id="2" xr3:uid="{EA25300E-13A7-4048-A2CC-9796E006B156}" name="Mission Impact" dataDxfId="101"/>
    <tableColumn id="3" xr3:uid="{32A9301E-DB4E-46A3-B80C-64103CED166D}" name="Operational Objectives Impact" dataDxfId="100"/>
    <tableColumn id="4" xr3:uid="{3FCCA843-7050-414C-AD5B-DC03669263C3}" name="Obligations Impact" dataDxfId="9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FC2AF6-45F5-4CC0-BB14-475E496753AA}" name="tblImpactDefinitions31814" displayName="tblImpactDefinitions31814" ref="F3:J7" totalsRowShown="0" headerRowDxfId="98" dataDxfId="97">
  <autoFilter ref="F3:J7" xr:uid="{4FF567A8-2E76-4BA4-915D-68C40ECE9DF1}"/>
  <tableColumns count="5">
    <tableColumn id="1" xr3:uid="{AC0AA407-75D5-43EF-9E0D-5FD117EDCB3D}" name="Impact Scores" dataDxfId="96"/>
    <tableColumn id="2" xr3:uid="{C6B5355F-80A4-4CD5-8AB1-465756A0B947}" name="Mission" dataDxfId="95"/>
    <tableColumn id="3" xr3:uid="{43DB057B-AB66-4464-A9F5-689EE1731D60}" name="Operational Objectives" dataDxfId="94"/>
    <tableColumn id="4" xr3:uid="{1AD9C249-99AA-4E38-B6A0-01C68FAACD49}" name="Financial Objectives" dataDxfId="93"/>
    <tableColumn id="5" xr3:uid="{0BB84325-6527-406B-88FD-62AD247371DC}" name="Obligations" dataDxfId="92"/>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48999-10B6-4E11-B044-B277753047A0}" name="tblMaturityScores" displayName="tblMaturityScores" ref="B6:C11" totalsRowShown="0" headerRowDxfId="91" dataDxfId="90">
  <autoFilter ref="B6:C11" xr:uid="{7B87A968-A3AD-4C4F-82A7-F496D86A46DA}"/>
  <tableColumns count="2">
    <tableColumn id="1" xr3:uid="{DD79982C-A9BA-4C29-9339-25D7077BA225}" name="Maturity Scores" dataDxfId="89"/>
    <tableColumn id="2" xr3:uid="{B95BD2FA-F1A4-4A6B-8B12-4B5DE8ABB09E}" name="Definition" dataDxfId="88"/>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E67D7F-408D-4247-9729-AF2715BBF482}" name="Table5" displayName="Table5" ref="B17:C20" totalsRowShown="0" headerRowDxfId="87" dataDxfId="86">
  <autoFilter ref="B17:C20" xr:uid="{9543C490-5DBE-41CA-B48C-0C5A61F445AA}"/>
  <tableColumns count="2">
    <tableColumn id="1" xr3:uid="{AB1F23FC-EFCD-4F47-981B-1A533DC44E01}" name="Expectancy Scores" dataDxfId="85"/>
    <tableColumn id="2" xr3:uid="{4239A226-FA5E-49A1-86BA-6C89EC06FDE3}" name="Expectancy Definition" dataDxfId="84"/>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C1274-FDB1-4BEB-98FC-B08D4109F889}" name="Table6" displayName="Table6" ref="B26:C27" totalsRowShown="0" headerRowDxfId="83" dataDxfId="82">
  <autoFilter ref="B26:C27" xr:uid="{1F2A4CDB-E353-417D-87C3-37E36339B4E8}"/>
  <tableColumns count="2">
    <tableColumn id="1" xr3:uid="{3DC79FAB-AE52-4C8A-96B3-D0F1100C46B0}" name="Acceptable Risk Score" dataDxfId="81"/>
    <tableColumn id="2" xr3:uid="{2716CAD0-D544-4052-A3D6-A853AF68014F}" name="Risk Acceptance Criteria" dataDxfId="80"/>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7DE92C-2FC9-4A9B-8B56-9BBAC9A4D18C}" name="tblVCDBIndex" displayName="tblVCDBIndex" ref="B34:E40" totalsRowShown="0" headerRowDxfId="79" dataDxfId="78">
  <autoFilter ref="B34:E40" xr:uid="{3D5FFE15-1BB4-4EF0-B09F-4B164D6A82A7}"/>
  <tableColumns count="4">
    <tableColumn id="1" xr3:uid="{50E1FA10-603D-42D6-8A53-9DE10B2F836D}" name="Asset Class" dataDxfId="77"/>
    <tableColumn id="2" xr3:uid="{A5ADADF0-F404-4FB8-B93B-A9D20A6C8892}" name="Sum of Threat Count / Industry" dataDxfId="76"/>
    <tableColumn id="3" xr3:uid="{E69ACDA9-ACAA-4EEA-9C81-B28906831D41}" name="Percentage" dataDxfId="75" dataCellStyle="Percent">
      <calculatedColumnFormula>tblVCDBIndex[[#This Row],[Sum of Threat Count / Industry]]/$C$33</calculatedColumnFormula>
    </tableColumn>
    <tableColumn id="4" xr3:uid="{287EDDA7-0E69-4366-BA87-DCC60821B9A2}" name="Index" dataDxfId="74">
      <calculatedColumnFormula>IF(tblVCDBIndex[[#This Row],[Percentage]]&lt;0.2,1,IF(tblVCDBIndex[[#This Row],[Percentage]]&lt;0.4,2,IF(tblVCDBIndex[[#This Row],[Percentage]]&lt;0.6,3,IF(tblVCDBIndex[[#This Row],[Percentage]]&lt;0.8,4,5))))</calculatedColumnFormula>
    </tableColumn>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887B67-BF2C-4E30-9E2B-2AF3B21AC2F9}" name="tblHITIndexWeightTable" displayName="tblHITIndexWeightTable" ref="B46:E71" totalsRowShown="0" headerRowDxfId="73" dataDxfId="72">
  <autoFilter ref="B46:E71" xr:uid="{045CA64F-00D5-4A25-A420-B3A85B51667D}"/>
  <sortState xmlns:xlrd2="http://schemas.microsoft.com/office/spreadsheetml/2017/richdata2" ref="C47:E55">
    <sortCondition descending="1" ref="C46:C55"/>
  </sortState>
  <tableColumns count="4">
    <tableColumn id="4" xr3:uid="{42C0E347-189B-4749-AA0C-F2B9D0D43957}" name="VCDB Index Lookup" dataDxfId="71"/>
    <tableColumn id="1" xr3:uid="{54D34524-94CD-466A-B10E-F45894C20F46}" name="Maturity" dataDxfId="70"/>
    <tableColumn id="2" xr3:uid="{6FFDD197-6A58-4063-AFA5-225A42374912}" name="VCDB Index" dataDxfId="69"/>
    <tableColumn id="3" xr3:uid="{2AC0ACC8-58E6-4D9E-9B01-B192A02430C5}" name="Expectancy" dataDxfId="68"/>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8921055-529F-47DA-ADEE-CA05412E1DA2}" name="tblMaturityScores1213" displayName="tblMaturityScores1213" ref="I3:J8" totalsRowShown="0" headerRowDxfId="67" dataDxfId="66" tableBorderDxfId="65">
  <autoFilter ref="I3:J8" xr:uid="{ECF99691-39B8-4848-9BB4-E26E83115FB5}"/>
  <tableColumns count="2">
    <tableColumn id="1" xr3:uid="{7465C038-0C59-4687-824A-BF06BFC28896}" name="Maturity Scores" dataDxfId="64"/>
    <tableColumn id="2" xr3:uid="{E75B713B-3569-4B41-B007-A199DBB391FF}" name="Definition" dataDxfId="63"/>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75266FD-B3AD-4C83-878C-5AACCAF1D035}" name="tblMaturityScores121323" displayName="tblMaturityScores121323" ref="AB2:AC7" totalsRowShown="0" headerRowDxfId="62" dataDxfId="61" tableBorderDxfId="60">
  <autoFilter ref="AB2:AC7" xr:uid="{93B096CB-86C1-4018-AE0F-75339CB7E9CD}"/>
  <tableColumns count="2">
    <tableColumn id="1" xr3:uid="{03B9ABC3-01C5-4647-8551-89F7A6B8FC00}" name="Maturity Scores" dataDxfId="59"/>
    <tableColumn id="2" xr3:uid="{C7C52DA5-B9BF-4EB2-9B1F-01FA001C7978}" name="Definition" dataDxfId="58"/>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C0CBA5-981C-48DC-847D-B322043F1960}" name="tblRiskRegister152" displayName="tblRiskRegister152" ref="B32:AB88" totalsRowShown="0" headerRowDxfId="57" dataDxfId="56">
  <autoFilter ref="B32:AB88" xr:uid="{9DD1637E-6A24-4152-BF1D-6C69C54474D3}"/>
  <sortState xmlns:xlrd2="http://schemas.microsoft.com/office/spreadsheetml/2017/richdata2" ref="B33:M75">
    <sortCondition ref="B32:B75"/>
  </sortState>
  <tableColumns count="27">
    <tableColumn id="1" xr3:uid="{246BA068-BAF2-4355-A976-D6EB0D5BC613}" name="CIS Safeguard #" dataDxfId="55"/>
    <tableColumn id="2" xr3:uid="{E6230B82-51F8-44D6-8C7E-FD017256F1FE}" name="CIS Safeguard Title" dataDxfId="54"/>
    <tableColumn id="20" xr3:uid="{6579D6C7-4B83-4740-84E3-9B2944E75E1C}" name="NIST CSF Security Function" dataDxfId="53"/>
    <tableColumn id="4" xr3:uid="{4A71CC5E-AF8D-40D3-B275-407DD9BCEE3E}" name="Asset Class" dataDxfId="52"/>
    <tableColumn id="3" xr3:uid="{783881EF-B815-4882-9C81-C1BF39FE3043}" name="Safeguard Maturity Score" dataDxfId="51"/>
    <tableColumn id="27" xr3:uid="{73A30BFA-6302-4EC4-B194-1BEC3C351F8C}" name="VCDB Index" dataDxfId="50"/>
    <tableColumn id="9" xr3:uid="{9EC765C2-3602-4A61-B606-D26BE034F476}" name="Expectancy Score" dataDxfId="49"/>
    <tableColumn id="10" xr3:uid="{1F75B6A3-4E2E-44DC-B9A3-A615F2C3E383}" name="Impact to Mission" dataDxfId="48">
      <calculatedColumnFormula>VLOOKUP(tblRiskRegister152[[#This Row],[Asset Class]],tblImpactIndex175[],2,FALSE)</calculatedColumnFormula>
    </tableColumn>
    <tableColumn id="11" xr3:uid="{6ED84288-803D-4F0A-A071-19D6D37827C9}" name="Impact to Operational Objectives" dataDxfId="47">
      <calculatedColumnFormula>VLOOKUP(tblRiskRegister152[[#This Row],[Asset Class]],tblImpactIndex175[],3,FALSE)</calculatedColumnFormula>
    </tableColumn>
    <tableColumn id="12" xr3:uid="{379BBFE4-6831-4439-A434-CBECE2A4B9C1}" name="Impact to Obligations" dataDxfId="46">
      <calculatedColumnFormula>VLOOKUP(tblRiskRegister152[[#This Row],[Asset Class]],tblImpactIndex175[],4,FALSE)</calculatedColumnFormula>
    </tableColumn>
    <tableColumn id="13" xr3:uid="{A44BC147-C6B5-48EB-885A-E8382D6CD9EA}" name="Risk Score" dataDxfId="45">
      <calculatedColumnFormula>IFERROR(MAX(tblRiskRegister152[[#This Row],[Impact to Mission]:[Impact to Obligations]])*tblRiskRegister152[[#This Row],[Expectancy Score]],"")</calculatedColumnFormula>
    </tableColumn>
    <tableColumn id="14" xr3:uid="{AAF8D8CE-2AAA-4B92-BFBF-8F21EA7DE7F8}" name="Risk Level" dataDxfId="44">
      <calculatedColumnFormula>tblRiskRegister152[[#This Row],[Risk Score]]</calculatedColumnFormula>
    </tableColumn>
    <tableColumn id="25" xr3:uid="{A485CCFC-D4AE-43D5-9D96-2332B61E4867}" name="Risk Treatment Option" dataDxfId="43"/>
    <tableColumn id="5" xr3:uid="{9690D8CE-8545-4AE6-A342-95AD8EAEB056}" name="Risk Treatment Safeguard" dataDxfId="42"/>
    <tableColumn id="6" xr3:uid="{EDB72571-6E7E-462D-BD06-3FD4EE0374E5}" name="Risk Treatment_x000a_Safeguard Title" dataDxfId="41"/>
    <tableColumn id="24" xr3:uid="{613E8F85-3071-4ED0-AC15-05AEC007EFD8}" name="Risk Treatment_x000a_Safeguard Description" dataDxfId="40"/>
    <tableColumn id="21" xr3:uid="{6EB716D1-3284-4911-A6BA-37CEE048F3D4}" name="Our Planned Implementation" dataDxfId="39"/>
    <tableColumn id="7" xr3:uid="{AC0738F7-0BCF-4727-8814-E10CDEB7C95D}" name="Risk Treatment Safeguard Maturity Score" dataDxfId="38"/>
    <tableColumn id="15" xr3:uid="{02B5B1B6-EC70-47A4-A56A-A187AD97974C}" name="Risk Treatment_x000a_Safeguard Expectancy Score" dataDxfId="37"/>
    <tableColumn id="16" xr3:uid="{5E8A539D-F8D5-46BC-BE5C-E4FC4289D137}" name="Risk Treatment Safeguard Impact to Mission" dataDxfId="36">
      <calculatedColumnFormula>VLOOKUP(tblRiskRegister152[[#This Row],[Asset Class]],tblImpactIndex175[],2,FALSE)</calculatedColumnFormula>
    </tableColumn>
    <tableColumn id="17" xr3:uid="{116A6520-B949-4A4F-9F26-090340226C51}" name="Risk Treatment Safeguard Impact to Operational Objectives" dataDxfId="35">
      <calculatedColumnFormula>VLOOKUP(tblRiskRegister152[[#This Row],[Asset Class]],tblImpactIndex175[],3,FALSE)</calculatedColumnFormula>
    </tableColumn>
    <tableColumn id="18" xr3:uid="{CB3CD96F-19BB-46E5-939E-FBDC16B1D9DD}" name="Risk Treatment Safeguard Impact to Obligations" dataDxfId="34">
      <calculatedColumnFormula>VLOOKUP(tblRiskRegister152[[#This Row],[Asset Class]],tblImpactIndex175[],4,FALSE)</calculatedColumnFormula>
    </tableColumn>
    <tableColumn id="28" xr3:uid="{EB68F924-4B2C-4158-B767-FCD6EE3A6A61}" name="Risk Treatment Safeguard Risk Score" dataDxfId="33">
      <calculatedColumnFormula>IFERROR(MAX(tblRiskRegister152[[#This Row],[Risk Treatment Safeguard Impact to Mission]:[Risk Treatment Safeguard Impact to Obligations]])*tblRiskRegister152[[#This Row],[Risk Treatment
Safeguard Expectancy Score]],"")</calculatedColumnFormula>
    </tableColumn>
    <tableColumn id="26" xr3:uid="{8A804315-B707-4293-AC5F-E9B4C1AD316E}" name="Reasonable and Acceptable" dataDxfId="32">
      <calculatedColumnFormula>IF(tblRiskRegister152[[#This Row],[Risk Score]]&gt;5,IF(tblRiskRegister152[[#This Row],[Risk Treatment Safeguard Risk Score]]&lt;6, IF(tblRiskRegister152[[#This Row],[Risk Treatment Safeguard Risk Score]]&lt;=tblRiskRegister152[[#This Row],[Risk Score]],"Yes","No"),"No"),"Yes")</calculatedColumnFormula>
    </tableColumn>
    <tableColumn id="19" xr3:uid="{71E866AE-76CD-4F8D-AD46-13A4F0E2C449}" name="Risk Treatment Safeguard Cost" dataDxfId="31" dataCellStyle="Currency"/>
    <tableColumn id="8" xr3:uid="{4C916945-1F66-41F5-90B9-A331D10F53DD}" name="Implementation Quarter" dataDxfId="30" dataCellStyle="Currency"/>
    <tableColumn id="23" xr3:uid="{76FE8402-B5DC-44BF-93CC-F1E300AEC0D7}" name="Implementation Year" dataDxfId="29"/>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A1E60-B861-4C5F-976A-73422E97441F}" name="tblCostImpacts163" displayName="tblCostImpacts163" ref="AD32:AF42" totalsRowShown="0" headerRowDxfId="28" dataDxfId="27">
  <autoFilter ref="AD32:AF42" xr:uid="{8DF8E5E0-4444-493D-923E-B023F5A18943}"/>
  <tableColumns count="3">
    <tableColumn id="1" xr3:uid="{61DA70D4-35B9-4823-A15E-96CFE7E6EB86}" name="Impact to Financial Objectives" dataDxfId="26" dataCellStyle="Currency">
      <calculatedColumnFormula>SUMIF(tblRiskRegister152[[#All],[Implementation Year]],"="&amp;tblCostImpacts163[[#This Row],[Year]],tblRiskRegister152[[#All],[Risk Treatment Safeguard Cost]])</calculatedColumnFormula>
    </tableColumn>
    <tableColumn id="2" xr3:uid="{6E7AE7EE-61DB-4687-B418-A7D1C6404382}" name="Year" dataDxfId="25"/>
    <tableColumn id="3" xr3:uid="{394CB125-DB09-4668-AF9C-385E2892EF71}" name="Reasonable?" dataDxfId="24">
      <calculatedColumnFormula>IF(tblCostImpacts163[[#This Row],[Impact to Financial Objectives]]&lt;=$E$12,"Yes","No")</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DD42F2-73EF-4D1F-830C-76FEB84A00EE}" name="tblImpactIndex175" displayName="tblImpactIndex175" ref="B20:E26" totalsRowShown="0" headerRowDxfId="23" dataDxfId="22">
  <autoFilter ref="B20:E26" xr:uid="{C77C6CEC-65BA-4FC6-A575-D28C134F13C6}">
    <filterColumn colId="0" hiddenButton="1"/>
    <filterColumn colId="1" hiddenButton="1"/>
    <filterColumn colId="2" hiddenButton="1"/>
    <filterColumn colId="3" hiddenButton="1"/>
  </autoFilter>
  <tableColumns count="4">
    <tableColumn id="1" xr3:uid="{2E0C10C5-F9C2-4898-84BA-811509A07501}" name="Asset Class" dataDxfId="21"/>
    <tableColumn id="2" xr3:uid="{B9D5924A-63C9-4166-8FFD-E745CB34569F}" name="Mission Impact" dataDxfId="20"/>
    <tableColumn id="3" xr3:uid="{67E2C6DB-DFC5-4B91-857E-0693256322AE}" name="Operational Objectives Impact" dataDxfId="19"/>
    <tableColumn id="4" xr3:uid="{E35E6118-B140-4FD2-87BD-36BF91CC6277}" name="Obligations Impact" dataDxfId="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FDD3FB-CE65-4DC0-958D-7A5E1856B21B}" name="tblImpactDefinitions3188" displayName="tblImpactDefinitions3188" ref="B10:F14" totalsRowShown="0" headerRowDxfId="17" dataDxfId="16">
  <autoFilter ref="B10:F14" xr:uid="{7EF762F8-1DFB-40FB-9D41-F321205BEB02}">
    <filterColumn colId="0" hiddenButton="1"/>
    <filterColumn colId="1" hiddenButton="1"/>
    <filterColumn colId="2" hiddenButton="1"/>
    <filterColumn colId="3" hiddenButton="1"/>
    <filterColumn colId="4" hiddenButton="1"/>
  </autoFilter>
  <tableColumns count="5">
    <tableColumn id="1" xr3:uid="{06E5978B-B1B3-4144-B8F7-BA3FCDDEEC5F}" name="Impact Scores" dataDxfId="15"/>
    <tableColumn id="2" xr3:uid="{E7E04036-E615-4228-BBF3-A5DC22612528}" name="Mission" dataDxfId="14"/>
    <tableColumn id="3" xr3:uid="{816316AD-8D96-4D4D-A6F7-22510CEE134D}" name="Operational Objectives" dataDxfId="13"/>
    <tableColumn id="4" xr3:uid="{23B5AAF0-B197-4003-AB33-DB6E975C65BD}" name="Financial Objectives" dataDxfId="12"/>
    <tableColumn id="5" xr3:uid="{42662EEB-0C8B-4A7D-B8F7-7A1CFED9942D}" name="Obligations" dataDxfId="11"/>
  </tableColumns>
  <tableStyleInfo name="TableStyleMedium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resources?crc=about-the-cis-critical-security-controls" TargetMode="Externa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6" Type="http://schemas.openxmlformats.org/officeDocument/2006/relationships/drawing" Target="../drawings/drawing2.xml"/><Relationship Id="rId5" Type="http://schemas.openxmlformats.org/officeDocument/2006/relationships/hyperlink" Target="https://www.cisecurity.org/controls/cis-controls-self-assessment-tool-cis-csat/" TargetMode="External"/><Relationship Id="rId4" Type="http://schemas.openxmlformats.org/officeDocument/2006/relationships/hyperlink" Target="https://csat.cisecurity.org/"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3.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6.bin"/><Relationship Id="rId5" Type="http://schemas.openxmlformats.org/officeDocument/2006/relationships/table" Target="../tables/table17.xml"/><Relationship Id="rId4"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9E4C-A91F-4172-9FFD-A8283CD782F7}">
  <sheetPr codeName="Sheet1">
    <tabColor rgb="FF003B5C"/>
  </sheetPr>
  <dimension ref="A1"/>
  <sheetViews>
    <sheetView showGridLines="0" tabSelected="1" workbookViewId="0">
      <selection activeCell="L34" sqref="L34"/>
    </sheetView>
  </sheetViews>
  <sheetFormatPr baseColWidth="10" defaultColWidth="11.5" defaultRowHeight="15" x14ac:dyDescent="0.2"/>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2B0B-9237-4FB3-941A-25C3524E10B6}">
  <sheetPr codeName="Sheet2">
    <tabColor rgb="FF003B5C"/>
  </sheetPr>
  <dimension ref="A1:L2"/>
  <sheetViews>
    <sheetView showGridLines="0" workbookViewId="0">
      <selection sqref="A1:L1"/>
    </sheetView>
  </sheetViews>
  <sheetFormatPr baseColWidth="10" defaultColWidth="8.6640625" defaultRowHeight="15" x14ac:dyDescent="0.2"/>
  <sheetData>
    <row r="1" spans="1:12" ht="31" x14ac:dyDescent="0.2">
      <c r="A1" s="180" t="s">
        <v>303</v>
      </c>
      <c r="B1" s="181"/>
      <c r="C1" s="181"/>
      <c r="D1" s="181"/>
      <c r="E1" s="181"/>
      <c r="F1" s="181"/>
      <c r="G1" s="181"/>
      <c r="H1" s="181"/>
      <c r="I1" s="181"/>
      <c r="J1" s="181"/>
      <c r="K1" s="181"/>
      <c r="L1" s="182"/>
    </row>
    <row r="2" spans="1:12" ht="236.25" customHeight="1" x14ac:dyDescent="0.2">
      <c r="A2" s="183" t="s">
        <v>313</v>
      </c>
      <c r="B2" s="183"/>
      <c r="C2" s="183"/>
      <c r="D2" s="183"/>
      <c r="E2" s="183"/>
      <c r="F2" s="183"/>
      <c r="G2" s="183"/>
      <c r="H2" s="183"/>
      <c r="I2" s="183"/>
      <c r="J2" s="183"/>
      <c r="K2" s="183"/>
      <c r="L2" s="183"/>
    </row>
  </sheetData>
  <sheetProtection sheet="1" objects="1" scenarios="1"/>
  <mergeCells count="2">
    <mergeCell ref="A1:L1"/>
    <mergeCell ref="A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CACA-2BB2-4D92-83E9-C2D7B5973DED}">
  <sheetPr>
    <tabColor rgb="FF003B5C"/>
  </sheetPr>
  <dimension ref="B2:D29"/>
  <sheetViews>
    <sheetView showGridLines="0" topLeftCell="A5" workbookViewId="0">
      <selection activeCell="D22" sqref="D22"/>
    </sheetView>
  </sheetViews>
  <sheetFormatPr baseColWidth="10" defaultColWidth="8.5" defaultRowHeight="15" x14ac:dyDescent="0.2"/>
  <cols>
    <col min="2" max="2" width="58.1640625" style="151" customWidth="1"/>
    <col min="4" max="4" width="93.5" style="152" customWidth="1"/>
    <col min="5" max="5" width="20" bestFit="1" customWidth="1"/>
  </cols>
  <sheetData>
    <row r="2" spans="2:4" ht="16" thickBot="1" x14ac:dyDescent="0.25"/>
    <row r="3" spans="2:4" x14ac:dyDescent="0.2">
      <c r="B3" s="153"/>
      <c r="C3" s="159"/>
      <c r="D3" s="154"/>
    </row>
    <row r="4" spans="2:4" x14ac:dyDescent="0.2">
      <c r="B4" s="155"/>
      <c r="D4" s="156"/>
    </row>
    <row r="5" spans="2:4" ht="151" x14ac:dyDescent="0.2">
      <c r="B5" s="155"/>
      <c r="D5" s="156" t="s">
        <v>305</v>
      </c>
    </row>
    <row r="6" spans="2:4" ht="16" x14ac:dyDescent="0.2">
      <c r="B6" s="155"/>
      <c r="D6" s="157" t="s">
        <v>306</v>
      </c>
    </row>
    <row r="7" spans="2:4" ht="16" x14ac:dyDescent="0.2">
      <c r="B7" s="155"/>
      <c r="D7" s="157" t="s">
        <v>307</v>
      </c>
    </row>
    <row r="8" spans="2:4" x14ac:dyDescent="0.2">
      <c r="B8" s="155"/>
      <c r="D8" s="156"/>
    </row>
    <row r="9" spans="2:4" x14ac:dyDescent="0.2">
      <c r="B9" s="155"/>
      <c r="D9" s="156"/>
    </row>
    <row r="10" spans="2:4" ht="42" customHeight="1" x14ac:dyDescent="0.2">
      <c r="B10" s="155"/>
      <c r="D10" s="156" t="s">
        <v>308</v>
      </c>
    </row>
    <row r="11" spans="2:4" ht="16" x14ac:dyDescent="0.2">
      <c r="B11" s="155"/>
      <c r="D11" s="157" t="s">
        <v>309</v>
      </c>
    </row>
    <row r="12" spans="2:4" x14ac:dyDescent="0.2">
      <c r="B12" s="155"/>
      <c r="D12" s="156"/>
    </row>
    <row r="13" spans="2:4" x14ac:dyDescent="0.2">
      <c r="B13" s="155"/>
      <c r="D13" s="156"/>
    </row>
    <row r="14" spans="2:4" x14ac:dyDescent="0.2">
      <c r="B14" s="155"/>
      <c r="D14" s="156"/>
    </row>
    <row r="15" spans="2:4" x14ac:dyDescent="0.2">
      <c r="B15" s="155"/>
      <c r="D15" s="156"/>
    </row>
    <row r="16" spans="2:4" ht="16" x14ac:dyDescent="0.2">
      <c r="B16" s="155"/>
      <c r="D16" s="156" t="s">
        <v>310</v>
      </c>
    </row>
    <row r="17" spans="2:4" ht="16" x14ac:dyDescent="0.2">
      <c r="B17" s="155"/>
      <c r="D17" s="157" t="s">
        <v>224</v>
      </c>
    </row>
    <row r="18" spans="2:4" x14ac:dyDescent="0.2">
      <c r="B18" s="155"/>
      <c r="D18" s="156"/>
    </row>
    <row r="19" spans="2:4" x14ac:dyDescent="0.2">
      <c r="B19" s="155"/>
      <c r="D19" s="161" t="s">
        <v>262</v>
      </c>
    </row>
    <row r="20" spans="2:4" x14ac:dyDescent="0.2">
      <c r="B20" s="155"/>
      <c r="D20" s="162"/>
    </row>
    <row r="21" spans="2:4" ht="61" x14ac:dyDescent="0.2">
      <c r="B21" s="155"/>
      <c r="D21" s="156" t="s">
        <v>299</v>
      </c>
    </row>
    <row r="22" spans="2:4" x14ac:dyDescent="0.2">
      <c r="B22" s="155"/>
      <c r="D22" s="163"/>
    </row>
    <row r="23" spans="2:4" x14ac:dyDescent="0.2">
      <c r="B23" s="155"/>
      <c r="D23" s="164" t="s">
        <v>263</v>
      </c>
    </row>
    <row r="24" spans="2:4" x14ac:dyDescent="0.2">
      <c r="B24" s="155"/>
      <c r="D24" s="163"/>
    </row>
    <row r="25" spans="2:4" ht="31" x14ac:dyDescent="0.2">
      <c r="B25" s="155"/>
      <c r="D25" s="156" t="s">
        <v>312</v>
      </c>
    </row>
    <row r="26" spans="2:4" x14ac:dyDescent="0.2">
      <c r="B26" s="155"/>
      <c r="D26" s="165" t="s">
        <v>264</v>
      </c>
    </row>
    <row r="27" spans="2:4" x14ac:dyDescent="0.2">
      <c r="B27" s="155"/>
      <c r="D27" s="165"/>
    </row>
    <row r="28" spans="2:4" ht="120" x14ac:dyDescent="0.2">
      <c r="B28" s="155"/>
      <c r="D28" s="163" t="s">
        <v>311</v>
      </c>
    </row>
    <row r="29" spans="2:4" ht="16" thickBot="1" x14ac:dyDescent="0.25">
      <c r="B29" s="158"/>
      <c r="C29" s="160"/>
      <c r="D29" s="166" t="s">
        <v>265</v>
      </c>
    </row>
  </sheetData>
  <sheetProtection sheet="1" objects="1" scenarios="1"/>
  <hyperlinks>
    <hyperlink ref="D17" r:id="rId1" xr:uid="{4D714F52-8751-43EC-9AE3-58C6094955C4}"/>
    <hyperlink ref="D6" r:id="rId2" xr:uid="{C8B0C87D-033A-4EC9-B4DF-BFE945D3BFE6}"/>
    <hyperlink ref="D7" r:id="rId3" xr:uid="{22B5FB98-86E0-4129-A896-18E8C53735C6}"/>
    <hyperlink ref="D26" r:id="rId4" xr:uid="{73AB1A03-0EFB-409D-894D-D7FFAA011FC4}"/>
    <hyperlink ref="D29" r:id="rId5" xr:uid="{7D255CB2-073D-49D8-B1E4-8DF0A4BE1211}"/>
  </hyperlink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84CF-2634-4D78-B712-49EC238B69A8}">
  <sheetPr codeName="Sheet4">
    <tabColor rgb="FF0070C0"/>
  </sheetPr>
  <dimension ref="B2:AF88"/>
  <sheetViews>
    <sheetView showGridLines="0" zoomScaleNormal="100" workbookViewId="0">
      <selection activeCell="B35" sqref="B35"/>
    </sheetView>
  </sheetViews>
  <sheetFormatPr baseColWidth="10" defaultColWidth="9.1640625" defaultRowHeight="13" x14ac:dyDescent="0.15"/>
  <cols>
    <col min="1" max="1" width="9.1640625" style="2"/>
    <col min="2" max="2" width="21.5" style="2" bestFit="1" customWidth="1"/>
    <col min="3" max="3" width="20.6640625" style="14" customWidth="1"/>
    <col min="4" max="6" width="20.6640625" style="2" customWidth="1"/>
    <col min="7" max="12" width="12" style="2" customWidth="1"/>
    <col min="13" max="13" width="12.1640625" style="2" customWidth="1"/>
    <col min="14" max="14" width="20.5" style="2" customWidth="1"/>
    <col min="15" max="15" width="14.6640625" style="2" customWidth="1"/>
    <col min="16" max="16" width="22.5" style="2" customWidth="1"/>
    <col min="17" max="17" width="72.6640625" style="2" customWidth="1"/>
    <col min="18" max="18" width="22.5" style="2" customWidth="1"/>
    <col min="19" max="19" width="18.1640625" style="2" customWidth="1"/>
    <col min="20" max="20" width="20.5" style="2" customWidth="1"/>
    <col min="21" max="26" width="15.5" style="2" customWidth="1"/>
    <col min="27" max="27" width="17.5" style="2" customWidth="1"/>
    <col min="28" max="28" width="16.33203125" style="2" customWidth="1"/>
    <col min="29" max="29" width="20.1640625" style="2" customWidth="1"/>
    <col min="30" max="32" width="13.6640625" style="2" customWidth="1"/>
    <col min="33" max="16384" width="9.1640625" style="2"/>
  </cols>
  <sheetData>
    <row r="2" spans="2:14" x14ac:dyDescent="0.15">
      <c r="B2" s="184" t="s">
        <v>270</v>
      </c>
      <c r="C2" s="1" t="s">
        <v>111</v>
      </c>
      <c r="D2" s="187"/>
      <c r="E2" s="187"/>
    </row>
    <row r="3" spans="2:14" x14ac:dyDescent="0.15">
      <c r="B3" s="185"/>
      <c r="C3" s="1" t="s">
        <v>26</v>
      </c>
      <c r="D3" s="187"/>
      <c r="E3" s="187"/>
    </row>
    <row r="4" spans="2:14" x14ac:dyDescent="0.15">
      <c r="B4" s="186"/>
      <c r="C4" s="1" t="s">
        <v>27</v>
      </c>
      <c r="D4" s="188"/>
      <c r="E4" s="187"/>
    </row>
    <row r="6" spans="2:14" x14ac:dyDescent="0.15">
      <c r="B6" s="3"/>
      <c r="C6" s="4"/>
      <c r="D6" s="4"/>
      <c r="E6" s="4"/>
      <c r="F6" s="4"/>
      <c r="G6" s="4"/>
      <c r="H6" s="4"/>
      <c r="I6" s="4"/>
      <c r="J6" s="4"/>
      <c r="K6" s="4"/>
      <c r="L6" s="4"/>
      <c r="M6" s="4"/>
      <c r="N6" s="4"/>
    </row>
    <row r="8" spans="2:14" x14ac:dyDescent="0.15">
      <c r="B8" s="5" t="s">
        <v>21</v>
      </c>
      <c r="C8" s="189"/>
      <c r="D8" s="189"/>
      <c r="E8" s="189"/>
      <c r="F8" s="189"/>
      <c r="H8" s="193"/>
      <c r="I8" s="193"/>
    </row>
    <row r="9" spans="2:14" x14ac:dyDescent="0.15">
      <c r="C9" s="2"/>
      <c r="H9" s="193"/>
      <c r="I9" s="193"/>
    </row>
    <row r="10" spans="2:14" ht="14" x14ac:dyDescent="0.15">
      <c r="B10" s="6" t="s">
        <v>5</v>
      </c>
      <c r="C10" s="7" t="s">
        <v>6</v>
      </c>
      <c r="D10" s="7" t="s">
        <v>112</v>
      </c>
      <c r="E10" s="37" t="s">
        <v>113</v>
      </c>
      <c r="F10" s="7" t="s">
        <v>25</v>
      </c>
      <c r="H10" s="193"/>
      <c r="I10" s="193"/>
    </row>
    <row r="11" spans="2:14" ht="28" x14ac:dyDescent="0.15">
      <c r="B11" s="8" t="s">
        <v>4</v>
      </c>
      <c r="C11" s="32"/>
      <c r="D11" s="32"/>
      <c r="E11" s="33" t="s">
        <v>40</v>
      </c>
      <c r="F11" s="32"/>
      <c r="H11" s="193"/>
      <c r="I11" s="193"/>
    </row>
    <row r="12" spans="2:14" ht="28" x14ac:dyDescent="0.15">
      <c r="B12" s="9" t="s">
        <v>34</v>
      </c>
      <c r="C12" s="10" t="s">
        <v>29</v>
      </c>
      <c r="D12" s="10" t="s">
        <v>31</v>
      </c>
      <c r="E12" s="11">
        <v>0</v>
      </c>
      <c r="F12" s="10" t="s">
        <v>37</v>
      </c>
      <c r="H12" s="193"/>
      <c r="I12" s="193"/>
    </row>
    <row r="13" spans="2:14" ht="56" x14ac:dyDescent="0.15">
      <c r="B13" s="9" t="s">
        <v>35</v>
      </c>
      <c r="C13" s="10" t="s">
        <v>30</v>
      </c>
      <c r="D13" s="10" t="s">
        <v>32</v>
      </c>
      <c r="E13" s="11">
        <v>0</v>
      </c>
      <c r="F13" s="10" t="s">
        <v>38</v>
      </c>
      <c r="H13" s="193"/>
      <c r="I13" s="193"/>
    </row>
    <row r="14" spans="2:14" ht="42" x14ac:dyDescent="0.15">
      <c r="B14" s="9" t="s">
        <v>36</v>
      </c>
      <c r="C14" s="10" t="s">
        <v>28</v>
      </c>
      <c r="D14" s="10" t="s">
        <v>33</v>
      </c>
      <c r="E14" s="12"/>
      <c r="F14" s="10" t="s">
        <v>39</v>
      </c>
      <c r="H14" s="193"/>
      <c r="I14" s="193"/>
    </row>
    <row r="16" spans="2:14" x14ac:dyDescent="0.15">
      <c r="B16" s="3"/>
      <c r="C16" s="4"/>
      <c r="D16" s="4"/>
      <c r="E16" s="4"/>
      <c r="F16" s="4"/>
      <c r="G16" s="4"/>
      <c r="H16" s="4"/>
      <c r="I16" s="4"/>
      <c r="J16" s="4"/>
      <c r="K16" s="4"/>
      <c r="L16" s="4"/>
      <c r="M16" s="4"/>
      <c r="N16" s="4"/>
    </row>
    <row r="18" spans="2:32" ht="58.5" customHeight="1" x14ac:dyDescent="0.15">
      <c r="B18" s="5" t="s">
        <v>42</v>
      </c>
      <c r="C18" s="194" t="s">
        <v>304</v>
      </c>
      <c r="D18" s="195"/>
      <c r="E18" s="196"/>
      <c r="H18" s="197"/>
    </row>
    <row r="19" spans="2:32" x14ac:dyDescent="0.15">
      <c r="B19" s="13"/>
      <c r="C19" s="10"/>
      <c r="D19" s="10"/>
      <c r="E19" s="10"/>
      <c r="H19" s="197"/>
    </row>
    <row r="20" spans="2:32" ht="28" x14ac:dyDescent="0.15">
      <c r="B20" s="6" t="s">
        <v>24</v>
      </c>
      <c r="C20" s="7" t="s">
        <v>19</v>
      </c>
      <c r="D20" s="7" t="s">
        <v>114</v>
      </c>
      <c r="E20" s="7" t="s">
        <v>20</v>
      </c>
      <c r="F20" s="198"/>
      <c r="G20" s="198"/>
      <c r="H20" s="197"/>
    </row>
    <row r="21" spans="2:32" x14ac:dyDescent="0.15">
      <c r="B21" s="9" t="s">
        <v>300</v>
      </c>
      <c r="C21" s="34"/>
      <c r="D21" s="34"/>
      <c r="E21" s="34"/>
      <c r="F21" s="198"/>
      <c r="G21" s="198"/>
      <c r="H21" s="197"/>
    </row>
    <row r="22" spans="2:32" x14ac:dyDescent="0.15">
      <c r="B22" s="9" t="s">
        <v>107</v>
      </c>
      <c r="C22" s="34"/>
      <c r="D22" s="34"/>
      <c r="E22" s="34"/>
      <c r="F22" s="198"/>
      <c r="G22" s="198"/>
      <c r="H22" s="197"/>
    </row>
    <row r="23" spans="2:32" x14ac:dyDescent="0.15">
      <c r="B23" s="9" t="s">
        <v>108</v>
      </c>
      <c r="C23" s="34"/>
      <c r="D23" s="34"/>
      <c r="E23" s="34"/>
      <c r="F23" s="198"/>
      <c r="G23" s="198"/>
      <c r="H23" s="197"/>
    </row>
    <row r="24" spans="2:32" x14ac:dyDescent="0.15">
      <c r="B24" s="9" t="s">
        <v>109</v>
      </c>
      <c r="C24" s="34"/>
      <c r="D24" s="34"/>
      <c r="E24" s="34"/>
      <c r="F24" s="198"/>
      <c r="G24" s="198"/>
      <c r="H24" s="197"/>
    </row>
    <row r="25" spans="2:32" x14ac:dyDescent="0.15">
      <c r="B25" s="9" t="s">
        <v>110</v>
      </c>
      <c r="C25" s="34"/>
      <c r="D25" s="34"/>
      <c r="E25" s="34"/>
      <c r="F25" s="198"/>
      <c r="G25" s="198"/>
      <c r="H25" s="197"/>
    </row>
    <row r="26" spans="2:32" x14ac:dyDescent="0.15">
      <c r="B26" s="9" t="s">
        <v>302</v>
      </c>
      <c r="C26" s="34"/>
      <c r="D26" s="34"/>
      <c r="E26" s="34"/>
      <c r="F26" s="198"/>
      <c r="G26" s="198"/>
      <c r="H26" s="197"/>
    </row>
    <row r="28" spans="2:32" x14ac:dyDescent="0.15">
      <c r="B28" s="3"/>
      <c r="C28" s="4"/>
      <c r="D28" s="4"/>
      <c r="E28" s="4"/>
      <c r="F28" s="4"/>
      <c r="G28" s="4"/>
      <c r="H28" s="4"/>
      <c r="I28" s="4"/>
      <c r="J28" s="4"/>
      <c r="K28" s="4"/>
      <c r="L28" s="4"/>
      <c r="M28" s="4"/>
      <c r="N28" s="4"/>
      <c r="O28" s="4"/>
      <c r="P28" s="4"/>
      <c r="Q28" s="4"/>
      <c r="R28" s="4"/>
      <c r="S28" s="4"/>
      <c r="T28" s="4"/>
      <c r="U28" s="4"/>
      <c r="V28" s="4"/>
      <c r="W28" s="4"/>
      <c r="X28" s="4"/>
      <c r="Y28" s="4"/>
      <c r="Z28" s="4"/>
      <c r="AA28" s="4"/>
      <c r="AB28" s="4"/>
    </row>
    <row r="30" spans="2:32" ht="26.25" customHeight="1" x14ac:dyDescent="0.15">
      <c r="B30" s="29" t="s">
        <v>41</v>
      </c>
      <c r="C30" s="199" t="s">
        <v>166</v>
      </c>
      <c r="D30" s="200"/>
      <c r="E30" s="200"/>
      <c r="F30" s="200"/>
      <c r="G30" s="200"/>
      <c r="H30" s="200"/>
      <c r="I30" s="200"/>
      <c r="J30" s="200"/>
      <c r="K30" s="200"/>
      <c r="L30" s="200"/>
      <c r="M30" s="201"/>
      <c r="N30" s="29" t="s">
        <v>41</v>
      </c>
      <c r="O30" s="199" t="s">
        <v>164</v>
      </c>
      <c r="P30" s="200"/>
      <c r="Q30" s="200"/>
      <c r="R30" s="200"/>
      <c r="S30" s="200"/>
      <c r="T30" s="200"/>
      <c r="U30" s="200"/>
      <c r="V30" s="200"/>
      <c r="W30" s="200"/>
      <c r="X30" s="200"/>
      <c r="Y30" s="200"/>
      <c r="Z30" s="200"/>
      <c r="AA30" s="200"/>
      <c r="AB30" s="201"/>
      <c r="AD30" s="190" t="s">
        <v>271</v>
      </c>
      <c r="AE30" s="191"/>
      <c r="AF30" s="192"/>
    </row>
    <row r="32" spans="2:32" s="17" customFormat="1" ht="56" x14ac:dyDescent="0.15">
      <c r="B32" s="15" t="s">
        <v>125</v>
      </c>
      <c r="C32" s="15" t="s">
        <v>126</v>
      </c>
      <c r="D32" s="15" t="s">
        <v>292</v>
      </c>
      <c r="E32" s="15" t="s">
        <v>24</v>
      </c>
      <c r="F32" s="7" t="s">
        <v>178</v>
      </c>
      <c r="G32" s="15" t="s">
        <v>22</v>
      </c>
      <c r="H32" s="15" t="s">
        <v>268</v>
      </c>
      <c r="I32" s="15" t="s">
        <v>0</v>
      </c>
      <c r="J32" s="15" t="s">
        <v>115</v>
      </c>
      <c r="K32" s="15" t="s">
        <v>1</v>
      </c>
      <c r="L32" s="15" t="s">
        <v>2</v>
      </c>
      <c r="M32" s="15" t="s">
        <v>3</v>
      </c>
      <c r="N32" s="7" t="s">
        <v>182</v>
      </c>
      <c r="O32" s="16" t="s">
        <v>43</v>
      </c>
      <c r="P32" s="16" t="s">
        <v>47</v>
      </c>
      <c r="Q32" s="16" t="s">
        <v>48</v>
      </c>
      <c r="R32" s="37" t="s">
        <v>127</v>
      </c>
      <c r="S32" s="7" t="s">
        <v>179</v>
      </c>
      <c r="T32" s="16" t="s">
        <v>269</v>
      </c>
      <c r="U32" s="16" t="s">
        <v>49</v>
      </c>
      <c r="V32" s="16" t="s">
        <v>116</v>
      </c>
      <c r="W32" s="16" t="s">
        <v>50</v>
      </c>
      <c r="X32" s="16" t="s">
        <v>52</v>
      </c>
      <c r="Y32" s="16" t="s">
        <v>165</v>
      </c>
      <c r="Z32" s="37" t="s">
        <v>51</v>
      </c>
      <c r="AA32" s="37" t="s">
        <v>121</v>
      </c>
      <c r="AB32" s="37" t="s">
        <v>44</v>
      </c>
      <c r="AD32" s="18" t="s">
        <v>117</v>
      </c>
      <c r="AE32" s="18" t="s">
        <v>45</v>
      </c>
      <c r="AF32" s="18" t="s">
        <v>46</v>
      </c>
    </row>
    <row r="33" spans="2:32" ht="154" x14ac:dyDescent="0.15">
      <c r="B33" s="19">
        <v>1.1000000000000001</v>
      </c>
      <c r="C33" s="20" t="s">
        <v>55</v>
      </c>
      <c r="D33" s="16" t="s">
        <v>293</v>
      </c>
      <c r="E33" s="150" t="s">
        <v>108</v>
      </c>
      <c r="F33" s="22"/>
      <c r="G33" s="36">
        <f>IFERROR(VLOOKUP(tblRiskRegister15[[#This Row],[Asset Class]],tblVCDBIndex[],4,FALSE),"")</f>
        <v>4</v>
      </c>
      <c r="H33" s="36" t="str">
        <f>IFERROR(VLOOKUP(10*tblRiskRegister15[[#This Row],[Safeguard Maturity Score]]+tblRiskRegister15[[#This Row],[VCDB Index]],tblHITIndexWeightTable[],4,FALSE),"")</f>
        <v/>
      </c>
      <c r="I33" s="36">
        <f>VLOOKUP(tblRiskRegister15[[#This Row],[Asset Class]],tblImpactIndex17[],2,FALSE)</f>
        <v>0</v>
      </c>
      <c r="J33" s="36">
        <f>VLOOKUP(tblRiskRegister15[[#This Row],[Asset Class]],tblImpactIndex17[],3,FALSE)</f>
        <v>0</v>
      </c>
      <c r="K33" s="36">
        <f>VLOOKUP(tblRiskRegister15[[#This Row],[Asset Class]],tblImpactIndex17[],4,FALSE)</f>
        <v>0</v>
      </c>
      <c r="L33" s="36" t="str">
        <f>IFERROR(MAX(tblRiskRegister15[[#This Row],[Impact to Mission]:[Impact to Obligations]])*tblRiskRegister15[[#This Row],[Expectancy Score]],"")</f>
        <v/>
      </c>
      <c r="M33" s="36" t="str">
        <f>tblRiskRegister15[[#This Row],[Risk Score]]</f>
        <v/>
      </c>
      <c r="N33" s="31"/>
      <c r="O33" s="19">
        <v>1.1000000000000001</v>
      </c>
      <c r="P33" s="20" t="s">
        <v>55</v>
      </c>
      <c r="Q33" s="20" t="s">
        <v>128</v>
      </c>
      <c r="R33" s="21"/>
      <c r="S33" s="22"/>
      <c r="T33" s="35" t="str">
        <f>IFERROR(VLOOKUP(10*tblRiskRegister15[[#This Row],[Risk Treatment Safeguard Maturity Score]]+tblRiskRegister15[[#This Row],[VCDB Index]],tblHITIndexWeightTable[],4,FALSE),"")</f>
        <v/>
      </c>
      <c r="U33" s="35">
        <f>VLOOKUP(tblRiskRegister15[[#This Row],[Asset Class]],tblImpactIndex17[],2,FALSE)</f>
        <v>0</v>
      </c>
      <c r="V33" s="35">
        <f>VLOOKUP(tblRiskRegister15[[#This Row],[Asset Class]],tblImpactIndex17[],3,FALSE)</f>
        <v>0</v>
      </c>
      <c r="W33" s="35">
        <f>VLOOKUP(tblRiskRegister15[[#This Row],[Asset Class]],tblImpactIndex17[],4,FALSE)</f>
        <v>0</v>
      </c>
      <c r="X33" s="35" t="str">
        <f>IFERROR(MAX(tblRiskRegister15[[#This Row],[Risk Treatment Safeguard Impact to Mission]:[Risk Treatment Safeguard Impact to Obligations]])*tblRiskRegister15[[#This Row],[Risk Treatment
Safeguard Expectancy Score]],"")</f>
        <v/>
      </c>
      <c r="Y33" s="35" t="str">
        <f>IF(tblRiskRegister15[[#This Row],[Risk Score]]&gt;5,IF(tblRiskRegister15[[#This Row],[Risk Treatment Safeguard Risk Score]]&lt;6, IF(tblRiskRegister15[[#This Row],[Risk Treatment Safeguard Risk Score]]&lt;=tblRiskRegister15[[#This Row],[Risk Score]],"Yes","No"),"No"),"Yes")</f>
        <v>No</v>
      </c>
      <c r="Z33" s="23"/>
      <c r="AA33" s="23"/>
      <c r="AB33" s="24"/>
      <c r="AD33" s="25">
        <f>SUMIF(tblRiskRegister15[[#All],[Implementation Year]],"="&amp;tblCostImpacts16[[#This Row],[Year]],tblRiskRegister15[[#All],[Risk Treatment Safeguard Cost]])</f>
        <v>0</v>
      </c>
      <c r="AE33" s="13">
        <v>2025</v>
      </c>
      <c r="AF33" s="13" t="str">
        <f>IF(tblCostImpacts16[[#This Row],[Impact to Financial Objectives]]&lt;=$E$12,"Yes","No")</f>
        <v>Yes</v>
      </c>
    </row>
    <row r="34" spans="2:32" ht="42" x14ac:dyDescent="0.15">
      <c r="B34" s="19">
        <v>1.2</v>
      </c>
      <c r="C34" s="20" t="s">
        <v>15</v>
      </c>
      <c r="D34" s="16" t="s">
        <v>294</v>
      </c>
      <c r="E34" s="150" t="s">
        <v>108</v>
      </c>
      <c r="F34" s="22"/>
      <c r="G34" s="36">
        <f>IFERROR(VLOOKUP(tblRiskRegister15[[#This Row],[Asset Class]],tblVCDBIndex[],4,FALSE),"")</f>
        <v>4</v>
      </c>
      <c r="H34" s="36" t="str">
        <f>IFERROR(VLOOKUP(10*tblRiskRegister15[[#This Row],[Safeguard Maturity Score]]+tblRiskRegister15[[#This Row],[VCDB Index]],tblHITIndexWeightTable[],4,FALSE),"")</f>
        <v/>
      </c>
      <c r="I34" s="36">
        <f>VLOOKUP(tblRiskRegister15[[#This Row],[Asset Class]],tblImpactIndex17[],2,FALSE)</f>
        <v>0</v>
      </c>
      <c r="J34" s="36">
        <f>VLOOKUP(tblRiskRegister15[[#This Row],[Asset Class]],tblImpactIndex17[],3,FALSE)</f>
        <v>0</v>
      </c>
      <c r="K34" s="36">
        <f>VLOOKUP(tblRiskRegister15[[#This Row],[Asset Class]],tblImpactIndex17[],4,FALSE)</f>
        <v>0</v>
      </c>
      <c r="L34" s="36" t="str">
        <f>IFERROR(MAX(tblRiskRegister15[[#This Row],[Impact to Mission]:[Impact to Obligations]])*tblRiskRegister15[[#This Row],[Expectancy Score]],"")</f>
        <v/>
      </c>
      <c r="M34" s="36" t="str">
        <f>tblRiskRegister15[[#This Row],[Risk Score]]</f>
        <v/>
      </c>
      <c r="N34" s="31"/>
      <c r="O34" s="19">
        <v>1.2</v>
      </c>
      <c r="P34" s="20" t="s">
        <v>15</v>
      </c>
      <c r="Q34" s="20" t="s">
        <v>129</v>
      </c>
      <c r="R34" s="21"/>
      <c r="S34" s="22"/>
      <c r="T34" s="35" t="str">
        <f>IFERROR(VLOOKUP(10*tblRiskRegister15[[#This Row],[Risk Treatment Safeguard Maturity Score]]+tblRiskRegister15[[#This Row],[VCDB Index]],tblHITIndexWeightTable[],4,FALSE),"")</f>
        <v/>
      </c>
      <c r="U34" s="35">
        <f>VLOOKUP(tblRiskRegister15[[#This Row],[Asset Class]],tblImpactIndex17[],2,FALSE)</f>
        <v>0</v>
      </c>
      <c r="V34" s="35">
        <f>VLOOKUP(tblRiskRegister15[[#This Row],[Asset Class]],tblImpactIndex17[],3,FALSE)</f>
        <v>0</v>
      </c>
      <c r="W34" s="35">
        <f>VLOOKUP(tblRiskRegister15[[#This Row],[Asset Class]],tblImpactIndex17[],4,FALSE)</f>
        <v>0</v>
      </c>
      <c r="X34" s="35" t="str">
        <f>IFERROR(MAX(tblRiskRegister15[[#This Row],[Risk Treatment Safeguard Impact to Mission]:[Risk Treatment Safeguard Impact to Obligations]])*tblRiskRegister15[[#This Row],[Risk Treatment
Safeguard Expectancy Score]],"")</f>
        <v/>
      </c>
      <c r="Y34" s="35" t="str">
        <f>IF(tblRiskRegister15[[#This Row],[Risk Score]]&gt;5,IF(tblRiskRegister15[[#This Row],[Risk Treatment Safeguard Risk Score]]&lt;6, IF(tblRiskRegister15[[#This Row],[Risk Treatment Safeguard Risk Score]]&lt;=tblRiskRegister15[[#This Row],[Risk Score]],"Yes","No"),"No"),"Yes")</f>
        <v>No</v>
      </c>
      <c r="Z34" s="23"/>
      <c r="AA34" s="23"/>
      <c r="AB34" s="24"/>
      <c r="AD34" s="25">
        <f>SUMIF(tblRiskRegister15[[#All],[Implementation Year]],"="&amp;tblCostImpacts16[[#This Row],[Year]],tblRiskRegister15[[#All],[Risk Treatment Safeguard Cost]])</f>
        <v>0</v>
      </c>
      <c r="AE34" s="13">
        <v>2026</v>
      </c>
      <c r="AF34" s="13" t="str">
        <f>IF(tblCostImpacts16[[#This Row],[Impact to Financial Objectives]]&lt;=$E$12,"Yes","No")</f>
        <v>Yes</v>
      </c>
    </row>
    <row r="35" spans="2:32" ht="84" x14ac:dyDescent="0.15">
      <c r="B35" s="19">
        <v>2.1</v>
      </c>
      <c r="C35" s="20" t="s">
        <v>56</v>
      </c>
      <c r="D35" s="16" t="s">
        <v>293</v>
      </c>
      <c r="E35" s="150" t="s">
        <v>300</v>
      </c>
      <c r="F35" s="22"/>
      <c r="G35" s="36">
        <f>IFERROR(VLOOKUP(tblRiskRegister15[[#This Row],[Asset Class]],tblVCDBIndex[],4,FALSE),"")</f>
        <v>2</v>
      </c>
      <c r="H35" s="36" t="str">
        <f>IFERROR(VLOOKUP(10*tblRiskRegister15[[#This Row],[Safeguard Maturity Score]]+tblRiskRegister15[[#This Row],[VCDB Index]],tblHITIndexWeightTable[],4,FALSE),"")</f>
        <v/>
      </c>
      <c r="I35" s="36">
        <f>VLOOKUP(tblRiskRegister15[[#This Row],[Asset Class]],tblImpactIndex17[],2,FALSE)</f>
        <v>0</v>
      </c>
      <c r="J35" s="36">
        <f>VLOOKUP(tblRiskRegister15[[#This Row],[Asset Class]],tblImpactIndex17[],3,FALSE)</f>
        <v>0</v>
      </c>
      <c r="K35" s="36">
        <f>VLOOKUP(tblRiskRegister15[[#This Row],[Asset Class]],tblImpactIndex17[],4,FALSE)</f>
        <v>0</v>
      </c>
      <c r="L35" s="36" t="str">
        <f>IFERROR(MAX(tblRiskRegister15[[#This Row],[Impact to Mission]:[Impact to Obligations]])*tblRiskRegister15[[#This Row],[Expectancy Score]],"")</f>
        <v/>
      </c>
      <c r="M35" s="36" t="str">
        <f>tblRiskRegister15[[#This Row],[Risk Score]]</f>
        <v/>
      </c>
      <c r="N35" s="31"/>
      <c r="O35" s="19">
        <v>2.1</v>
      </c>
      <c r="P35" s="20" t="s">
        <v>56</v>
      </c>
      <c r="Q35" s="20" t="s">
        <v>314</v>
      </c>
      <c r="R35" s="21"/>
      <c r="S35" s="22"/>
      <c r="T35" s="35" t="str">
        <f>IFERROR(VLOOKUP(10*tblRiskRegister15[[#This Row],[Risk Treatment Safeguard Maturity Score]]+tblRiskRegister15[[#This Row],[VCDB Index]],tblHITIndexWeightTable[],4,FALSE),"")</f>
        <v/>
      </c>
      <c r="U35" s="35">
        <f>VLOOKUP(tblRiskRegister15[[#This Row],[Asset Class]],tblImpactIndex17[],2,FALSE)</f>
        <v>0</v>
      </c>
      <c r="V35" s="35">
        <f>VLOOKUP(tblRiskRegister15[[#This Row],[Asset Class]],tblImpactIndex17[],3,FALSE)</f>
        <v>0</v>
      </c>
      <c r="W35" s="35">
        <f>VLOOKUP(tblRiskRegister15[[#This Row],[Asset Class]],tblImpactIndex17[],4,FALSE)</f>
        <v>0</v>
      </c>
      <c r="X35" s="35" t="str">
        <f>IFERROR(MAX(tblRiskRegister15[[#This Row],[Risk Treatment Safeguard Impact to Mission]:[Risk Treatment Safeguard Impact to Obligations]])*tblRiskRegister15[[#This Row],[Risk Treatment
Safeguard Expectancy Score]],"")</f>
        <v/>
      </c>
      <c r="Y35" s="35" t="str">
        <f>IF(tblRiskRegister15[[#This Row],[Risk Score]]&gt;5,IF(tblRiskRegister15[[#This Row],[Risk Treatment Safeguard Risk Score]]&lt;6, IF(tblRiskRegister15[[#This Row],[Risk Treatment Safeguard Risk Score]]&lt;=tblRiskRegister15[[#This Row],[Risk Score]],"Yes","No"),"No"),"Yes")</f>
        <v>No</v>
      </c>
      <c r="Z35" s="23"/>
      <c r="AA35" s="23"/>
      <c r="AB35" s="24"/>
      <c r="AD35" s="25">
        <f>SUMIF(tblRiskRegister15[[#All],[Implementation Year]],"="&amp;tblCostImpacts16[[#This Row],[Year]],tblRiskRegister15[[#All],[Risk Treatment Safeguard Cost]])</f>
        <v>0</v>
      </c>
      <c r="AE35" s="13">
        <v>2027</v>
      </c>
      <c r="AF35" s="13" t="str">
        <f>IF(tblCostImpacts16[[#This Row],[Impact to Financial Objectives]]&lt;=$E$12,"Yes","No")</f>
        <v>Yes</v>
      </c>
    </row>
    <row r="36" spans="2:32" ht="84" x14ac:dyDescent="0.15">
      <c r="B36" s="19">
        <v>2.2000000000000002</v>
      </c>
      <c r="C36" s="20" t="s">
        <v>57</v>
      </c>
      <c r="D36" s="16" t="s">
        <v>293</v>
      </c>
      <c r="E36" s="150" t="s">
        <v>300</v>
      </c>
      <c r="F36" s="22"/>
      <c r="G36" s="36">
        <f>IFERROR(VLOOKUP(tblRiskRegister15[[#This Row],[Asset Class]],tblVCDBIndex[],4,FALSE),"")</f>
        <v>2</v>
      </c>
      <c r="H36" s="36" t="str">
        <f>IFERROR(VLOOKUP(10*tblRiskRegister15[[#This Row],[Safeguard Maturity Score]]+tblRiskRegister15[[#This Row],[VCDB Index]],tblHITIndexWeightTable[],4,FALSE),"")</f>
        <v/>
      </c>
      <c r="I36" s="36">
        <f>VLOOKUP(tblRiskRegister15[[#This Row],[Asset Class]],tblImpactIndex17[],2,FALSE)</f>
        <v>0</v>
      </c>
      <c r="J36" s="36">
        <f>VLOOKUP(tblRiskRegister15[[#This Row],[Asset Class]],tblImpactIndex17[],3,FALSE)</f>
        <v>0</v>
      </c>
      <c r="K36" s="36">
        <f>VLOOKUP(tblRiskRegister15[[#This Row],[Asset Class]],tblImpactIndex17[],4,FALSE)</f>
        <v>0</v>
      </c>
      <c r="L36" s="36" t="str">
        <f>IFERROR(MAX(tblRiskRegister15[[#This Row],[Impact to Mission]:[Impact to Obligations]])*tblRiskRegister15[[#This Row],[Expectancy Score]],"")</f>
        <v/>
      </c>
      <c r="M36" s="36" t="str">
        <f>tblRiskRegister15[[#This Row],[Risk Score]]</f>
        <v/>
      </c>
      <c r="N36" s="31"/>
      <c r="O36" s="19">
        <v>2.2000000000000002</v>
      </c>
      <c r="P36" s="20" t="s">
        <v>57</v>
      </c>
      <c r="Q36" s="20" t="s">
        <v>130</v>
      </c>
      <c r="R36" s="21"/>
      <c r="S36" s="22"/>
      <c r="T36" s="35" t="str">
        <f>IFERROR(VLOOKUP(10*tblRiskRegister15[[#This Row],[Risk Treatment Safeguard Maturity Score]]+tblRiskRegister15[[#This Row],[VCDB Index]],tblHITIndexWeightTable[],4,FALSE),"")</f>
        <v/>
      </c>
      <c r="U36" s="35">
        <f>VLOOKUP(tblRiskRegister15[[#This Row],[Asset Class]],tblImpactIndex17[],2,FALSE)</f>
        <v>0</v>
      </c>
      <c r="V36" s="35">
        <f>VLOOKUP(tblRiskRegister15[[#This Row],[Asset Class]],tblImpactIndex17[],3,FALSE)</f>
        <v>0</v>
      </c>
      <c r="W36" s="35">
        <f>VLOOKUP(tblRiskRegister15[[#This Row],[Asset Class]],tblImpactIndex17[],4,FALSE)</f>
        <v>0</v>
      </c>
      <c r="X36" s="35" t="str">
        <f>IFERROR(MAX(tblRiskRegister15[[#This Row],[Risk Treatment Safeguard Impact to Mission]:[Risk Treatment Safeguard Impact to Obligations]])*tblRiskRegister15[[#This Row],[Risk Treatment
Safeguard Expectancy Score]],"")</f>
        <v/>
      </c>
      <c r="Y36" s="35" t="str">
        <f>IF(tblRiskRegister15[[#This Row],[Risk Score]]&gt;5,IF(tblRiskRegister15[[#This Row],[Risk Treatment Safeguard Risk Score]]&lt;6, IF(tblRiskRegister15[[#This Row],[Risk Treatment Safeguard Risk Score]]&lt;=tblRiskRegister15[[#This Row],[Risk Score]],"Yes","No"),"No"),"Yes")</f>
        <v>No</v>
      </c>
      <c r="Z36" s="23"/>
      <c r="AA36" s="23"/>
      <c r="AB36" s="24"/>
      <c r="AD36" s="25">
        <f>SUMIF(tblRiskRegister15[[#All],[Implementation Year]],"="&amp;tblCostImpacts16[[#This Row],[Year]],tblRiskRegister15[[#All],[Risk Treatment Safeguard Cost]])</f>
        <v>0</v>
      </c>
      <c r="AE36" s="13">
        <v>2028</v>
      </c>
      <c r="AF36" s="13" t="str">
        <f>IF(tblCostImpacts16[[#This Row],[Impact to Financial Objectives]]&lt;=$E$12,"Yes","No")</f>
        <v>Yes</v>
      </c>
    </row>
    <row r="37" spans="2:32" ht="28" x14ac:dyDescent="0.15">
      <c r="B37" s="19">
        <v>2.2999999999999998</v>
      </c>
      <c r="C37" s="20" t="s">
        <v>58</v>
      </c>
      <c r="D37" s="16" t="s">
        <v>294</v>
      </c>
      <c r="E37" s="150" t="s">
        <v>300</v>
      </c>
      <c r="F37" s="22"/>
      <c r="G37" s="36">
        <f>IFERROR(VLOOKUP(tblRiskRegister15[[#This Row],[Asset Class]],tblVCDBIndex[],4,FALSE),"")</f>
        <v>2</v>
      </c>
      <c r="H37" s="36" t="str">
        <f>IFERROR(VLOOKUP(10*tblRiskRegister15[[#This Row],[Safeguard Maturity Score]]+tblRiskRegister15[[#This Row],[VCDB Index]],tblHITIndexWeightTable[],4,FALSE),"")</f>
        <v/>
      </c>
      <c r="I37" s="36">
        <f>VLOOKUP(tblRiskRegister15[[#This Row],[Asset Class]],tblImpactIndex17[],2,FALSE)</f>
        <v>0</v>
      </c>
      <c r="J37" s="36">
        <f>VLOOKUP(tblRiskRegister15[[#This Row],[Asset Class]],tblImpactIndex17[],3,FALSE)</f>
        <v>0</v>
      </c>
      <c r="K37" s="36">
        <f>VLOOKUP(tblRiskRegister15[[#This Row],[Asset Class]],tblImpactIndex17[],4,FALSE)</f>
        <v>0</v>
      </c>
      <c r="L37" s="36" t="str">
        <f>IFERROR(MAX(tblRiskRegister15[[#This Row],[Impact to Mission]:[Impact to Obligations]])*tblRiskRegister15[[#This Row],[Expectancy Score]],"")</f>
        <v/>
      </c>
      <c r="M37" s="36" t="str">
        <f>tblRiskRegister15[[#This Row],[Risk Score]]</f>
        <v/>
      </c>
      <c r="N37" s="31"/>
      <c r="O37" s="19">
        <v>2.2999999999999998</v>
      </c>
      <c r="P37" s="20" t="s">
        <v>58</v>
      </c>
      <c r="Q37" s="20" t="s">
        <v>131</v>
      </c>
      <c r="R37" s="21"/>
      <c r="S37" s="22"/>
      <c r="T37" s="35" t="str">
        <f>IFERROR(VLOOKUP(10*tblRiskRegister15[[#This Row],[Risk Treatment Safeguard Maturity Score]]+tblRiskRegister15[[#This Row],[VCDB Index]],tblHITIndexWeightTable[],4,FALSE),"")</f>
        <v/>
      </c>
      <c r="U37" s="35">
        <f>VLOOKUP(tblRiskRegister15[[#This Row],[Asset Class]],tblImpactIndex17[],2,FALSE)</f>
        <v>0</v>
      </c>
      <c r="V37" s="35">
        <f>VLOOKUP(tblRiskRegister15[[#This Row],[Asset Class]],tblImpactIndex17[],3,FALSE)</f>
        <v>0</v>
      </c>
      <c r="W37" s="35">
        <f>VLOOKUP(tblRiskRegister15[[#This Row],[Asset Class]],tblImpactIndex17[],4,FALSE)</f>
        <v>0</v>
      </c>
      <c r="X37" s="35" t="str">
        <f>IFERROR(MAX(tblRiskRegister15[[#This Row],[Risk Treatment Safeguard Impact to Mission]:[Risk Treatment Safeguard Impact to Obligations]])*tblRiskRegister15[[#This Row],[Risk Treatment
Safeguard Expectancy Score]],"")</f>
        <v/>
      </c>
      <c r="Y37" s="35" t="str">
        <f>IF(tblRiskRegister15[[#This Row],[Risk Score]]&gt;5,IF(tblRiskRegister15[[#This Row],[Risk Treatment Safeguard Risk Score]]&lt;6, IF(tblRiskRegister15[[#This Row],[Risk Treatment Safeguard Risk Score]]&lt;=tblRiskRegister15[[#This Row],[Risk Score]],"Yes","No"),"No"),"Yes")</f>
        <v>No</v>
      </c>
      <c r="Z37" s="23"/>
      <c r="AA37" s="23"/>
      <c r="AB37" s="24"/>
      <c r="AD37" s="25">
        <f>SUMIF(tblRiskRegister15[[#All],[Implementation Year]],"="&amp;tblCostImpacts16[[#This Row],[Year]],tblRiskRegister15[[#All],[Risk Treatment Safeguard Cost]])</f>
        <v>0</v>
      </c>
      <c r="AE37" s="13">
        <v>2029</v>
      </c>
      <c r="AF37" s="13" t="str">
        <f>IF(tblCostImpacts16[[#This Row],[Impact to Financial Objectives]]&lt;=$E$12,"Yes","No")</f>
        <v>Yes</v>
      </c>
    </row>
    <row r="38" spans="2:32" ht="70" x14ac:dyDescent="0.15">
      <c r="B38" s="19">
        <v>3.1</v>
      </c>
      <c r="C38" s="20" t="s">
        <v>59</v>
      </c>
      <c r="D38" s="148" t="s">
        <v>301</v>
      </c>
      <c r="E38" s="150" t="s">
        <v>107</v>
      </c>
      <c r="F38" s="22"/>
      <c r="G38" s="36">
        <f>IFERROR(VLOOKUP(tblRiskRegister15[[#This Row],[Asset Class]],tblVCDBIndex[],4,FALSE),"")</f>
        <v>2</v>
      </c>
      <c r="H38" s="36" t="str">
        <f>IFERROR(VLOOKUP(10*tblRiskRegister15[[#This Row],[Safeguard Maturity Score]]+tblRiskRegister15[[#This Row],[VCDB Index]],tblHITIndexWeightTable[],4,FALSE),"")</f>
        <v/>
      </c>
      <c r="I38" s="36">
        <f>VLOOKUP(tblRiskRegister15[[#This Row],[Asset Class]],tblImpactIndex17[],2,FALSE)</f>
        <v>0</v>
      </c>
      <c r="J38" s="36">
        <f>VLOOKUP(tblRiskRegister15[[#This Row],[Asset Class]],tblImpactIndex17[],3,FALSE)</f>
        <v>0</v>
      </c>
      <c r="K38" s="36">
        <f>VLOOKUP(tblRiskRegister15[[#This Row],[Asset Class]],tblImpactIndex17[],4,FALSE)</f>
        <v>0</v>
      </c>
      <c r="L38" s="36" t="str">
        <f>IFERROR(MAX(tblRiskRegister15[[#This Row],[Impact to Mission]:[Impact to Obligations]])*tblRiskRegister15[[#This Row],[Expectancy Score]],"")</f>
        <v/>
      </c>
      <c r="M38" s="36" t="str">
        <f>tblRiskRegister15[[#This Row],[Risk Score]]</f>
        <v/>
      </c>
      <c r="N38" s="31"/>
      <c r="O38" s="19">
        <v>3.1</v>
      </c>
      <c r="P38" s="20" t="s">
        <v>59</v>
      </c>
      <c r="Q38" s="20" t="s">
        <v>315</v>
      </c>
      <c r="R38" s="21"/>
      <c r="S38" s="22"/>
      <c r="T38" s="35" t="str">
        <f>IFERROR(VLOOKUP(10*tblRiskRegister15[[#This Row],[Risk Treatment Safeguard Maturity Score]]+tblRiskRegister15[[#This Row],[VCDB Index]],tblHITIndexWeightTable[],4,FALSE),"")</f>
        <v/>
      </c>
      <c r="U38" s="35">
        <f>VLOOKUP(tblRiskRegister15[[#This Row],[Asset Class]],tblImpactIndex17[],2,FALSE)</f>
        <v>0</v>
      </c>
      <c r="V38" s="35">
        <f>VLOOKUP(tblRiskRegister15[[#This Row],[Asset Class]],tblImpactIndex17[],3,FALSE)</f>
        <v>0</v>
      </c>
      <c r="W38" s="35">
        <f>VLOOKUP(tblRiskRegister15[[#This Row],[Asset Class]],tblImpactIndex17[],4,FALSE)</f>
        <v>0</v>
      </c>
      <c r="X38" s="35" t="str">
        <f>IFERROR(MAX(tblRiskRegister15[[#This Row],[Risk Treatment Safeguard Impact to Mission]:[Risk Treatment Safeguard Impact to Obligations]])*tblRiskRegister15[[#This Row],[Risk Treatment
Safeguard Expectancy Score]],"")</f>
        <v/>
      </c>
      <c r="Y38" s="35" t="str">
        <f>IF(tblRiskRegister15[[#This Row],[Risk Score]]&gt;5,IF(tblRiskRegister15[[#This Row],[Risk Treatment Safeguard Risk Score]]&lt;6, IF(tblRiskRegister15[[#This Row],[Risk Treatment Safeguard Risk Score]]&lt;=tblRiskRegister15[[#This Row],[Risk Score]],"Yes","No"),"No"),"Yes")</f>
        <v>No</v>
      </c>
      <c r="Z38" s="23"/>
      <c r="AA38" s="23"/>
      <c r="AB38" s="24"/>
      <c r="AD38" s="25">
        <f>SUMIF(tblRiskRegister15[[#All],[Implementation Year]],"="&amp;tblCostImpacts16[[#This Row],[Year]],tblRiskRegister15[[#All],[Risk Treatment Safeguard Cost]])</f>
        <v>0</v>
      </c>
      <c r="AE38" s="13">
        <v>2030</v>
      </c>
      <c r="AF38" s="13" t="str">
        <f>IF(tblCostImpacts16[[#This Row],[Impact to Financial Objectives]]&lt;=$E$12,"Yes","No")</f>
        <v>Yes</v>
      </c>
    </row>
    <row r="39" spans="2:32" ht="42" x14ac:dyDescent="0.15">
      <c r="B39" s="19">
        <v>3.2</v>
      </c>
      <c r="C39" s="20" t="s">
        <v>60</v>
      </c>
      <c r="D39" s="16" t="s">
        <v>293</v>
      </c>
      <c r="E39" s="150" t="s">
        <v>107</v>
      </c>
      <c r="F39" s="22"/>
      <c r="G39" s="36">
        <f>IFERROR(VLOOKUP(tblRiskRegister15[[#This Row],[Asset Class]],tblVCDBIndex[],4,FALSE),"")</f>
        <v>2</v>
      </c>
      <c r="H39" s="36" t="str">
        <f>IFERROR(VLOOKUP(10*tblRiskRegister15[[#This Row],[Safeguard Maturity Score]]+tblRiskRegister15[[#This Row],[VCDB Index]],tblHITIndexWeightTable[],4,FALSE),"")</f>
        <v/>
      </c>
      <c r="I39" s="36">
        <f>VLOOKUP(tblRiskRegister15[[#This Row],[Asset Class]],tblImpactIndex17[],2,FALSE)</f>
        <v>0</v>
      </c>
      <c r="J39" s="36">
        <f>VLOOKUP(tblRiskRegister15[[#This Row],[Asset Class]],tblImpactIndex17[],3,FALSE)</f>
        <v>0</v>
      </c>
      <c r="K39" s="36">
        <f>VLOOKUP(tblRiskRegister15[[#This Row],[Asset Class]],tblImpactIndex17[],4,FALSE)</f>
        <v>0</v>
      </c>
      <c r="L39" s="36" t="str">
        <f>IFERROR(MAX(tblRiskRegister15[[#This Row],[Impact to Mission]:[Impact to Obligations]])*tblRiskRegister15[[#This Row],[Expectancy Score]],"")</f>
        <v/>
      </c>
      <c r="M39" s="36" t="str">
        <f>tblRiskRegister15[[#This Row],[Risk Score]]</f>
        <v/>
      </c>
      <c r="N39" s="31"/>
      <c r="O39" s="19">
        <v>3.2</v>
      </c>
      <c r="P39" s="20" t="s">
        <v>60</v>
      </c>
      <c r="Q39" s="20" t="s">
        <v>330</v>
      </c>
      <c r="R39" s="21"/>
      <c r="S39" s="22"/>
      <c r="T39" s="35" t="str">
        <f>IFERROR(VLOOKUP(10*tblRiskRegister15[[#This Row],[Risk Treatment Safeguard Maturity Score]]+tblRiskRegister15[[#This Row],[VCDB Index]],tblHITIndexWeightTable[],4,FALSE),"")</f>
        <v/>
      </c>
      <c r="U39" s="35">
        <f>VLOOKUP(tblRiskRegister15[[#This Row],[Asset Class]],tblImpactIndex17[],2,FALSE)</f>
        <v>0</v>
      </c>
      <c r="V39" s="35">
        <f>VLOOKUP(tblRiskRegister15[[#This Row],[Asset Class]],tblImpactIndex17[],3,FALSE)</f>
        <v>0</v>
      </c>
      <c r="W39" s="35">
        <f>VLOOKUP(tblRiskRegister15[[#This Row],[Asset Class]],tblImpactIndex17[],4,FALSE)</f>
        <v>0</v>
      </c>
      <c r="X39" s="35" t="str">
        <f>IFERROR(MAX(tblRiskRegister15[[#This Row],[Risk Treatment Safeguard Impact to Mission]:[Risk Treatment Safeguard Impact to Obligations]])*tblRiskRegister15[[#This Row],[Risk Treatment
Safeguard Expectancy Score]],"")</f>
        <v/>
      </c>
      <c r="Y39" s="35" t="str">
        <f>IF(tblRiskRegister15[[#This Row],[Risk Score]]&gt;5,IF(tblRiskRegister15[[#This Row],[Risk Treatment Safeguard Risk Score]]&lt;6, IF(tblRiskRegister15[[#This Row],[Risk Treatment Safeguard Risk Score]]&lt;=tblRiskRegister15[[#This Row],[Risk Score]],"Yes","No"),"No"),"Yes")</f>
        <v>No</v>
      </c>
      <c r="Z39" s="23"/>
      <c r="AA39" s="23"/>
      <c r="AB39" s="24"/>
      <c r="AD39" s="25">
        <f>SUMIF(tblRiskRegister15[[#All],[Implementation Year]],"="&amp;tblCostImpacts16[[#This Row],[Year]],tblRiskRegister15[[#All],[Risk Treatment Safeguard Cost]])</f>
        <v>0</v>
      </c>
      <c r="AE39" s="13">
        <v>2031</v>
      </c>
      <c r="AF39" s="13" t="str">
        <f>IF(tblCostImpacts16[[#This Row],[Impact to Financial Objectives]]&lt;=$E$12,"Yes","No")</f>
        <v>Yes</v>
      </c>
    </row>
    <row r="40" spans="2:32" ht="42" x14ac:dyDescent="0.15">
      <c r="B40" s="19">
        <v>3.3</v>
      </c>
      <c r="C40" s="20" t="s">
        <v>61</v>
      </c>
      <c r="D40" s="16" t="s">
        <v>295</v>
      </c>
      <c r="E40" s="150" t="s">
        <v>107</v>
      </c>
      <c r="F40" s="22"/>
      <c r="G40" s="36">
        <f>IFERROR(VLOOKUP(tblRiskRegister15[[#This Row],[Asset Class]],tblVCDBIndex[],4,FALSE),"")</f>
        <v>2</v>
      </c>
      <c r="H40" s="36" t="str">
        <f>IFERROR(VLOOKUP(10*tblRiskRegister15[[#This Row],[Safeguard Maturity Score]]+tblRiskRegister15[[#This Row],[VCDB Index]],tblHITIndexWeightTable[],4,FALSE),"")</f>
        <v/>
      </c>
      <c r="I40" s="36">
        <f>VLOOKUP(tblRiskRegister15[[#This Row],[Asset Class]],tblImpactIndex17[],2,FALSE)</f>
        <v>0</v>
      </c>
      <c r="J40" s="36">
        <f>VLOOKUP(tblRiskRegister15[[#This Row],[Asset Class]],tblImpactIndex17[],3,FALSE)</f>
        <v>0</v>
      </c>
      <c r="K40" s="36">
        <f>VLOOKUP(tblRiskRegister15[[#This Row],[Asset Class]],tblImpactIndex17[],4,FALSE)</f>
        <v>0</v>
      </c>
      <c r="L40" s="36" t="str">
        <f>IFERROR(MAX(tblRiskRegister15[[#This Row],[Impact to Mission]:[Impact to Obligations]])*tblRiskRegister15[[#This Row],[Expectancy Score]],"")</f>
        <v/>
      </c>
      <c r="M40" s="36" t="str">
        <f>tblRiskRegister15[[#This Row],[Risk Score]]</f>
        <v/>
      </c>
      <c r="N40" s="31"/>
      <c r="O40" s="19">
        <v>3.3</v>
      </c>
      <c r="P40" s="20" t="s">
        <v>61</v>
      </c>
      <c r="Q40" s="20" t="s">
        <v>132</v>
      </c>
      <c r="R40" s="21"/>
      <c r="S40" s="22"/>
      <c r="T40" s="35" t="str">
        <f>IFERROR(VLOOKUP(10*tblRiskRegister15[[#This Row],[Risk Treatment Safeguard Maturity Score]]+tblRiskRegister15[[#This Row],[VCDB Index]],tblHITIndexWeightTable[],4,FALSE),"")</f>
        <v/>
      </c>
      <c r="U40" s="35">
        <f>VLOOKUP(tblRiskRegister15[[#This Row],[Asset Class]],tblImpactIndex17[],2,FALSE)</f>
        <v>0</v>
      </c>
      <c r="V40" s="35">
        <f>VLOOKUP(tblRiskRegister15[[#This Row],[Asset Class]],tblImpactIndex17[],3,FALSE)</f>
        <v>0</v>
      </c>
      <c r="W40" s="35">
        <f>VLOOKUP(tblRiskRegister15[[#This Row],[Asset Class]],tblImpactIndex17[],4,FALSE)</f>
        <v>0</v>
      </c>
      <c r="X40" s="35" t="str">
        <f>IFERROR(MAX(tblRiskRegister15[[#This Row],[Risk Treatment Safeguard Impact to Mission]:[Risk Treatment Safeguard Impact to Obligations]])*tblRiskRegister15[[#This Row],[Risk Treatment
Safeguard Expectancy Score]],"")</f>
        <v/>
      </c>
      <c r="Y40" s="35" t="str">
        <f>IF(tblRiskRegister15[[#This Row],[Risk Score]]&gt;5,IF(tblRiskRegister15[[#This Row],[Risk Treatment Safeguard Risk Score]]&lt;6, IF(tblRiskRegister15[[#This Row],[Risk Treatment Safeguard Risk Score]]&lt;=tblRiskRegister15[[#This Row],[Risk Score]],"Yes","No"),"No"),"Yes")</f>
        <v>No</v>
      </c>
      <c r="Z40" s="23"/>
      <c r="AA40" s="23"/>
      <c r="AB40" s="24"/>
      <c r="AD40" s="25">
        <f>SUMIF(tblRiskRegister15[[#All],[Implementation Year]],"="&amp;tblCostImpacts16[[#This Row],[Year]],tblRiskRegister15[[#All],[Risk Treatment Safeguard Cost]])</f>
        <v>0</v>
      </c>
      <c r="AE40" s="13">
        <v>2032</v>
      </c>
      <c r="AF40" s="13" t="str">
        <f>IF(tblCostImpacts16[[#This Row],[Impact to Financial Objectives]]&lt;=$E$12,"Yes","No")</f>
        <v>Yes</v>
      </c>
    </row>
    <row r="41" spans="2:32" ht="28" x14ac:dyDescent="0.15">
      <c r="B41" s="19">
        <v>3.4</v>
      </c>
      <c r="C41" s="20" t="s">
        <v>62</v>
      </c>
      <c r="D41" s="16" t="s">
        <v>295</v>
      </c>
      <c r="E41" s="150" t="s">
        <v>107</v>
      </c>
      <c r="F41" s="22"/>
      <c r="G41" s="36">
        <f>IFERROR(VLOOKUP(tblRiskRegister15[[#This Row],[Asset Class]],tblVCDBIndex[],4,FALSE),"")</f>
        <v>2</v>
      </c>
      <c r="H41" s="36" t="str">
        <f>IFERROR(VLOOKUP(10*tblRiskRegister15[[#This Row],[Safeguard Maturity Score]]+tblRiskRegister15[[#This Row],[VCDB Index]],tblHITIndexWeightTable[],4,FALSE),"")</f>
        <v/>
      </c>
      <c r="I41" s="36">
        <f>VLOOKUP(tblRiskRegister15[[#This Row],[Asset Class]],tblImpactIndex17[],2,FALSE)</f>
        <v>0</v>
      </c>
      <c r="J41" s="36">
        <f>VLOOKUP(tblRiskRegister15[[#This Row],[Asset Class]],tblImpactIndex17[],3,FALSE)</f>
        <v>0</v>
      </c>
      <c r="K41" s="36">
        <f>VLOOKUP(tblRiskRegister15[[#This Row],[Asset Class]],tblImpactIndex17[],4,FALSE)</f>
        <v>0</v>
      </c>
      <c r="L41" s="36" t="str">
        <f>IFERROR(MAX(tblRiskRegister15[[#This Row],[Impact to Mission]:[Impact to Obligations]])*tblRiskRegister15[[#This Row],[Expectancy Score]],"")</f>
        <v/>
      </c>
      <c r="M41" s="36" t="str">
        <f>tblRiskRegister15[[#This Row],[Risk Score]]</f>
        <v/>
      </c>
      <c r="N41" s="31"/>
      <c r="O41" s="19">
        <v>3.4</v>
      </c>
      <c r="P41" s="20" t="s">
        <v>62</v>
      </c>
      <c r="Q41" s="20" t="s">
        <v>316</v>
      </c>
      <c r="R41" s="21"/>
      <c r="S41" s="22"/>
      <c r="T41" s="35" t="str">
        <f>IFERROR(VLOOKUP(10*tblRiskRegister15[[#This Row],[Risk Treatment Safeguard Maturity Score]]+tblRiskRegister15[[#This Row],[VCDB Index]],tblHITIndexWeightTable[],4,FALSE),"")</f>
        <v/>
      </c>
      <c r="U41" s="35">
        <f>VLOOKUP(tblRiskRegister15[[#This Row],[Asset Class]],tblImpactIndex17[],2,FALSE)</f>
        <v>0</v>
      </c>
      <c r="V41" s="35">
        <f>VLOOKUP(tblRiskRegister15[[#This Row],[Asset Class]],tblImpactIndex17[],3,FALSE)</f>
        <v>0</v>
      </c>
      <c r="W41" s="35">
        <f>VLOOKUP(tblRiskRegister15[[#This Row],[Asset Class]],tblImpactIndex17[],4,FALSE)</f>
        <v>0</v>
      </c>
      <c r="X41" s="35" t="str">
        <f>IFERROR(MAX(tblRiskRegister15[[#This Row],[Risk Treatment Safeguard Impact to Mission]:[Risk Treatment Safeguard Impact to Obligations]])*tblRiskRegister15[[#This Row],[Risk Treatment
Safeguard Expectancy Score]],"")</f>
        <v/>
      </c>
      <c r="Y41" s="35" t="str">
        <f>IF(tblRiskRegister15[[#This Row],[Risk Score]]&gt;5,IF(tblRiskRegister15[[#This Row],[Risk Treatment Safeguard Risk Score]]&lt;6, IF(tblRiskRegister15[[#This Row],[Risk Treatment Safeguard Risk Score]]&lt;=tblRiskRegister15[[#This Row],[Risk Score]],"Yes","No"),"No"),"Yes")</f>
        <v>No</v>
      </c>
      <c r="Z41" s="23"/>
      <c r="AA41" s="23"/>
      <c r="AB41" s="24"/>
      <c r="AD41" s="25">
        <f>SUMIF(tblRiskRegister15[[#All],[Implementation Year]],"="&amp;tblCostImpacts16[[#This Row],[Year]],tblRiskRegister15[[#All],[Risk Treatment Safeguard Cost]])</f>
        <v>0</v>
      </c>
      <c r="AE41" s="13">
        <v>2033</v>
      </c>
      <c r="AF41" s="13" t="str">
        <f>IF(tblCostImpacts16[[#This Row],[Impact to Financial Objectives]]&lt;=$E$12,"Yes","No")</f>
        <v>Yes</v>
      </c>
    </row>
    <row r="42" spans="2:32" ht="42" x14ac:dyDescent="0.15">
      <c r="B42" s="19">
        <v>3.5</v>
      </c>
      <c r="C42" s="20" t="s">
        <v>63</v>
      </c>
      <c r="D42" s="16" t="s">
        <v>295</v>
      </c>
      <c r="E42" s="150" t="s">
        <v>107</v>
      </c>
      <c r="F42" s="22"/>
      <c r="G42" s="36">
        <f>IFERROR(VLOOKUP(tblRiskRegister15[[#This Row],[Asset Class]],tblVCDBIndex[],4,FALSE),"")</f>
        <v>2</v>
      </c>
      <c r="H42" s="36" t="str">
        <f>IFERROR(VLOOKUP(10*tblRiskRegister15[[#This Row],[Safeguard Maturity Score]]+tblRiskRegister15[[#This Row],[VCDB Index]],tblHITIndexWeightTable[],4,FALSE),"")</f>
        <v/>
      </c>
      <c r="I42" s="36">
        <f>VLOOKUP(tblRiskRegister15[[#This Row],[Asset Class]],tblImpactIndex17[],2,FALSE)</f>
        <v>0</v>
      </c>
      <c r="J42" s="36">
        <f>VLOOKUP(tblRiskRegister15[[#This Row],[Asset Class]],tblImpactIndex17[],3,FALSE)</f>
        <v>0</v>
      </c>
      <c r="K42" s="36">
        <f>VLOOKUP(tblRiskRegister15[[#This Row],[Asset Class]],tblImpactIndex17[],4,FALSE)</f>
        <v>0</v>
      </c>
      <c r="L42" s="36" t="str">
        <f>IFERROR(MAX(tblRiskRegister15[[#This Row],[Impact to Mission]:[Impact to Obligations]])*tblRiskRegister15[[#This Row],[Expectancy Score]],"")</f>
        <v/>
      </c>
      <c r="M42" s="36" t="str">
        <f>tblRiskRegister15[[#This Row],[Risk Score]]</f>
        <v/>
      </c>
      <c r="N42" s="31"/>
      <c r="O42" s="19">
        <v>3.5</v>
      </c>
      <c r="P42" s="20" t="s">
        <v>63</v>
      </c>
      <c r="Q42" s="20" t="s">
        <v>317</v>
      </c>
      <c r="R42" s="21"/>
      <c r="S42" s="22"/>
      <c r="T42" s="35" t="str">
        <f>IFERROR(VLOOKUP(10*tblRiskRegister15[[#This Row],[Risk Treatment Safeguard Maturity Score]]+tblRiskRegister15[[#This Row],[VCDB Index]],tblHITIndexWeightTable[],4,FALSE),"")</f>
        <v/>
      </c>
      <c r="U42" s="35">
        <f>VLOOKUP(tblRiskRegister15[[#This Row],[Asset Class]],tblImpactIndex17[],2,FALSE)</f>
        <v>0</v>
      </c>
      <c r="V42" s="35">
        <f>VLOOKUP(tblRiskRegister15[[#This Row],[Asset Class]],tblImpactIndex17[],3,FALSE)</f>
        <v>0</v>
      </c>
      <c r="W42" s="35">
        <f>VLOOKUP(tblRiskRegister15[[#This Row],[Asset Class]],tblImpactIndex17[],4,FALSE)</f>
        <v>0</v>
      </c>
      <c r="X42" s="35" t="str">
        <f>IFERROR(MAX(tblRiskRegister15[[#This Row],[Risk Treatment Safeguard Impact to Mission]:[Risk Treatment Safeguard Impact to Obligations]])*tblRiskRegister15[[#This Row],[Risk Treatment
Safeguard Expectancy Score]],"")</f>
        <v/>
      </c>
      <c r="Y42" s="35" t="str">
        <f>IF(tblRiskRegister15[[#This Row],[Risk Score]]&gt;5,IF(tblRiskRegister15[[#This Row],[Risk Treatment Safeguard Risk Score]]&lt;6, IF(tblRiskRegister15[[#This Row],[Risk Treatment Safeguard Risk Score]]&lt;=tblRiskRegister15[[#This Row],[Risk Score]],"Yes","No"),"No"),"Yes")</f>
        <v>No</v>
      </c>
      <c r="Z42" s="23"/>
      <c r="AA42" s="23"/>
      <c r="AB42" s="24"/>
      <c r="AD42" s="25">
        <f>SUMIF(tblRiskRegister15[[#All],[Implementation Year]],"="&amp;tblCostImpacts16[[#This Row],[Year]],tblRiskRegister15[[#All],[Risk Treatment Safeguard Cost]])</f>
        <v>0</v>
      </c>
      <c r="AE42" s="13">
        <v>2034</v>
      </c>
      <c r="AF42" s="13" t="str">
        <f>IF(tblCostImpacts16[[#This Row],[Impact to Financial Objectives]]&lt;=$E$12,"Yes","No")</f>
        <v>Yes</v>
      </c>
    </row>
    <row r="43" spans="2:32" ht="28" x14ac:dyDescent="0.15">
      <c r="B43" s="19">
        <v>3.6</v>
      </c>
      <c r="C43" s="20" t="s">
        <v>64</v>
      </c>
      <c r="D43" s="16" t="s">
        <v>295</v>
      </c>
      <c r="E43" s="150" t="s">
        <v>107</v>
      </c>
      <c r="F43" s="22"/>
      <c r="G43" s="36">
        <f>IFERROR(VLOOKUP(tblRiskRegister15[[#This Row],[Asset Class]],tblVCDBIndex[],4,FALSE),"")</f>
        <v>2</v>
      </c>
      <c r="H43" s="36" t="str">
        <f>IFERROR(VLOOKUP(10*tblRiskRegister15[[#This Row],[Safeguard Maturity Score]]+tblRiskRegister15[[#This Row],[VCDB Index]],tblHITIndexWeightTable[],4,FALSE),"")</f>
        <v/>
      </c>
      <c r="I43" s="36">
        <f>VLOOKUP(tblRiskRegister15[[#This Row],[Asset Class]],tblImpactIndex17[],2,FALSE)</f>
        <v>0</v>
      </c>
      <c r="J43" s="36">
        <f>VLOOKUP(tblRiskRegister15[[#This Row],[Asset Class]],tblImpactIndex17[],3,FALSE)</f>
        <v>0</v>
      </c>
      <c r="K43" s="36">
        <f>VLOOKUP(tblRiskRegister15[[#This Row],[Asset Class]],tblImpactIndex17[],4,FALSE)</f>
        <v>0</v>
      </c>
      <c r="L43" s="36" t="str">
        <f>IFERROR(MAX(tblRiskRegister15[[#This Row],[Impact to Mission]:[Impact to Obligations]])*tblRiskRegister15[[#This Row],[Expectancy Score]],"")</f>
        <v/>
      </c>
      <c r="M43" s="36" t="str">
        <f>tblRiskRegister15[[#This Row],[Risk Score]]</f>
        <v/>
      </c>
      <c r="N43" s="31"/>
      <c r="O43" s="19">
        <v>3.6</v>
      </c>
      <c r="P43" s="20" t="s">
        <v>64</v>
      </c>
      <c r="Q43" s="20" t="s">
        <v>163</v>
      </c>
      <c r="R43" s="21"/>
      <c r="S43" s="22"/>
      <c r="T43" s="35" t="str">
        <f>IFERROR(VLOOKUP(10*tblRiskRegister15[[#This Row],[Risk Treatment Safeguard Maturity Score]]+tblRiskRegister15[[#This Row],[VCDB Index]],tblHITIndexWeightTable[],4,FALSE),"")</f>
        <v/>
      </c>
      <c r="U43" s="35">
        <f>VLOOKUP(tblRiskRegister15[[#This Row],[Asset Class]],tblImpactIndex17[],2,FALSE)</f>
        <v>0</v>
      </c>
      <c r="V43" s="35">
        <f>VLOOKUP(tblRiskRegister15[[#This Row],[Asset Class]],tblImpactIndex17[],3,FALSE)</f>
        <v>0</v>
      </c>
      <c r="W43" s="35">
        <f>VLOOKUP(tblRiskRegister15[[#This Row],[Asset Class]],tblImpactIndex17[],4,FALSE)</f>
        <v>0</v>
      </c>
      <c r="X43" s="35" t="str">
        <f>IFERROR(MAX(tblRiskRegister15[[#This Row],[Risk Treatment Safeguard Impact to Mission]:[Risk Treatment Safeguard Impact to Obligations]])*tblRiskRegister15[[#This Row],[Risk Treatment
Safeguard Expectancy Score]],"")</f>
        <v/>
      </c>
      <c r="Y43" s="35" t="str">
        <f>IF(tblRiskRegister15[[#This Row],[Risk Score]]&gt;5,IF(tblRiskRegister15[[#This Row],[Risk Treatment Safeguard Risk Score]]&lt;6, IF(tblRiskRegister15[[#This Row],[Risk Treatment Safeguard Risk Score]]&lt;=tblRiskRegister15[[#This Row],[Risk Score]],"Yes","No"),"No"),"Yes")</f>
        <v>No</v>
      </c>
      <c r="Z43" s="23"/>
      <c r="AA43" s="23"/>
      <c r="AB43" s="24"/>
    </row>
    <row r="44" spans="2:32" ht="56" x14ac:dyDescent="0.15">
      <c r="B44" s="19">
        <v>4.0999999999999996</v>
      </c>
      <c r="C44" s="20" t="s">
        <v>65</v>
      </c>
      <c r="D44" s="148" t="s">
        <v>301</v>
      </c>
      <c r="E44" s="150" t="s">
        <v>302</v>
      </c>
      <c r="F44" s="22"/>
      <c r="G44" s="36">
        <f>IFERROR(VLOOKUP(tblRiskRegister15[[#This Row],[Asset Class]],tblVCDBIndex[],4,FALSE),"")</f>
        <v>2</v>
      </c>
      <c r="H44" s="36" t="str">
        <f>IFERROR(VLOOKUP(10*tblRiskRegister15[[#This Row],[Safeguard Maturity Score]]+tblRiskRegister15[[#This Row],[VCDB Index]],tblHITIndexWeightTable[],4,FALSE),"")</f>
        <v/>
      </c>
      <c r="I44" s="36">
        <f>VLOOKUP(tblRiskRegister15[[#This Row],[Asset Class]],tblImpactIndex17[],2,FALSE)</f>
        <v>0</v>
      </c>
      <c r="J44" s="36">
        <f>VLOOKUP(tblRiskRegister15[[#This Row],[Asset Class]],tblImpactIndex17[],3,FALSE)</f>
        <v>0</v>
      </c>
      <c r="K44" s="36">
        <f>VLOOKUP(tblRiskRegister15[[#This Row],[Asset Class]],tblImpactIndex17[],4,FALSE)</f>
        <v>0</v>
      </c>
      <c r="L44" s="36" t="str">
        <f>IFERROR(MAX(tblRiskRegister15[[#This Row],[Impact to Mission]:[Impact to Obligations]])*tblRiskRegister15[[#This Row],[Expectancy Score]],"")</f>
        <v/>
      </c>
      <c r="M44" s="36" t="str">
        <f>tblRiskRegister15[[#This Row],[Risk Score]]</f>
        <v/>
      </c>
      <c r="N44" s="31"/>
      <c r="O44" s="19">
        <v>4.0999999999999996</v>
      </c>
      <c r="P44" s="20" t="s">
        <v>65</v>
      </c>
      <c r="Q44" s="20" t="s">
        <v>331</v>
      </c>
      <c r="R44" s="21"/>
      <c r="S44" s="22"/>
      <c r="T44" s="35" t="str">
        <f>IFERROR(VLOOKUP(10*tblRiskRegister15[[#This Row],[Risk Treatment Safeguard Maturity Score]]+tblRiskRegister15[[#This Row],[VCDB Index]],tblHITIndexWeightTable[],4,FALSE),"")</f>
        <v/>
      </c>
      <c r="U44" s="35">
        <f>VLOOKUP(tblRiskRegister15[[#This Row],[Asset Class]],tblImpactIndex17[],2,FALSE)</f>
        <v>0</v>
      </c>
      <c r="V44" s="35">
        <f>VLOOKUP(tblRiskRegister15[[#This Row],[Asset Class]],tblImpactIndex17[],3,FALSE)</f>
        <v>0</v>
      </c>
      <c r="W44" s="35">
        <f>VLOOKUP(tblRiskRegister15[[#This Row],[Asset Class]],tblImpactIndex17[],4,FALSE)</f>
        <v>0</v>
      </c>
      <c r="X44" s="35" t="str">
        <f>IFERROR(MAX(tblRiskRegister15[[#This Row],[Risk Treatment Safeguard Impact to Mission]:[Risk Treatment Safeguard Impact to Obligations]])*tblRiskRegister15[[#This Row],[Risk Treatment
Safeguard Expectancy Score]],"")</f>
        <v/>
      </c>
      <c r="Y44" s="35" t="str">
        <f>IF(tblRiskRegister15[[#This Row],[Risk Score]]&gt;5,IF(tblRiskRegister15[[#This Row],[Risk Treatment Safeguard Risk Score]]&lt;6, IF(tblRiskRegister15[[#This Row],[Risk Treatment Safeguard Risk Score]]&lt;=tblRiskRegister15[[#This Row],[Risk Score]],"Yes","No"),"No"),"Yes")</f>
        <v>No</v>
      </c>
      <c r="Z44" s="23"/>
      <c r="AA44" s="23"/>
      <c r="AB44" s="24"/>
    </row>
    <row r="45" spans="2:32" ht="56" x14ac:dyDescent="0.15">
      <c r="B45" s="19">
        <v>4.2</v>
      </c>
      <c r="C45" s="20" t="s">
        <v>66</v>
      </c>
      <c r="D45" s="148" t="s">
        <v>301</v>
      </c>
      <c r="E45" s="150" t="s">
        <v>302</v>
      </c>
      <c r="F45" s="22"/>
      <c r="G45" s="36">
        <f>IFERROR(VLOOKUP(tblRiskRegister15[[#This Row],[Asset Class]],tblVCDBIndex[],4,FALSE),"")</f>
        <v>2</v>
      </c>
      <c r="H45" s="36" t="str">
        <f>IFERROR(VLOOKUP(10*tblRiskRegister15[[#This Row],[Safeguard Maturity Score]]+tblRiskRegister15[[#This Row],[VCDB Index]],tblHITIndexWeightTable[],4,FALSE),"")</f>
        <v/>
      </c>
      <c r="I45" s="36">
        <f>VLOOKUP(tblRiskRegister15[[#This Row],[Asset Class]],tblImpactIndex17[],2,FALSE)</f>
        <v>0</v>
      </c>
      <c r="J45" s="36">
        <f>VLOOKUP(tblRiskRegister15[[#This Row],[Asset Class]],tblImpactIndex17[],3,FALSE)</f>
        <v>0</v>
      </c>
      <c r="K45" s="36">
        <f>VLOOKUP(tblRiskRegister15[[#This Row],[Asset Class]],tblImpactIndex17[],4,FALSE)</f>
        <v>0</v>
      </c>
      <c r="L45" s="36" t="str">
        <f>IFERROR(MAX(tblRiskRegister15[[#This Row],[Impact to Mission]:[Impact to Obligations]])*tblRiskRegister15[[#This Row],[Expectancy Score]],"")</f>
        <v/>
      </c>
      <c r="M45" s="36" t="str">
        <f>tblRiskRegister15[[#This Row],[Risk Score]]</f>
        <v/>
      </c>
      <c r="N45" s="31"/>
      <c r="O45" s="19">
        <v>4.2</v>
      </c>
      <c r="P45" s="20" t="s">
        <v>66</v>
      </c>
      <c r="Q45" s="20" t="s">
        <v>318</v>
      </c>
      <c r="R45" s="21"/>
      <c r="S45" s="22"/>
      <c r="T45" s="35" t="str">
        <f>IFERROR(VLOOKUP(10*tblRiskRegister15[[#This Row],[Risk Treatment Safeguard Maturity Score]]+tblRiskRegister15[[#This Row],[VCDB Index]],tblHITIndexWeightTable[],4,FALSE),"")</f>
        <v/>
      </c>
      <c r="U45" s="35">
        <f>VLOOKUP(tblRiskRegister15[[#This Row],[Asset Class]],tblImpactIndex17[],2,FALSE)</f>
        <v>0</v>
      </c>
      <c r="V45" s="35">
        <f>VLOOKUP(tblRiskRegister15[[#This Row],[Asset Class]],tblImpactIndex17[],3,FALSE)</f>
        <v>0</v>
      </c>
      <c r="W45" s="35">
        <f>VLOOKUP(tblRiskRegister15[[#This Row],[Asset Class]],tblImpactIndex17[],4,FALSE)</f>
        <v>0</v>
      </c>
      <c r="X45" s="35" t="str">
        <f>IFERROR(MAX(tblRiskRegister15[[#This Row],[Risk Treatment Safeguard Impact to Mission]:[Risk Treatment Safeguard Impact to Obligations]])*tblRiskRegister15[[#This Row],[Risk Treatment
Safeguard Expectancy Score]],"")</f>
        <v/>
      </c>
      <c r="Y45" s="35" t="str">
        <f>IF(tblRiskRegister15[[#This Row],[Risk Score]]&gt;5,IF(tblRiskRegister15[[#This Row],[Risk Treatment Safeguard Risk Score]]&lt;6, IF(tblRiskRegister15[[#This Row],[Risk Treatment Safeguard Risk Score]]&lt;=tblRiskRegister15[[#This Row],[Risk Score]],"Yes","No"),"No"),"Yes")</f>
        <v>No</v>
      </c>
      <c r="Z45" s="23"/>
      <c r="AA45" s="23"/>
      <c r="AB45" s="24"/>
    </row>
    <row r="46" spans="2:32" ht="42" x14ac:dyDescent="0.15">
      <c r="B46" s="19">
        <v>4.3</v>
      </c>
      <c r="C46" s="20" t="s">
        <v>67</v>
      </c>
      <c r="D46" s="16" t="s">
        <v>295</v>
      </c>
      <c r="E46" s="150" t="s">
        <v>108</v>
      </c>
      <c r="F46" s="22"/>
      <c r="G46" s="36">
        <f>IFERROR(VLOOKUP(tblRiskRegister15[[#This Row],[Asset Class]],tblVCDBIndex[],4,FALSE),"")</f>
        <v>4</v>
      </c>
      <c r="H46" s="36" t="str">
        <f>IFERROR(VLOOKUP(10*tblRiskRegister15[[#This Row],[Safeguard Maturity Score]]+tblRiskRegister15[[#This Row],[VCDB Index]],tblHITIndexWeightTable[],4,FALSE),"")</f>
        <v/>
      </c>
      <c r="I46" s="36">
        <f>VLOOKUP(tblRiskRegister15[[#This Row],[Asset Class]],tblImpactIndex17[],2,FALSE)</f>
        <v>0</v>
      </c>
      <c r="J46" s="36">
        <f>VLOOKUP(tblRiskRegister15[[#This Row],[Asset Class]],tblImpactIndex17[],3,FALSE)</f>
        <v>0</v>
      </c>
      <c r="K46" s="36">
        <f>VLOOKUP(tblRiskRegister15[[#This Row],[Asset Class]],tblImpactIndex17[],4,FALSE)</f>
        <v>0</v>
      </c>
      <c r="L46" s="36" t="str">
        <f>IFERROR(MAX(tblRiskRegister15[[#This Row],[Impact to Mission]:[Impact to Obligations]])*tblRiskRegister15[[#This Row],[Expectancy Score]],"")</f>
        <v/>
      </c>
      <c r="M46" s="36" t="str">
        <f>tblRiskRegister15[[#This Row],[Risk Score]]</f>
        <v/>
      </c>
      <c r="N46" s="31"/>
      <c r="O46" s="19">
        <v>4.3</v>
      </c>
      <c r="P46" s="20" t="s">
        <v>67</v>
      </c>
      <c r="Q46" s="20" t="s">
        <v>133</v>
      </c>
      <c r="R46" s="21"/>
      <c r="S46" s="22"/>
      <c r="T46" s="35" t="str">
        <f>IFERROR(VLOOKUP(10*tblRiskRegister15[[#This Row],[Risk Treatment Safeguard Maturity Score]]+tblRiskRegister15[[#This Row],[VCDB Index]],tblHITIndexWeightTable[],4,FALSE),"")</f>
        <v/>
      </c>
      <c r="U46" s="35">
        <f>VLOOKUP(tblRiskRegister15[[#This Row],[Asset Class]],tblImpactIndex17[],2,FALSE)</f>
        <v>0</v>
      </c>
      <c r="V46" s="35">
        <f>VLOOKUP(tblRiskRegister15[[#This Row],[Asset Class]],tblImpactIndex17[],3,FALSE)</f>
        <v>0</v>
      </c>
      <c r="W46" s="35">
        <f>VLOOKUP(tblRiskRegister15[[#This Row],[Asset Class]],tblImpactIndex17[],4,FALSE)</f>
        <v>0</v>
      </c>
      <c r="X46" s="35" t="str">
        <f>IFERROR(MAX(tblRiskRegister15[[#This Row],[Risk Treatment Safeguard Impact to Mission]:[Risk Treatment Safeguard Impact to Obligations]])*tblRiskRegister15[[#This Row],[Risk Treatment
Safeguard Expectancy Score]],"")</f>
        <v/>
      </c>
      <c r="Y46" s="35" t="str">
        <f>IF(tblRiskRegister15[[#This Row],[Risk Score]]&gt;5,IF(tblRiskRegister15[[#This Row],[Risk Treatment Safeguard Risk Score]]&lt;6, IF(tblRiskRegister15[[#This Row],[Risk Treatment Safeguard Risk Score]]&lt;=tblRiskRegister15[[#This Row],[Risk Score]],"Yes","No"),"No"),"Yes")</f>
        <v>No</v>
      </c>
      <c r="Z46" s="23"/>
      <c r="AA46" s="23"/>
      <c r="AB46" s="24"/>
    </row>
    <row r="47" spans="2:32" ht="28" x14ac:dyDescent="0.15">
      <c r="B47" s="19">
        <v>4.4000000000000004</v>
      </c>
      <c r="C47" s="20" t="s">
        <v>68</v>
      </c>
      <c r="D47" s="16" t="s">
        <v>295</v>
      </c>
      <c r="E47" s="150" t="s">
        <v>108</v>
      </c>
      <c r="F47" s="22"/>
      <c r="G47" s="36">
        <f>IFERROR(VLOOKUP(tblRiskRegister15[[#This Row],[Asset Class]],tblVCDBIndex[],4,FALSE),"")</f>
        <v>4</v>
      </c>
      <c r="H47" s="36" t="str">
        <f>IFERROR(VLOOKUP(10*tblRiskRegister15[[#This Row],[Safeguard Maturity Score]]+tblRiskRegister15[[#This Row],[VCDB Index]],tblHITIndexWeightTable[],4,FALSE),"")</f>
        <v/>
      </c>
      <c r="I47" s="36">
        <f>VLOOKUP(tblRiskRegister15[[#This Row],[Asset Class]],tblImpactIndex17[],2,FALSE)</f>
        <v>0</v>
      </c>
      <c r="J47" s="36">
        <f>VLOOKUP(tblRiskRegister15[[#This Row],[Asset Class]],tblImpactIndex17[],3,FALSE)</f>
        <v>0</v>
      </c>
      <c r="K47" s="36">
        <f>VLOOKUP(tblRiskRegister15[[#This Row],[Asset Class]],tblImpactIndex17[],4,FALSE)</f>
        <v>0</v>
      </c>
      <c r="L47" s="36" t="str">
        <f>IFERROR(MAX(tblRiskRegister15[[#This Row],[Impact to Mission]:[Impact to Obligations]])*tblRiskRegister15[[#This Row],[Expectancy Score]],"")</f>
        <v/>
      </c>
      <c r="M47" s="36" t="str">
        <f>tblRiskRegister15[[#This Row],[Risk Score]]</f>
        <v/>
      </c>
      <c r="N47" s="31"/>
      <c r="O47" s="19">
        <v>4.4000000000000004</v>
      </c>
      <c r="P47" s="20" t="s">
        <v>68</v>
      </c>
      <c r="Q47" s="20" t="s">
        <v>134</v>
      </c>
      <c r="R47" s="21"/>
      <c r="S47" s="22"/>
      <c r="T47" s="35" t="str">
        <f>IFERROR(VLOOKUP(10*tblRiskRegister15[[#This Row],[Risk Treatment Safeguard Maturity Score]]+tblRiskRegister15[[#This Row],[VCDB Index]],tblHITIndexWeightTable[],4,FALSE),"")</f>
        <v/>
      </c>
      <c r="U47" s="35">
        <f>VLOOKUP(tblRiskRegister15[[#This Row],[Asset Class]],tblImpactIndex17[],2,FALSE)</f>
        <v>0</v>
      </c>
      <c r="V47" s="35">
        <f>VLOOKUP(tblRiskRegister15[[#This Row],[Asset Class]],tblImpactIndex17[],3,FALSE)</f>
        <v>0</v>
      </c>
      <c r="W47" s="35">
        <f>VLOOKUP(tblRiskRegister15[[#This Row],[Asset Class]],tblImpactIndex17[],4,FALSE)</f>
        <v>0</v>
      </c>
      <c r="X47" s="35" t="str">
        <f>IFERROR(MAX(tblRiskRegister15[[#This Row],[Risk Treatment Safeguard Impact to Mission]:[Risk Treatment Safeguard Impact to Obligations]])*tblRiskRegister15[[#This Row],[Risk Treatment
Safeguard Expectancy Score]],"")</f>
        <v/>
      </c>
      <c r="Y47" s="35" t="str">
        <f>IF(tblRiskRegister15[[#This Row],[Risk Score]]&gt;5,IF(tblRiskRegister15[[#This Row],[Risk Treatment Safeguard Risk Score]]&lt;6, IF(tblRiskRegister15[[#This Row],[Risk Treatment Safeguard Risk Score]]&lt;=tblRiskRegister15[[#This Row],[Risk Score]],"Yes","No"),"No"),"Yes")</f>
        <v>No</v>
      </c>
      <c r="Z47" s="23"/>
      <c r="AA47" s="23"/>
      <c r="AB47" s="24"/>
    </row>
    <row r="48" spans="2:32" ht="42" x14ac:dyDescent="0.15">
      <c r="B48" s="19">
        <v>4.5</v>
      </c>
      <c r="C48" s="20" t="s">
        <v>69</v>
      </c>
      <c r="D48" s="16" t="s">
        <v>295</v>
      </c>
      <c r="E48" s="150" t="s">
        <v>108</v>
      </c>
      <c r="F48" s="22"/>
      <c r="G48" s="36">
        <f>IFERROR(VLOOKUP(tblRiskRegister15[[#This Row],[Asset Class]],tblVCDBIndex[],4,FALSE),"")</f>
        <v>4</v>
      </c>
      <c r="H48" s="36" t="str">
        <f>IFERROR(VLOOKUP(10*tblRiskRegister15[[#This Row],[Safeguard Maturity Score]]+tblRiskRegister15[[#This Row],[VCDB Index]],tblHITIndexWeightTable[],4,FALSE),"")</f>
        <v/>
      </c>
      <c r="I48" s="36">
        <f>VLOOKUP(tblRiskRegister15[[#This Row],[Asset Class]],tblImpactIndex17[],2,FALSE)</f>
        <v>0</v>
      </c>
      <c r="J48" s="36">
        <f>VLOOKUP(tblRiskRegister15[[#This Row],[Asset Class]],tblImpactIndex17[],3,FALSE)</f>
        <v>0</v>
      </c>
      <c r="K48" s="36">
        <f>VLOOKUP(tblRiskRegister15[[#This Row],[Asset Class]],tblImpactIndex17[],4,FALSE)</f>
        <v>0</v>
      </c>
      <c r="L48" s="36" t="str">
        <f>IFERROR(MAX(tblRiskRegister15[[#This Row],[Impact to Mission]:[Impact to Obligations]])*tblRiskRegister15[[#This Row],[Expectancy Score]],"")</f>
        <v/>
      </c>
      <c r="M48" s="36" t="str">
        <f>tblRiskRegister15[[#This Row],[Risk Score]]</f>
        <v/>
      </c>
      <c r="N48" s="31"/>
      <c r="O48" s="19">
        <v>4.5</v>
      </c>
      <c r="P48" s="20" t="s">
        <v>69</v>
      </c>
      <c r="Q48" s="20" t="s">
        <v>135</v>
      </c>
      <c r="R48" s="21"/>
      <c r="S48" s="22"/>
      <c r="T48" s="35" t="str">
        <f>IFERROR(VLOOKUP(10*tblRiskRegister15[[#This Row],[Risk Treatment Safeguard Maturity Score]]+tblRiskRegister15[[#This Row],[VCDB Index]],tblHITIndexWeightTable[],4,FALSE),"")</f>
        <v/>
      </c>
      <c r="U48" s="35">
        <f>VLOOKUP(tblRiskRegister15[[#This Row],[Asset Class]],tblImpactIndex17[],2,FALSE)</f>
        <v>0</v>
      </c>
      <c r="V48" s="35">
        <f>VLOOKUP(tblRiskRegister15[[#This Row],[Asset Class]],tblImpactIndex17[],3,FALSE)</f>
        <v>0</v>
      </c>
      <c r="W48" s="35">
        <f>VLOOKUP(tblRiskRegister15[[#This Row],[Asset Class]],tblImpactIndex17[],4,FALSE)</f>
        <v>0</v>
      </c>
      <c r="X48" s="35" t="str">
        <f>IFERROR(MAX(tblRiskRegister15[[#This Row],[Risk Treatment Safeguard Impact to Mission]:[Risk Treatment Safeguard Impact to Obligations]])*tblRiskRegister15[[#This Row],[Risk Treatment
Safeguard Expectancy Score]],"")</f>
        <v/>
      </c>
      <c r="Y48" s="35" t="str">
        <f>IF(tblRiskRegister15[[#This Row],[Risk Score]]&gt;5,IF(tblRiskRegister15[[#This Row],[Risk Treatment Safeguard Risk Score]]&lt;6, IF(tblRiskRegister15[[#This Row],[Risk Treatment Safeguard Risk Score]]&lt;=tblRiskRegister15[[#This Row],[Risk Score]],"Yes","No"),"No"),"Yes")</f>
        <v>No</v>
      </c>
      <c r="Z48" s="23"/>
      <c r="AA48" s="23"/>
      <c r="AB48" s="24"/>
    </row>
    <row r="49" spans="2:28" ht="70" x14ac:dyDescent="0.15">
      <c r="B49" s="19">
        <v>4.5999999999999996</v>
      </c>
      <c r="C49" s="20" t="s">
        <v>70</v>
      </c>
      <c r="D49" s="16" t="s">
        <v>295</v>
      </c>
      <c r="E49" s="150" t="s">
        <v>108</v>
      </c>
      <c r="F49" s="22"/>
      <c r="G49" s="36">
        <f>IFERROR(VLOOKUP(tblRiskRegister15[[#This Row],[Asset Class]],tblVCDBIndex[],4,FALSE),"")</f>
        <v>4</v>
      </c>
      <c r="H49" s="36" t="str">
        <f>IFERROR(VLOOKUP(10*tblRiskRegister15[[#This Row],[Safeguard Maturity Score]]+tblRiskRegister15[[#This Row],[VCDB Index]],tblHITIndexWeightTable[],4,FALSE),"")</f>
        <v/>
      </c>
      <c r="I49" s="36">
        <f>VLOOKUP(tblRiskRegister15[[#This Row],[Asset Class]],tblImpactIndex17[],2,FALSE)</f>
        <v>0</v>
      </c>
      <c r="J49" s="36">
        <f>VLOOKUP(tblRiskRegister15[[#This Row],[Asset Class]],tblImpactIndex17[],3,FALSE)</f>
        <v>0</v>
      </c>
      <c r="K49" s="36">
        <f>VLOOKUP(tblRiskRegister15[[#This Row],[Asset Class]],tblImpactIndex17[],4,FALSE)</f>
        <v>0</v>
      </c>
      <c r="L49" s="36" t="str">
        <f>IFERROR(MAX(tblRiskRegister15[[#This Row],[Impact to Mission]:[Impact to Obligations]])*tblRiskRegister15[[#This Row],[Expectancy Score]],"")</f>
        <v/>
      </c>
      <c r="M49" s="36" t="str">
        <f>tblRiskRegister15[[#This Row],[Risk Score]]</f>
        <v/>
      </c>
      <c r="N49" s="31"/>
      <c r="O49" s="19">
        <v>4.5999999999999996</v>
      </c>
      <c r="P49" s="20" t="s">
        <v>70</v>
      </c>
      <c r="Q49" s="20" t="s">
        <v>319</v>
      </c>
      <c r="R49" s="21"/>
      <c r="S49" s="22"/>
      <c r="T49" s="35" t="str">
        <f>IFERROR(VLOOKUP(10*tblRiskRegister15[[#This Row],[Risk Treatment Safeguard Maturity Score]]+tblRiskRegister15[[#This Row],[VCDB Index]],tblHITIndexWeightTable[],4,FALSE),"")</f>
        <v/>
      </c>
      <c r="U49" s="35">
        <f>VLOOKUP(tblRiskRegister15[[#This Row],[Asset Class]],tblImpactIndex17[],2,FALSE)</f>
        <v>0</v>
      </c>
      <c r="V49" s="35">
        <f>VLOOKUP(tblRiskRegister15[[#This Row],[Asset Class]],tblImpactIndex17[],3,FALSE)</f>
        <v>0</v>
      </c>
      <c r="W49" s="35">
        <f>VLOOKUP(tblRiskRegister15[[#This Row],[Asset Class]],tblImpactIndex17[],4,FALSE)</f>
        <v>0</v>
      </c>
      <c r="X49" s="35" t="str">
        <f>IFERROR(MAX(tblRiskRegister15[[#This Row],[Risk Treatment Safeguard Impact to Mission]:[Risk Treatment Safeguard Impact to Obligations]])*tblRiskRegister15[[#This Row],[Risk Treatment
Safeguard Expectancy Score]],"")</f>
        <v/>
      </c>
      <c r="Y49" s="35" t="str">
        <f>IF(tblRiskRegister15[[#This Row],[Risk Score]]&gt;5,IF(tblRiskRegister15[[#This Row],[Risk Treatment Safeguard Risk Score]]&lt;6, IF(tblRiskRegister15[[#This Row],[Risk Treatment Safeguard Risk Score]]&lt;=tblRiskRegister15[[#This Row],[Risk Score]],"Yes","No"),"No"),"Yes")</f>
        <v>No</v>
      </c>
      <c r="Z49" s="23"/>
      <c r="AA49" s="23"/>
      <c r="AB49" s="24"/>
    </row>
    <row r="50" spans="2:28" ht="42" x14ac:dyDescent="0.15">
      <c r="B50" s="19">
        <v>4.7</v>
      </c>
      <c r="C50" s="20" t="s">
        <v>71</v>
      </c>
      <c r="D50" s="16" t="s">
        <v>295</v>
      </c>
      <c r="E50" s="150" t="s">
        <v>110</v>
      </c>
      <c r="F50" s="22"/>
      <c r="G50" s="36">
        <f>IFERROR(VLOOKUP(tblRiskRegister15[[#This Row],[Asset Class]],tblVCDBIndex[],4,FALSE),"")</f>
        <v>2</v>
      </c>
      <c r="H50" s="36" t="str">
        <f>IFERROR(VLOOKUP(10*tblRiskRegister15[[#This Row],[Safeguard Maturity Score]]+tblRiskRegister15[[#This Row],[VCDB Index]],tblHITIndexWeightTable[],4,FALSE),"")</f>
        <v/>
      </c>
      <c r="I50" s="36">
        <f>VLOOKUP(tblRiskRegister15[[#This Row],[Asset Class]],tblImpactIndex17[],2,FALSE)</f>
        <v>0</v>
      </c>
      <c r="J50" s="36">
        <f>VLOOKUP(tblRiskRegister15[[#This Row],[Asset Class]],tblImpactIndex17[],3,FALSE)</f>
        <v>0</v>
      </c>
      <c r="K50" s="36">
        <f>VLOOKUP(tblRiskRegister15[[#This Row],[Asset Class]],tblImpactIndex17[],4,FALSE)</f>
        <v>0</v>
      </c>
      <c r="L50" s="36" t="str">
        <f>IFERROR(MAX(tblRiskRegister15[[#This Row],[Impact to Mission]:[Impact to Obligations]])*tblRiskRegister15[[#This Row],[Expectancy Score]],"")</f>
        <v/>
      </c>
      <c r="M50" s="36" t="str">
        <f>tblRiskRegister15[[#This Row],[Risk Score]]</f>
        <v/>
      </c>
      <c r="N50" s="31"/>
      <c r="O50" s="19">
        <v>4.7</v>
      </c>
      <c r="P50" s="20" t="s">
        <v>71</v>
      </c>
      <c r="Q50" s="20" t="s">
        <v>136</v>
      </c>
      <c r="R50" s="21"/>
      <c r="S50" s="22"/>
      <c r="T50" s="35" t="str">
        <f>IFERROR(VLOOKUP(10*tblRiskRegister15[[#This Row],[Risk Treatment Safeguard Maturity Score]]+tblRiskRegister15[[#This Row],[VCDB Index]],tblHITIndexWeightTable[],4,FALSE),"")</f>
        <v/>
      </c>
      <c r="U50" s="35">
        <f>VLOOKUP(tblRiskRegister15[[#This Row],[Asset Class]],tblImpactIndex17[],2,FALSE)</f>
        <v>0</v>
      </c>
      <c r="V50" s="35">
        <f>VLOOKUP(tblRiskRegister15[[#This Row],[Asset Class]],tblImpactIndex17[],3,FALSE)</f>
        <v>0</v>
      </c>
      <c r="W50" s="35">
        <f>VLOOKUP(tblRiskRegister15[[#This Row],[Asset Class]],tblImpactIndex17[],4,FALSE)</f>
        <v>0</v>
      </c>
      <c r="X50" s="35" t="str">
        <f>IFERROR(MAX(tblRiskRegister15[[#This Row],[Risk Treatment Safeguard Impact to Mission]:[Risk Treatment Safeguard Impact to Obligations]])*tblRiskRegister15[[#This Row],[Risk Treatment
Safeguard Expectancy Score]],"")</f>
        <v/>
      </c>
      <c r="Y50" s="35" t="str">
        <f>IF(tblRiskRegister15[[#This Row],[Risk Score]]&gt;5,IF(tblRiskRegister15[[#This Row],[Risk Treatment Safeguard Risk Score]]&lt;6, IF(tblRiskRegister15[[#This Row],[Risk Treatment Safeguard Risk Score]]&lt;=tblRiskRegister15[[#This Row],[Risk Score]],"Yes","No"),"No"),"Yes")</f>
        <v>No</v>
      </c>
      <c r="Z50" s="23"/>
      <c r="AA50" s="23"/>
      <c r="AB50" s="24"/>
    </row>
    <row r="51" spans="2:28" ht="70" x14ac:dyDescent="0.15">
      <c r="B51" s="19">
        <v>5.0999999999999996</v>
      </c>
      <c r="C51" s="20" t="s">
        <v>72</v>
      </c>
      <c r="D51" s="16" t="s">
        <v>293</v>
      </c>
      <c r="E51" s="150" t="s">
        <v>110</v>
      </c>
      <c r="F51" s="22"/>
      <c r="G51" s="36">
        <f>IFERROR(VLOOKUP(tblRiskRegister15[[#This Row],[Asset Class]],tblVCDBIndex[],4,FALSE),"")</f>
        <v>2</v>
      </c>
      <c r="H51" s="36" t="str">
        <f>IFERROR(VLOOKUP(10*tblRiskRegister15[[#This Row],[Safeguard Maturity Score]]+tblRiskRegister15[[#This Row],[VCDB Index]],tblHITIndexWeightTable[],4,FALSE),"")</f>
        <v/>
      </c>
      <c r="I51" s="36">
        <f>VLOOKUP(tblRiskRegister15[[#This Row],[Asset Class]],tblImpactIndex17[],2,FALSE)</f>
        <v>0</v>
      </c>
      <c r="J51" s="36">
        <f>VLOOKUP(tblRiskRegister15[[#This Row],[Asset Class]],tblImpactIndex17[],3,FALSE)</f>
        <v>0</v>
      </c>
      <c r="K51" s="36">
        <f>VLOOKUP(tblRiskRegister15[[#This Row],[Asset Class]],tblImpactIndex17[],4,FALSE)</f>
        <v>0</v>
      </c>
      <c r="L51" s="36" t="str">
        <f>IFERROR(MAX(tblRiskRegister15[[#This Row],[Impact to Mission]:[Impact to Obligations]])*tblRiskRegister15[[#This Row],[Expectancy Score]],"")</f>
        <v/>
      </c>
      <c r="M51" s="36" t="str">
        <f>tblRiskRegister15[[#This Row],[Risk Score]]</f>
        <v/>
      </c>
      <c r="N51" s="31"/>
      <c r="O51" s="19">
        <v>5.0999999999999996</v>
      </c>
      <c r="P51" s="20" t="s">
        <v>72</v>
      </c>
      <c r="Q51" s="20" t="s">
        <v>320</v>
      </c>
      <c r="R51" s="21"/>
      <c r="S51" s="22"/>
      <c r="T51" s="35" t="str">
        <f>IFERROR(VLOOKUP(10*tblRiskRegister15[[#This Row],[Risk Treatment Safeguard Maturity Score]]+tblRiskRegister15[[#This Row],[VCDB Index]],tblHITIndexWeightTable[],4,FALSE),"")</f>
        <v/>
      </c>
      <c r="U51" s="35">
        <f>VLOOKUP(tblRiskRegister15[[#This Row],[Asset Class]],tblImpactIndex17[],2,FALSE)</f>
        <v>0</v>
      </c>
      <c r="V51" s="35">
        <f>VLOOKUP(tblRiskRegister15[[#This Row],[Asset Class]],tblImpactIndex17[],3,FALSE)</f>
        <v>0</v>
      </c>
      <c r="W51" s="35">
        <f>VLOOKUP(tblRiskRegister15[[#This Row],[Asset Class]],tblImpactIndex17[],4,FALSE)</f>
        <v>0</v>
      </c>
      <c r="X51" s="35" t="str">
        <f>IFERROR(MAX(tblRiskRegister15[[#This Row],[Risk Treatment Safeguard Impact to Mission]:[Risk Treatment Safeguard Impact to Obligations]])*tblRiskRegister15[[#This Row],[Risk Treatment
Safeguard Expectancy Score]],"")</f>
        <v/>
      </c>
      <c r="Y51" s="35" t="str">
        <f>IF(tblRiskRegister15[[#This Row],[Risk Score]]&gt;5,IF(tblRiskRegister15[[#This Row],[Risk Treatment Safeguard Risk Score]]&lt;6, IF(tblRiskRegister15[[#This Row],[Risk Treatment Safeguard Risk Score]]&lt;=tblRiskRegister15[[#This Row],[Risk Score]],"Yes","No"),"No"),"Yes")</f>
        <v>No</v>
      </c>
      <c r="Z51" s="23"/>
      <c r="AA51" s="23"/>
      <c r="AB51" s="24"/>
    </row>
    <row r="52" spans="2:28" ht="42" x14ac:dyDescent="0.15">
      <c r="B52" s="19">
        <v>5.2</v>
      </c>
      <c r="C52" s="20" t="s">
        <v>16</v>
      </c>
      <c r="D52" s="16" t="s">
        <v>295</v>
      </c>
      <c r="E52" s="150" t="s">
        <v>110</v>
      </c>
      <c r="F52" s="22"/>
      <c r="G52" s="36">
        <f>IFERROR(VLOOKUP(tblRiskRegister15[[#This Row],[Asset Class]],tblVCDBIndex[],4,FALSE),"")</f>
        <v>2</v>
      </c>
      <c r="H52" s="36" t="str">
        <f>IFERROR(VLOOKUP(10*tblRiskRegister15[[#This Row],[Safeguard Maturity Score]]+tblRiskRegister15[[#This Row],[VCDB Index]],tblHITIndexWeightTable[],4,FALSE),"")</f>
        <v/>
      </c>
      <c r="I52" s="36">
        <f>VLOOKUP(tblRiskRegister15[[#This Row],[Asset Class]],tblImpactIndex17[],2,FALSE)</f>
        <v>0</v>
      </c>
      <c r="J52" s="36">
        <f>VLOOKUP(tblRiskRegister15[[#This Row],[Asset Class]],tblImpactIndex17[],3,FALSE)</f>
        <v>0</v>
      </c>
      <c r="K52" s="36">
        <f>VLOOKUP(tblRiskRegister15[[#This Row],[Asset Class]],tblImpactIndex17[],4,FALSE)</f>
        <v>0</v>
      </c>
      <c r="L52" s="36" t="str">
        <f>IFERROR(MAX(tblRiskRegister15[[#This Row],[Impact to Mission]:[Impact to Obligations]])*tblRiskRegister15[[#This Row],[Expectancy Score]],"")</f>
        <v/>
      </c>
      <c r="M52" s="36" t="str">
        <f>tblRiskRegister15[[#This Row],[Risk Score]]</f>
        <v/>
      </c>
      <c r="N52" s="31"/>
      <c r="O52" s="19">
        <v>5.2</v>
      </c>
      <c r="P52" s="20" t="s">
        <v>16</v>
      </c>
      <c r="Q52" s="20" t="s">
        <v>321</v>
      </c>
      <c r="R52" s="21"/>
      <c r="S52" s="22"/>
      <c r="T52" s="35" t="str">
        <f>IFERROR(VLOOKUP(10*tblRiskRegister15[[#This Row],[Risk Treatment Safeguard Maturity Score]]+tblRiskRegister15[[#This Row],[VCDB Index]],tblHITIndexWeightTable[],4,FALSE),"")</f>
        <v/>
      </c>
      <c r="U52" s="35">
        <f>VLOOKUP(tblRiskRegister15[[#This Row],[Asset Class]],tblImpactIndex17[],2,FALSE)</f>
        <v>0</v>
      </c>
      <c r="V52" s="35">
        <f>VLOOKUP(tblRiskRegister15[[#This Row],[Asset Class]],tblImpactIndex17[],3,FALSE)</f>
        <v>0</v>
      </c>
      <c r="W52" s="35">
        <f>VLOOKUP(tblRiskRegister15[[#This Row],[Asset Class]],tblImpactIndex17[],4,FALSE)</f>
        <v>0</v>
      </c>
      <c r="X52" s="35" t="str">
        <f>IFERROR(MAX(tblRiskRegister15[[#This Row],[Risk Treatment Safeguard Impact to Mission]:[Risk Treatment Safeguard Impact to Obligations]])*tblRiskRegister15[[#This Row],[Risk Treatment
Safeguard Expectancy Score]],"")</f>
        <v/>
      </c>
      <c r="Y52" s="35" t="str">
        <f>IF(tblRiskRegister15[[#This Row],[Risk Score]]&gt;5,IF(tblRiskRegister15[[#This Row],[Risk Treatment Safeguard Risk Score]]&lt;6, IF(tblRiskRegister15[[#This Row],[Risk Treatment Safeguard Risk Score]]&lt;=tblRiskRegister15[[#This Row],[Risk Score]],"Yes","No"),"No"),"Yes")</f>
        <v>No</v>
      </c>
      <c r="Z52" s="23"/>
      <c r="AA52" s="23"/>
      <c r="AB52" s="24"/>
    </row>
    <row r="53" spans="2:28" ht="28" x14ac:dyDescent="0.15">
      <c r="B53" s="19">
        <v>5.3</v>
      </c>
      <c r="C53" s="20" t="s">
        <v>18</v>
      </c>
      <c r="D53" s="16" t="s">
        <v>295</v>
      </c>
      <c r="E53" s="150" t="s">
        <v>110</v>
      </c>
      <c r="F53" s="22"/>
      <c r="G53" s="36">
        <f>IFERROR(VLOOKUP(tblRiskRegister15[[#This Row],[Asset Class]],tblVCDBIndex[],4,FALSE),"")</f>
        <v>2</v>
      </c>
      <c r="H53" s="36" t="str">
        <f>IFERROR(VLOOKUP(10*tblRiskRegister15[[#This Row],[Safeguard Maturity Score]]+tblRiskRegister15[[#This Row],[VCDB Index]],tblHITIndexWeightTable[],4,FALSE),"")</f>
        <v/>
      </c>
      <c r="I53" s="36">
        <f>VLOOKUP(tblRiskRegister15[[#This Row],[Asset Class]],tblImpactIndex17[],2,FALSE)</f>
        <v>0</v>
      </c>
      <c r="J53" s="36">
        <f>VLOOKUP(tblRiskRegister15[[#This Row],[Asset Class]],tblImpactIndex17[],3,FALSE)</f>
        <v>0</v>
      </c>
      <c r="K53" s="36">
        <f>VLOOKUP(tblRiskRegister15[[#This Row],[Asset Class]],tblImpactIndex17[],4,FALSE)</f>
        <v>0</v>
      </c>
      <c r="L53" s="36" t="str">
        <f>IFERROR(MAX(tblRiskRegister15[[#This Row],[Impact to Mission]:[Impact to Obligations]])*tblRiskRegister15[[#This Row],[Expectancy Score]],"")</f>
        <v/>
      </c>
      <c r="M53" s="36" t="str">
        <f>tblRiskRegister15[[#This Row],[Risk Score]]</f>
        <v/>
      </c>
      <c r="N53" s="31"/>
      <c r="O53" s="19">
        <v>5.3</v>
      </c>
      <c r="P53" s="20" t="s">
        <v>18</v>
      </c>
      <c r="Q53" s="20" t="s">
        <v>137</v>
      </c>
      <c r="R53" s="21"/>
      <c r="S53" s="22"/>
      <c r="T53" s="35" t="str">
        <f>IFERROR(VLOOKUP(10*tblRiskRegister15[[#This Row],[Risk Treatment Safeguard Maturity Score]]+tblRiskRegister15[[#This Row],[VCDB Index]],tblHITIndexWeightTable[],4,FALSE),"")</f>
        <v/>
      </c>
      <c r="U53" s="35">
        <f>VLOOKUP(tblRiskRegister15[[#This Row],[Asset Class]],tblImpactIndex17[],2,FALSE)</f>
        <v>0</v>
      </c>
      <c r="V53" s="35">
        <f>VLOOKUP(tblRiskRegister15[[#This Row],[Asset Class]],tblImpactIndex17[],3,FALSE)</f>
        <v>0</v>
      </c>
      <c r="W53" s="35">
        <f>VLOOKUP(tblRiskRegister15[[#This Row],[Asset Class]],tblImpactIndex17[],4,FALSE)</f>
        <v>0</v>
      </c>
      <c r="X53" s="35" t="str">
        <f>IFERROR(MAX(tblRiskRegister15[[#This Row],[Risk Treatment Safeguard Impact to Mission]:[Risk Treatment Safeguard Impact to Obligations]])*tblRiskRegister15[[#This Row],[Risk Treatment
Safeguard Expectancy Score]],"")</f>
        <v/>
      </c>
      <c r="Y53" s="35" t="str">
        <f>IF(tblRiskRegister15[[#This Row],[Risk Score]]&gt;5,IF(tblRiskRegister15[[#This Row],[Risk Treatment Safeguard Risk Score]]&lt;6, IF(tblRiskRegister15[[#This Row],[Risk Treatment Safeguard Risk Score]]&lt;=tblRiskRegister15[[#This Row],[Risk Score]],"Yes","No"),"No"),"Yes")</f>
        <v>No</v>
      </c>
      <c r="Z53" s="23"/>
      <c r="AA53" s="23"/>
      <c r="AB53" s="24"/>
    </row>
    <row r="54" spans="2:28" ht="42" x14ac:dyDescent="0.15">
      <c r="B54" s="19">
        <v>5.4</v>
      </c>
      <c r="C54" s="20" t="s">
        <v>73</v>
      </c>
      <c r="D54" s="16" t="s">
        <v>295</v>
      </c>
      <c r="E54" s="150" t="s">
        <v>110</v>
      </c>
      <c r="F54" s="22"/>
      <c r="G54" s="36">
        <f>IFERROR(VLOOKUP(tblRiskRegister15[[#This Row],[Asset Class]],tblVCDBIndex[],4,FALSE),"")</f>
        <v>2</v>
      </c>
      <c r="H54" s="36" t="str">
        <f>IFERROR(VLOOKUP(10*tblRiskRegister15[[#This Row],[Safeguard Maturity Score]]+tblRiskRegister15[[#This Row],[VCDB Index]],tblHITIndexWeightTable[],4,FALSE),"")</f>
        <v/>
      </c>
      <c r="I54" s="36">
        <f>VLOOKUP(tblRiskRegister15[[#This Row],[Asset Class]],tblImpactIndex17[],2,FALSE)</f>
        <v>0</v>
      </c>
      <c r="J54" s="36">
        <f>VLOOKUP(tblRiskRegister15[[#This Row],[Asset Class]],tblImpactIndex17[],3,FALSE)</f>
        <v>0</v>
      </c>
      <c r="K54" s="36">
        <f>VLOOKUP(tblRiskRegister15[[#This Row],[Asset Class]],tblImpactIndex17[],4,FALSE)</f>
        <v>0</v>
      </c>
      <c r="L54" s="36" t="str">
        <f>IFERROR(MAX(tblRiskRegister15[[#This Row],[Impact to Mission]:[Impact to Obligations]])*tblRiskRegister15[[#This Row],[Expectancy Score]],"")</f>
        <v/>
      </c>
      <c r="M54" s="36" t="str">
        <f>tblRiskRegister15[[#This Row],[Risk Score]]</f>
        <v/>
      </c>
      <c r="N54" s="31"/>
      <c r="O54" s="19">
        <v>5.4</v>
      </c>
      <c r="P54" s="20" t="s">
        <v>73</v>
      </c>
      <c r="Q54" s="20" t="s">
        <v>138</v>
      </c>
      <c r="R54" s="21"/>
      <c r="S54" s="22"/>
      <c r="T54" s="35" t="str">
        <f>IFERROR(VLOOKUP(10*tblRiskRegister15[[#This Row],[Risk Treatment Safeguard Maturity Score]]+tblRiskRegister15[[#This Row],[VCDB Index]],tblHITIndexWeightTable[],4,FALSE),"")</f>
        <v/>
      </c>
      <c r="U54" s="35">
        <f>VLOOKUP(tblRiskRegister15[[#This Row],[Asset Class]],tblImpactIndex17[],2,FALSE)</f>
        <v>0</v>
      </c>
      <c r="V54" s="35">
        <f>VLOOKUP(tblRiskRegister15[[#This Row],[Asset Class]],tblImpactIndex17[],3,FALSE)</f>
        <v>0</v>
      </c>
      <c r="W54" s="35">
        <f>VLOOKUP(tblRiskRegister15[[#This Row],[Asset Class]],tblImpactIndex17[],4,FALSE)</f>
        <v>0</v>
      </c>
      <c r="X54" s="35" t="str">
        <f>IFERROR(MAX(tblRiskRegister15[[#This Row],[Risk Treatment Safeguard Impact to Mission]:[Risk Treatment Safeguard Impact to Obligations]])*tblRiskRegister15[[#This Row],[Risk Treatment
Safeguard Expectancy Score]],"")</f>
        <v/>
      </c>
      <c r="Y54" s="35" t="str">
        <f>IF(tblRiskRegister15[[#This Row],[Risk Score]]&gt;5,IF(tblRiskRegister15[[#This Row],[Risk Treatment Safeguard Risk Score]]&lt;6, IF(tblRiskRegister15[[#This Row],[Risk Treatment Safeguard Risk Score]]&lt;=tblRiskRegister15[[#This Row],[Risk Score]],"Yes","No"),"No"),"Yes")</f>
        <v>No</v>
      </c>
      <c r="Z54" s="23"/>
      <c r="AA54" s="23"/>
      <c r="AB54" s="24"/>
    </row>
    <row r="55" spans="2:28" ht="28" x14ac:dyDescent="0.15">
      <c r="B55" s="19">
        <v>6.1</v>
      </c>
      <c r="C55" s="20" t="s">
        <v>74</v>
      </c>
      <c r="D55" s="148" t="s">
        <v>301</v>
      </c>
      <c r="E55" s="150" t="s">
        <v>302</v>
      </c>
      <c r="F55" s="22"/>
      <c r="G55" s="36">
        <f>IFERROR(VLOOKUP(tblRiskRegister15[[#This Row],[Asset Class]],tblVCDBIndex[],4,FALSE),"")</f>
        <v>2</v>
      </c>
      <c r="H55" s="36" t="str">
        <f>IFERROR(VLOOKUP(10*tblRiskRegister15[[#This Row],[Safeguard Maturity Score]]+tblRiskRegister15[[#This Row],[VCDB Index]],tblHITIndexWeightTable[],4,FALSE),"")</f>
        <v/>
      </c>
      <c r="I55" s="36">
        <f>VLOOKUP(tblRiskRegister15[[#This Row],[Asset Class]],tblImpactIndex17[],2,FALSE)</f>
        <v>0</v>
      </c>
      <c r="J55" s="36">
        <f>VLOOKUP(tblRiskRegister15[[#This Row],[Asset Class]],tblImpactIndex17[],3,FALSE)</f>
        <v>0</v>
      </c>
      <c r="K55" s="36">
        <f>VLOOKUP(tblRiskRegister15[[#This Row],[Asset Class]],tblImpactIndex17[],4,FALSE)</f>
        <v>0</v>
      </c>
      <c r="L55" s="36" t="str">
        <f>IFERROR(MAX(tblRiskRegister15[[#This Row],[Impact to Mission]:[Impact to Obligations]])*tblRiskRegister15[[#This Row],[Expectancy Score]],"")</f>
        <v/>
      </c>
      <c r="M55" s="36" t="str">
        <f>tblRiskRegister15[[#This Row],[Risk Score]]</f>
        <v/>
      </c>
      <c r="N55" s="31"/>
      <c r="O55" s="19">
        <v>6.1</v>
      </c>
      <c r="P55" s="20" t="s">
        <v>74</v>
      </c>
      <c r="Q55" s="20" t="s">
        <v>322</v>
      </c>
      <c r="R55" s="21"/>
      <c r="S55" s="22"/>
      <c r="T55" s="35" t="str">
        <f>IFERROR(VLOOKUP(10*tblRiskRegister15[[#This Row],[Risk Treatment Safeguard Maturity Score]]+tblRiskRegister15[[#This Row],[VCDB Index]],tblHITIndexWeightTable[],4,FALSE),"")</f>
        <v/>
      </c>
      <c r="U55" s="35">
        <f>VLOOKUP(tblRiskRegister15[[#This Row],[Asset Class]],tblImpactIndex17[],2,FALSE)</f>
        <v>0</v>
      </c>
      <c r="V55" s="35">
        <f>VLOOKUP(tblRiskRegister15[[#This Row],[Asset Class]],tblImpactIndex17[],3,FALSE)</f>
        <v>0</v>
      </c>
      <c r="W55" s="35">
        <f>VLOOKUP(tblRiskRegister15[[#This Row],[Asset Class]],tblImpactIndex17[],4,FALSE)</f>
        <v>0</v>
      </c>
      <c r="X55" s="35" t="str">
        <f>IFERROR(MAX(tblRiskRegister15[[#This Row],[Risk Treatment Safeguard Impact to Mission]:[Risk Treatment Safeguard Impact to Obligations]])*tblRiskRegister15[[#This Row],[Risk Treatment
Safeguard Expectancy Score]],"")</f>
        <v/>
      </c>
      <c r="Y55" s="35" t="str">
        <f>IF(tblRiskRegister15[[#This Row],[Risk Score]]&gt;5,IF(tblRiskRegister15[[#This Row],[Risk Treatment Safeguard Risk Score]]&lt;6, IF(tblRiskRegister15[[#This Row],[Risk Treatment Safeguard Risk Score]]&lt;=tblRiskRegister15[[#This Row],[Risk Score]],"Yes","No"),"No"),"Yes")</f>
        <v>No</v>
      </c>
      <c r="Z55" s="23"/>
      <c r="AA55" s="23"/>
      <c r="AB55" s="24"/>
    </row>
    <row r="56" spans="2:28" ht="56" x14ac:dyDescent="0.15">
      <c r="B56" s="19">
        <v>6.2</v>
      </c>
      <c r="C56" s="20" t="s">
        <v>75</v>
      </c>
      <c r="D56" s="148" t="s">
        <v>301</v>
      </c>
      <c r="E56" s="150" t="s">
        <v>302</v>
      </c>
      <c r="F56" s="22"/>
      <c r="G56" s="36">
        <f>IFERROR(VLOOKUP(tblRiskRegister15[[#This Row],[Asset Class]],tblVCDBIndex[],4,FALSE),"")</f>
        <v>2</v>
      </c>
      <c r="H56" s="36" t="str">
        <f>IFERROR(VLOOKUP(10*tblRiskRegister15[[#This Row],[Safeguard Maturity Score]]+tblRiskRegister15[[#This Row],[VCDB Index]],tblHITIndexWeightTable[],4,FALSE),"")</f>
        <v/>
      </c>
      <c r="I56" s="36">
        <f>VLOOKUP(tblRiskRegister15[[#This Row],[Asset Class]],tblImpactIndex17[],2,FALSE)</f>
        <v>0</v>
      </c>
      <c r="J56" s="36">
        <f>VLOOKUP(tblRiskRegister15[[#This Row],[Asset Class]],tblImpactIndex17[],3,FALSE)</f>
        <v>0</v>
      </c>
      <c r="K56" s="36">
        <f>VLOOKUP(tblRiskRegister15[[#This Row],[Asset Class]],tblImpactIndex17[],4,FALSE)</f>
        <v>0</v>
      </c>
      <c r="L56" s="36" t="str">
        <f>IFERROR(MAX(tblRiskRegister15[[#This Row],[Impact to Mission]:[Impact to Obligations]])*tblRiskRegister15[[#This Row],[Expectancy Score]],"")</f>
        <v/>
      </c>
      <c r="M56" s="36" t="str">
        <f>tblRiskRegister15[[#This Row],[Risk Score]]</f>
        <v/>
      </c>
      <c r="N56" s="31"/>
      <c r="O56" s="19">
        <v>6.2</v>
      </c>
      <c r="P56" s="20" t="s">
        <v>75</v>
      </c>
      <c r="Q56" s="20" t="s">
        <v>139</v>
      </c>
      <c r="R56" s="21"/>
      <c r="S56" s="22"/>
      <c r="T56" s="35" t="str">
        <f>IFERROR(VLOOKUP(10*tblRiskRegister15[[#This Row],[Risk Treatment Safeguard Maturity Score]]+tblRiskRegister15[[#This Row],[VCDB Index]],tblHITIndexWeightTable[],4,FALSE),"")</f>
        <v/>
      </c>
      <c r="U56" s="35">
        <f>VLOOKUP(tblRiskRegister15[[#This Row],[Asset Class]],tblImpactIndex17[],2,FALSE)</f>
        <v>0</v>
      </c>
      <c r="V56" s="35">
        <f>VLOOKUP(tblRiskRegister15[[#This Row],[Asset Class]],tblImpactIndex17[],3,FALSE)</f>
        <v>0</v>
      </c>
      <c r="W56" s="35">
        <f>VLOOKUP(tblRiskRegister15[[#This Row],[Asset Class]],tblImpactIndex17[],4,FALSE)</f>
        <v>0</v>
      </c>
      <c r="X56" s="35" t="str">
        <f>IFERROR(MAX(tblRiskRegister15[[#This Row],[Risk Treatment Safeguard Impact to Mission]:[Risk Treatment Safeguard Impact to Obligations]])*tblRiskRegister15[[#This Row],[Risk Treatment
Safeguard Expectancy Score]],"")</f>
        <v/>
      </c>
      <c r="Y56" s="35" t="str">
        <f>IF(tblRiskRegister15[[#This Row],[Risk Score]]&gt;5,IF(tblRiskRegister15[[#This Row],[Risk Treatment Safeguard Risk Score]]&lt;6, IF(tblRiskRegister15[[#This Row],[Risk Treatment Safeguard Risk Score]]&lt;=tblRiskRegister15[[#This Row],[Risk Score]],"Yes","No"),"No"),"Yes")</f>
        <v>No</v>
      </c>
      <c r="Z56" s="23"/>
      <c r="AA56" s="23"/>
      <c r="AB56" s="24"/>
    </row>
    <row r="57" spans="2:28" ht="42" x14ac:dyDescent="0.15">
      <c r="B57" s="19">
        <v>6.3</v>
      </c>
      <c r="C57" s="20" t="s">
        <v>76</v>
      </c>
      <c r="D57" s="16" t="s">
        <v>295</v>
      </c>
      <c r="E57" s="150" t="s">
        <v>110</v>
      </c>
      <c r="F57" s="22"/>
      <c r="G57" s="36">
        <f>IFERROR(VLOOKUP(tblRiskRegister15[[#This Row],[Asset Class]],tblVCDBIndex[],4,FALSE),"")</f>
        <v>2</v>
      </c>
      <c r="H57" s="36" t="str">
        <f>IFERROR(VLOOKUP(10*tblRiskRegister15[[#This Row],[Safeguard Maturity Score]]+tblRiskRegister15[[#This Row],[VCDB Index]],tblHITIndexWeightTable[],4,FALSE),"")</f>
        <v/>
      </c>
      <c r="I57" s="36">
        <f>VLOOKUP(tblRiskRegister15[[#This Row],[Asset Class]],tblImpactIndex17[],2,FALSE)</f>
        <v>0</v>
      </c>
      <c r="J57" s="36">
        <f>VLOOKUP(tblRiskRegister15[[#This Row],[Asset Class]],tblImpactIndex17[],3,FALSE)</f>
        <v>0</v>
      </c>
      <c r="K57" s="36">
        <f>VLOOKUP(tblRiskRegister15[[#This Row],[Asset Class]],tblImpactIndex17[],4,FALSE)</f>
        <v>0</v>
      </c>
      <c r="L57" s="36" t="str">
        <f>IFERROR(MAX(tblRiskRegister15[[#This Row],[Impact to Mission]:[Impact to Obligations]])*tblRiskRegister15[[#This Row],[Expectancy Score]],"")</f>
        <v/>
      </c>
      <c r="M57" s="36" t="str">
        <f>tblRiskRegister15[[#This Row],[Risk Score]]</f>
        <v/>
      </c>
      <c r="N57" s="31"/>
      <c r="O57" s="19">
        <v>6.3</v>
      </c>
      <c r="P57" s="20" t="s">
        <v>76</v>
      </c>
      <c r="Q57" s="20" t="s">
        <v>140</v>
      </c>
      <c r="R57" s="21"/>
      <c r="S57" s="22"/>
      <c r="T57" s="35" t="str">
        <f>IFERROR(VLOOKUP(10*tblRiskRegister15[[#This Row],[Risk Treatment Safeguard Maturity Score]]+tblRiskRegister15[[#This Row],[VCDB Index]],tblHITIndexWeightTable[],4,FALSE),"")</f>
        <v/>
      </c>
      <c r="U57" s="35">
        <f>VLOOKUP(tblRiskRegister15[[#This Row],[Asset Class]],tblImpactIndex17[],2,FALSE)</f>
        <v>0</v>
      </c>
      <c r="V57" s="35">
        <f>VLOOKUP(tblRiskRegister15[[#This Row],[Asset Class]],tblImpactIndex17[],3,FALSE)</f>
        <v>0</v>
      </c>
      <c r="W57" s="35">
        <f>VLOOKUP(tblRiskRegister15[[#This Row],[Asset Class]],tblImpactIndex17[],4,FALSE)</f>
        <v>0</v>
      </c>
      <c r="X57" s="35" t="str">
        <f>IFERROR(MAX(tblRiskRegister15[[#This Row],[Risk Treatment Safeguard Impact to Mission]:[Risk Treatment Safeguard Impact to Obligations]])*tblRiskRegister15[[#This Row],[Risk Treatment
Safeguard Expectancy Score]],"")</f>
        <v/>
      </c>
      <c r="Y57" s="35" t="str">
        <f>IF(tblRiskRegister15[[#This Row],[Risk Score]]&gt;5,IF(tblRiskRegister15[[#This Row],[Risk Treatment Safeguard Risk Score]]&lt;6, IF(tblRiskRegister15[[#This Row],[Risk Treatment Safeguard Risk Score]]&lt;=tblRiskRegister15[[#This Row],[Risk Score]],"Yes","No"),"No"),"Yes")</f>
        <v>No</v>
      </c>
      <c r="Z57" s="23"/>
      <c r="AA57" s="23"/>
      <c r="AB57" s="24"/>
    </row>
    <row r="58" spans="2:28" ht="28" x14ac:dyDescent="0.15">
      <c r="B58" s="19">
        <v>6.4</v>
      </c>
      <c r="C58" s="20" t="s">
        <v>77</v>
      </c>
      <c r="D58" s="16" t="s">
        <v>295</v>
      </c>
      <c r="E58" s="150" t="s">
        <v>110</v>
      </c>
      <c r="F58" s="22"/>
      <c r="G58" s="36">
        <f>IFERROR(VLOOKUP(tblRiskRegister15[[#This Row],[Asset Class]],tblVCDBIndex[],4,FALSE),"")</f>
        <v>2</v>
      </c>
      <c r="H58" s="36" t="str">
        <f>IFERROR(VLOOKUP(10*tblRiskRegister15[[#This Row],[Safeguard Maturity Score]]+tblRiskRegister15[[#This Row],[VCDB Index]],tblHITIndexWeightTable[],4,FALSE),"")</f>
        <v/>
      </c>
      <c r="I58" s="36">
        <f>VLOOKUP(tblRiskRegister15[[#This Row],[Asset Class]],tblImpactIndex17[],2,FALSE)</f>
        <v>0</v>
      </c>
      <c r="J58" s="36">
        <f>VLOOKUP(tblRiskRegister15[[#This Row],[Asset Class]],tblImpactIndex17[],3,FALSE)</f>
        <v>0</v>
      </c>
      <c r="K58" s="36">
        <f>VLOOKUP(tblRiskRegister15[[#This Row],[Asset Class]],tblImpactIndex17[],4,FALSE)</f>
        <v>0</v>
      </c>
      <c r="L58" s="36" t="str">
        <f>IFERROR(MAX(tblRiskRegister15[[#This Row],[Impact to Mission]:[Impact to Obligations]])*tblRiskRegister15[[#This Row],[Expectancy Score]],"")</f>
        <v/>
      </c>
      <c r="M58" s="36" t="str">
        <f>tblRiskRegister15[[#This Row],[Risk Score]]</f>
        <v/>
      </c>
      <c r="N58" s="31"/>
      <c r="O58" s="19">
        <v>6.4</v>
      </c>
      <c r="P58" s="20" t="s">
        <v>77</v>
      </c>
      <c r="Q58" s="20" t="s">
        <v>141</v>
      </c>
      <c r="R58" s="21"/>
      <c r="S58" s="22"/>
      <c r="T58" s="35" t="str">
        <f>IFERROR(VLOOKUP(10*tblRiskRegister15[[#This Row],[Risk Treatment Safeguard Maturity Score]]+tblRiskRegister15[[#This Row],[VCDB Index]],tblHITIndexWeightTable[],4,FALSE),"")</f>
        <v/>
      </c>
      <c r="U58" s="35">
        <f>VLOOKUP(tblRiskRegister15[[#This Row],[Asset Class]],tblImpactIndex17[],2,FALSE)</f>
        <v>0</v>
      </c>
      <c r="V58" s="35">
        <f>VLOOKUP(tblRiskRegister15[[#This Row],[Asset Class]],tblImpactIndex17[],3,FALSE)</f>
        <v>0</v>
      </c>
      <c r="W58" s="35">
        <f>VLOOKUP(tblRiskRegister15[[#This Row],[Asset Class]],tblImpactIndex17[],4,FALSE)</f>
        <v>0</v>
      </c>
      <c r="X58" s="35" t="str">
        <f>IFERROR(MAX(tblRiskRegister15[[#This Row],[Risk Treatment Safeguard Impact to Mission]:[Risk Treatment Safeguard Impact to Obligations]])*tblRiskRegister15[[#This Row],[Risk Treatment
Safeguard Expectancy Score]],"")</f>
        <v/>
      </c>
      <c r="Y58" s="35" t="str">
        <f>IF(tblRiskRegister15[[#This Row],[Risk Score]]&gt;5,IF(tblRiskRegister15[[#This Row],[Risk Treatment Safeguard Risk Score]]&lt;6, IF(tblRiskRegister15[[#This Row],[Risk Treatment Safeguard Risk Score]]&lt;=tblRiskRegister15[[#This Row],[Risk Score]],"Yes","No"),"No"),"Yes")</f>
        <v>No</v>
      </c>
      <c r="Z58" s="23"/>
      <c r="AA58" s="23"/>
      <c r="AB58" s="24"/>
    </row>
    <row r="59" spans="2:28" ht="28" x14ac:dyDescent="0.15">
      <c r="B59" s="19">
        <v>6.5</v>
      </c>
      <c r="C59" s="20" t="s">
        <v>78</v>
      </c>
      <c r="D59" s="16" t="s">
        <v>295</v>
      </c>
      <c r="E59" s="150" t="s">
        <v>110</v>
      </c>
      <c r="F59" s="22"/>
      <c r="G59" s="36">
        <f>IFERROR(VLOOKUP(tblRiskRegister15[[#This Row],[Asset Class]],tblVCDBIndex[],4,FALSE),"")</f>
        <v>2</v>
      </c>
      <c r="H59" s="36" t="str">
        <f>IFERROR(VLOOKUP(10*tblRiskRegister15[[#This Row],[Safeguard Maturity Score]]+tblRiskRegister15[[#This Row],[VCDB Index]],tblHITIndexWeightTable[],4,FALSE),"")</f>
        <v/>
      </c>
      <c r="I59" s="36">
        <f>VLOOKUP(tblRiskRegister15[[#This Row],[Asset Class]],tblImpactIndex17[],2,FALSE)</f>
        <v>0</v>
      </c>
      <c r="J59" s="36">
        <f>VLOOKUP(tblRiskRegister15[[#This Row],[Asset Class]],tblImpactIndex17[],3,FALSE)</f>
        <v>0</v>
      </c>
      <c r="K59" s="36">
        <f>VLOOKUP(tblRiskRegister15[[#This Row],[Asset Class]],tblImpactIndex17[],4,FALSE)</f>
        <v>0</v>
      </c>
      <c r="L59" s="36" t="str">
        <f>IFERROR(MAX(tblRiskRegister15[[#This Row],[Impact to Mission]:[Impact to Obligations]])*tblRiskRegister15[[#This Row],[Expectancy Score]],"")</f>
        <v/>
      </c>
      <c r="M59" s="36" t="str">
        <f>tblRiskRegister15[[#This Row],[Risk Score]]</f>
        <v/>
      </c>
      <c r="N59" s="31"/>
      <c r="O59" s="19">
        <v>6.5</v>
      </c>
      <c r="P59" s="20" t="s">
        <v>78</v>
      </c>
      <c r="Q59" s="20" t="s">
        <v>323</v>
      </c>
      <c r="R59" s="21"/>
      <c r="S59" s="22"/>
      <c r="T59" s="35" t="str">
        <f>IFERROR(VLOOKUP(10*tblRiskRegister15[[#This Row],[Risk Treatment Safeguard Maturity Score]]+tblRiskRegister15[[#This Row],[VCDB Index]],tblHITIndexWeightTable[],4,FALSE),"")</f>
        <v/>
      </c>
      <c r="U59" s="35">
        <f>VLOOKUP(tblRiskRegister15[[#This Row],[Asset Class]],tblImpactIndex17[],2,FALSE)</f>
        <v>0</v>
      </c>
      <c r="V59" s="35">
        <f>VLOOKUP(tblRiskRegister15[[#This Row],[Asset Class]],tblImpactIndex17[],3,FALSE)</f>
        <v>0</v>
      </c>
      <c r="W59" s="35">
        <f>VLOOKUP(tblRiskRegister15[[#This Row],[Asset Class]],tblImpactIndex17[],4,FALSE)</f>
        <v>0</v>
      </c>
      <c r="X59" s="35" t="str">
        <f>IFERROR(MAX(tblRiskRegister15[[#This Row],[Risk Treatment Safeguard Impact to Mission]:[Risk Treatment Safeguard Impact to Obligations]])*tblRiskRegister15[[#This Row],[Risk Treatment
Safeguard Expectancy Score]],"")</f>
        <v/>
      </c>
      <c r="Y59" s="35" t="str">
        <f>IF(tblRiskRegister15[[#This Row],[Risk Score]]&gt;5,IF(tblRiskRegister15[[#This Row],[Risk Treatment Safeguard Risk Score]]&lt;6, IF(tblRiskRegister15[[#This Row],[Risk Treatment Safeguard Risk Score]]&lt;=tblRiskRegister15[[#This Row],[Risk Score]],"Yes","No"),"No"),"Yes")</f>
        <v>No</v>
      </c>
      <c r="Z59" s="23"/>
      <c r="AA59" s="23"/>
      <c r="AB59" s="24"/>
    </row>
    <row r="60" spans="2:28" ht="42" x14ac:dyDescent="0.15">
      <c r="B60" s="19">
        <v>7.1</v>
      </c>
      <c r="C60" s="20" t="s">
        <v>79</v>
      </c>
      <c r="D60" s="148" t="s">
        <v>301</v>
      </c>
      <c r="E60" s="150" t="s">
        <v>302</v>
      </c>
      <c r="F60" s="22"/>
      <c r="G60" s="36">
        <f>IFERROR(VLOOKUP(tblRiskRegister15[[#This Row],[Asset Class]],tblVCDBIndex[],4,FALSE),"")</f>
        <v>2</v>
      </c>
      <c r="H60" s="36" t="str">
        <f>IFERROR(VLOOKUP(10*tblRiskRegister15[[#This Row],[Safeguard Maturity Score]]+tblRiskRegister15[[#This Row],[VCDB Index]],tblHITIndexWeightTable[],4,FALSE),"")</f>
        <v/>
      </c>
      <c r="I60" s="36">
        <f>VLOOKUP(tblRiskRegister15[[#This Row],[Asset Class]],tblImpactIndex17[],2,FALSE)</f>
        <v>0</v>
      </c>
      <c r="J60" s="36">
        <f>VLOOKUP(tblRiskRegister15[[#This Row],[Asset Class]],tblImpactIndex17[],3,FALSE)</f>
        <v>0</v>
      </c>
      <c r="K60" s="36">
        <f>VLOOKUP(tblRiskRegister15[[#This Row],[Asset Class]],tblImpactIndex17[],4,FALSE)</f>
        <v>0</v>
      </c>
      <c r="L60" s="36" t="str">
        <f>IFERROR(MAX(tblRiskRegister15[[#This Row],[Impact to Mission]:[Impact to Obligations]])*tblRiskRegister15[[#This Row],[Expectancy Score]],"")</f>
        <v/>
      </c>
      <c r="M60" s="36" t="str">
        <f>tblRiskRegister15[[#This Row],[Risk Score]]</f>
        <v/>
      </c>
      <c r="N60" s="31"/>
      <c r="O60" s="19">
        <v>7.1</v>
      </c>
      <c r="P60" s="20" t="s">
        <v>79</v>
      </c>
      <c r="Q60" s="20" t="s">
        <v>142</v>
      </c>
      <c r="R60" s="21"/>
      <c r="S60" s="22"/>
      <c r="T60" s="35" t="str">
        <f>IFERROR(VLOOKUP(10*tblRiskRegister15[[#This Row],[Risk Treatment Safeguard Maturity Score]]+tblRiskRegister15[[#This Row],[VCDB Index]],tblHITIndexWeightTable[],4,FALSE),"")</f>
        <v/>
      </c>
      <c r="U60" s="35">
        <f>VLOOKUP(tblRiskRegister15[[#This Row],[Asset Class]],tblImpactIndex17[],2,FALSE)</f>
        <v>0</v>
      </c>
      <c r="V60" s="35">
        <f>VLOOKUP(tblRiskRegister15[[#This Row],[Asset Class]],tblImpactIndex17[],3,FALSE)</f>
        <v>0</v>
      </c>
      <c r="W60" s="35">
        <f>VLOOKUP(tblRiskRegister15[[#This Row],[Asset Class]],tblImpactIndex17[],4,FALSE)</f>
        <v>0</v>
      </c>
      <c r="X60" s="35" t="str">
        <f>IFERROR(MAX(tblRiskRegister15[[#This Row],[Risk Treatment Safeguard Impact to Mission]:[Risk Treatment Safeguard Impact to Obligations]])*tblRiskRegister15[[#This Row],[Risk Treatment
Safeguard Expectancy Score]],"")</f>
        <v/>
      </c>
      <c r="Y60" s="35" t="str">
        <f>IF(tblRiskRegister15[[#This Row],[Risk Score]]&gt;5,IF(tblRiskRegister15[[#This Row],[Risk Treatment Safeguard Risk Score]]&lt;6, IF(tblRiskRegister15[[#This Row],[Risk Treatment Safeguard Risk Score]]&lt;=tblRiskRegister15[[#This Row],[Risk Score]],"Yes","No"),"No"),"Yes")</f>
        <v>No</v>
      </c>
      <c r="Z60" s="23"/>
      <c r="AA60" s="23"/>
      <c r="AB60" s="24"/>
    </row>
    <row r="61" spans="2:28" ht="28" x14ac:dyDescent="0.15">
      <c r="B61" s="19">
        <v>7.2</v>
      </c>
      <c r="C61" s="20" t="s">
        <v>80</v>
      </c>
      <c r="D61" s="148" t="s">
        <v>301</v>
      </c>
      <c r="E61" s="150" t="s">
        <v>302</v>
      </c>
      <c r="F61" s="22"/>
      <c r="G61" s="36">
        <f>IFERROR(VLOOKUP(tblRiskRegister15[[#This Row],[Asset Class]],tblVCDBIndex[],4,FALSE),"")</f>
        <v>2</v>
      </c>
      <c r="H61" s="36" t="str">
        <f>IFERROR(VLOOKUP(10*tblRiskRegister15[[#This Row],[Safeguard Maturity Score]]+tblRiskRegister15[[#This Row],[VCDB Index]],tblHITIndexWeightTable[],4,FALSE),"")</f>
        <v/>
      </c>
      <c r="I61" s="36">
        <f>VLOOKUP(tblRiskRegister15[[#This Row],[Asset Class]],tblImpactIndex17[],2,FALSE)</f>
        <v>0</v>
      </c>
      <c r="J61" s="36">
        <f>VLOOKUP(tblRiskRegister15[[#This Row],[Asset Class]],tblImpactIndex17[],3,FALSE)</f>
        <v>0</v>
      </c>
      <c r="K61" s="36">
        <f>VLOOKUP(tblRiskRegister15[[#This Row],[Asset Class]],tblImpactIndex17[],4,FALSE)</f>
        <v>0</v>
      </c>
      <c r="L61" s="36" t="str">
        <f>IFERROR(MAX(tblRiskRegister15[[#This Row],[Impact to Mission]:[Impact to Obligations]])*tblRiskRegister15[[#This Row],[Expectancy Score]],"")</f>
        <v/>
      </c>
      <c r="M61" s="36" t="str">
        <f>tblRiskRegister15[[#This Row],[Risk Score]]</f>
        <v/>
      </c>
      <c r="N61" s="31"/>
      <c r="O61" s="19">
        <v>7.2</v>
      </c>
      <c r="P61" s="20" t="s">
        <v>80</v>
      </c>
      <c r="Q61" s="20" t="s">
        <v>143</v>
      </c>
      <c r="R61" s="21"/>
      <c r="S61" s="22"/>
      <c r="T61" s="35" t="str">
        <f>IFERROR(VLOOKUP(10*tblRiskRegister15[[#This Row],[Risk Treatment Safeguard Maturity Score]]+tblRiskRegister15[[#This Row],[VCDB Index]],tblHITIndexWeightTable[],4,FALSE),"")</f>
        <v/>
      </c>
      <c r="U61" s="35">
        <f>VLOOKUP(tblRiskRegister15[[#This Row],[Asset Class]],tblImpactIndex17[],2,FALSE)</f>
        <v>0</v>
      </c>
      <c r="V61" s="35">
        <f>VLOOKUP(tblRiskRegister15[[#This Row],[Asset Class]],tblImpactIndex17[],3,FALSE)</f>
        <v>0</v>
      </c>
      <c r="W61" s="35">
        <f>VLOOKUP(tblRiskRegister15[[#This Row],[Asset Class]],tblImpactIndex17[],4,FALSE)</f>
        <v>0</v>
      </c>
      <c r="X61" s="35" t="str">
        <f>IFERROR(MAX(tblRiskRegister15[[#This Row],[Risk Treatment Safeguard Impact to Mission]:[Risk Treatment Safeguard Impact to Obligations]])*tblRiskRegister15[[#This Row],[Risk Treatment
Safeguard Expectancy Score]],"")</f>
        <v/>
      </c>
      <c r="Y61" s="35" t="str">
        <f>IF(tblRiskRegister15[[#This Row],[Risk Score]]&gt;5,IF(tblRiskRegister15[[#This Row],[Risk Treatment Safeguard Risk Score]]&lt;6, IF(tblRiskRegister15[[#This Row],[Risk Treatment Safeguard Risk Score]]&lt;=tblRiskRegister15[[#This Row],[Risk Score]],"Yes","No"),"No"),"Yes")</f>
        <v>No</v>
      </c>
      <c r="Z61" s="23"/>
      <c r="AA61" s="23"/>
      <c r="AB61" s="24"/>
    </row>
    <row r="62" spans="2:28" ht="42" x14ac:dyDescent="0.15">
      <c r="B62" s="19">
        <v>7.3</v>
      </c>
      <c r="C62" s="20" t="s">
        <v>81</v>
      </c>
      <c r="D62" s="16" t="s">
        <v>295</v>
      </c>
      <c r="E62" s="150" t="s">
        <v>300</v>
      </c>
      <c r="F62" s="22"/>
      <c r="G62" s="36">
        <f>IFERROR(VLOOKUP(tblRiskRegister15[[#This Row],[Asset Class]],tblVCDBIndex[],4,FALSE),"")</f>
        <v>2</v>
      </c>
      <c r="H62" s="36" t="str">
        <f>IFERROR(VLOOKUP(10*tblRiskRegister15[[#This Row],[Safeguard Maturity Score]]+tblRiskRegister15[[#This Row],[VCDB Index]],tblHITIndexWeightTable[],4,FALSE),"")</f>
        <v/>
      </c>
      <c r="I62" s="36">
        <f>VLOOKUP(tblRiskRegister15[[#This Row],[Asset Class]],tblImpactIndex17[],2,FALSE)</f>
        <v>0</v>
      </c>
      <c r="J62" s="36">
        <f>VLOOKUP(tblRiskRegister15[[#This Row],[Asset Class]],tblImpactIndex17[],3,FALSE)</f>
        <v>0</v>
      </c>
      <c r="K62" s="36">
        <f>VLOOKUP(tblRiskRegister15[[#This Row],[Asset Class]],tblImpactIndex17[],4,FALSE)</f>
        <v>0</v>
      </c>
      <c r="L62" s="36" t="str">
        <f>IFERROR(MAX(tblRiskRegister15[[#This Row],[Impact to Mission]:[Impact to Obligations]])*tblRiskRegister15[[#This Row],[Expectancy Score]],"")</f>
        <v/>
      </c>
      <c r="M62" s="36" t="str">
        <f>tblRiskRegister15[[#This Row],[Risk Score]]</f>
        <v/>
      </c>
      <c r="N62" s="31"/>
      <c r="O62" s="19">
        <v>7.3</v>
      </c>
      <c r="P62" s="20" t="s">
        <v>81</v>
      </c>
      <c r="Q62" s="20" t="s">
        <v>144</v>
      </c>
      <c r="R62" s="21"/>
      <c r="S62" s="22"/>
      <c r="T62" s="35" t="str">
        <f>IFERROR(VLOOKUP(10*tblRiskRegister15[[#This Row],[Risk Treatment Safeguard Maturity Score]]+tblRiskRegister15[[#This Row],[VCDB Index]],tblHITIndexWeightTable[],4,FALSE),"")</f>
        <v/>
      </c>
      <c r="U62" s="35">
        <f>VLOOKUP(tblRiskRegister15[[#This Row],[Asset Class]],tblImpactIndex17[],2,FALSE)</f>
        <v>0</v>
      </c>
      <c r="V62" s="35">
        <f>VLOOKUP(tblRiskRegister15[[#This Row],[Asset Class]],tblImpactIndex17[],3,FALSE)</f>
        <v>0</v>
      </c>
      <c r="W62" s="35">
        <f>VLOOKUP(tblRiskRegister15[[#This Row],[Asset Class]],tblImpactIndex17[],4,FALSE)</f>
        <v>0</v>
      </c>
      <c r="X62" s="35" t="str">
        <f>IFERROR(MAX(tblRiskRegister15[[#This Row],[Risk Treatment Safeguard Impact to Mission]:[Risk Treatment Safeguard Impact to Obligations]])*tblRiskRegister15[[#This Row],[Risk Treatment
Safeguard Expectancy Score]],"")</f>
        <v/>
      </c>
      <c r="Y62" s="35" t="str">
        <f>IF(tblRiskRegister15[[#This Row],[Risk Score]]&gt;5,IF(tblRiskRegister15[[#This Row],[Risk Treatment Safeguard Risk Score]]&lt;6, IF(tblRiskRegister15[[#This Row],[Risk Treatment Safeguard Risk Score]]&lt;=tblRiskRegister15[[#This Row],[Risk Score]],"Yes","No"),"No"),"Yes")</f>
        <v>No</v>
      </c>
      <c r="Z62" s="23"/>
      <c r="AA62" s="23"/>
      <c r="AB62" s="24"/>
    </row>
    <row r="63" spans="2:28" ht="42" x14ac:dyDescent="0.15">
      <c r="B63" s="19">
        <v>7.4</v>
      </c>
      <c r="C63" s="20" t="s">
        <v>82</v>
      </c>
      <c r="D63" s="16" t="s">
        <v>295</v>
      </c>
      <c r="E63" s="150" t="s">
        <v>300</v>
      </c>
      <c r="F63" s="22"/>
      <c r="G63" s="36">
        <f>IFERROR(VLOOKUP(tblRiskRegister15[[#This Row],[Asset Class]],tblVCDBIndex[],4,FALSE),"")</f>
        <v>2</v>
      </c>
      <c r="H63" s="36" t="str">
        <f>IFERROR(VLOOKUP(10*tblRiskRegister15[[#This Row],[Safeguard Maturity Score]]+tblRiskRegister15[[#This Row],[VCDB Index]],tblHITIndexWeightTable[],4,FALSE),"")</f>
        <v/>
      </c>
      <c r="I63" s="36">
        <f>VLOOKUP(tblRiskRegister15[[#This Row],[Asset Class]],tblImpactIndex17[],2,FALSE)</f>
        <v>0</v>
      </c>
      <c r="J63" s="36">
        <f>VLOOKUP(tblRiskRegister15[[#This Row],[Asset Class]],tblImpactIndex17[],3,FALSE)</f>
        <v>0</v>
      </c>
      <c r="K63" s="36">
        <f>VLOOKUP(tblRiskRegister15[[#This Row],[Asset Class]],tblImpactIndex17[],4,FALSE)</f>
        <v>0</v>
      </c>
      <c r="L63" s="36" t="str">
        <f>IFERROR(MAX(tblRiskRegister15[[#This Row],[Impact to Mission]:[Impact to Obligations]])*tblRiskRegister15[[#This Row],[Expectancy Score]],"")</f>
        <v/>
      </c>
      <c r="M63" s="36" t="str">
        <f>tblRiskRegister15[[#This Row],[Risk Score]]</f>
        <v/>
      </c>
      <c r="N63" s="31"/>
      <c r="O63" s="19">
        <v>7.4</v>
      </c>
      <c r="P63" s="20" t="s">
        <v>82</v>
      </c>
      <c r="Q63" s="20" t="s">
        <v>145</v>
      </c>
      <c r="R63" s="21"/>
      <c r="S63" s="22"/>
      <c r="T63" s="35" t="str">
        <f>IFERROR(VLOOKUP(10*tblRiskRegister15[[#This Row],[Risk Treatment Safeguard Maturity Score]]+tblRiskRegister15[[#This Row],[VCDB Index]],tblHITIndexWeightTable[],4,FALSE),"")</f>
        <v/>
      </c>
      <c r="U63" s="35">
        <f>VLOOKUP(tblRiskRegister15[[#This Row],[Asset Class]],tblImpactIndex17[],2,FALSE)</f>
        <v>0</v>
      </c>
      <c r="V63" s="35">
        <f>VLOOKUP(tblRiskRegister15[[#This Row],[Asset Class]],tblImpactIndex17[],3,FALSE)</f>
        <v>0</v>
      </c>
      <c r="W63" s="35">
        <f>VLOOKUP(tblRiskRegister15[[#This Row],[Asset Class]],tblImpactIndex17[],4,FALSE)</f>
        <v>0</v>
      </c>
      <c r="X63" s="35" t="str">
        <f>IFERROR(MAX(tblRiskRegister15[[#This Row],[Risk Treatment Safeguard Impact to Mission]:[Risk Treatment Safeguard Impact to Obligations]])*tblRiskRegister15[[#This Row],[Risk Treatment
Safeguard Expectancy Score]],"")</f>
        <v/>
      </c>
      <c r="Y63" s="35" t="str">
        <f>IF(tblRiskRegister15[[#This Row],[Risk Score]]&gt;5,IF(tblRiskRegister15[[#This Row],[Risk Treatment Safeguard Risk Score]]&lt;6, IF(tblRiskRegister15[[#This Row],[Risk Treatment Safeguard Risk Score]]&lt;=tblRiskRegister15[[#This Row],[Risk Score]],"Yes","No"),"No"),"Yes")</f>
        <v>No</v>
      </c>
      <c r="Z63" s="23"/>
      <c r="AA63" s="23"/>
      <c r="AB63" s="24"/>
    </row>
    <row r="64" spans="2:28" ht="56" x14ac:dyDescent="0.15">
      <c r="B64" s="19">
        <v>8.1</v>
      </c>
      <c r="C64" s="20" t="s">
        <v>83</v>
      </c>
      <c r="D64" s="148" t="s">
        <v>301</v>
      </c>
      <c r="E64" s="150" t="s">
        <v>302</v>
      </c>
      <c r="F64" s="22"/>
      <c r="G64" s="36">
        <f>IFERROR(VLOOKUP(tblRiskRegister15[[#This Row],[Asset Class]],tblVCDBIndex[],4,FALSE),"")</f>
        <v>2</v>
      </c>
      <c r="H64" s="36" t="str">
        <f>IFERROR(VLOOKUP(10*tblRiskRegister15[[#This Row],[Safeguard Maturity Score]]+tblRiskRegister15[[#This Row],[VCDB Index]],tblHITIndexWeightTable[],4,FALSE),"")</f>
        <v/>
      </c>
      <c r="I64" s="36">
        <f>VLOOKUP(tblRiskRegister15[[#This Row],[Asset Class]],tblImpactIndex17[],2,FALSE)</f>
        <v>0</v>
      </c>
      <c r="J64" s="36">
        <f>VLOOKUP(tblRiskRegister15[[#This Row],[Asset Class]],tblImpactIndex17[],3,FALSE)</f>
        <v>0</v>
      </c>
      <c r="K64" s="36">
        <f>VLOOKUP(tblRiskRegister15[[#This Row],[Asset Class]],tblImpactIndex17[],4,FALSE)</f>
        <v>0</v>
      </c>
      <c r="L64" s="36" t="str">
        <f>IFERROR(MAX(tblRiskRegister15[[#This Row],[Impact to Mission]:[Impact to Obligations]])*tblRiskRegister15[[#This Row],[Expectancy Score]],"")</f>
        <v/>
      </c>
      <c r="M64" s="36" t="str">
        <f>tblRiskRegister15[[#This Row],[Risk Score]]</f>
        <v/>
      </c>
      <c r="N64" s="31"/>
      <c r="O64" s="19">
        <v>8.1</v>
      </c>
      <c r="P64" s="20" t="s">
        <v>83</v>
      </c>
      <c r="Q64" s="20" t="s">
        <v>324</v>
      </c>
      <c r="R64" s="21"/>
      <c r="S64" s="22"/>
      <c r="T64" s="35" t="str">
        <f>IFERROR(VLOOKUP(10*tblRiskRegister15[[#This Row],[Risk Treatment Safeguard Maturity Score]]+tblRiskRegister15[[#This Row],[VCDB Index]],tblHITIndexWeightTable[],4,FALSE),"")</f>
        <v/>
      </c>
      <c r="U64" s="35">
        <f>VLOOKUP(tblRiskRegister15[[#This Row],[Asset Class]],tblImpactIndex17[],2,FALSE)</f>
        <v>0</v>
      </c>
      <c r="V64" s="35">
        <f>VLOOKUP(tblRiskRegister15[[#This Row],[Asset Class]],tblImpactIndex17[],3,FALSE)</f>
        <v>0</v>
      </c>
      <c r="W64" s="35">
        <f>VLOOKUP(tblRiskRegister15[[#This Row],[Asset Class]],tblImpactIndex17[],4,FALSE)</f>
        <v>0</v>
      </c>
      <c r="X64" s="35" t="str">
        <f>IFERROR(MAX(tblRiskRegister15[[#This Row],[Risk Treatment Safeguard Impact to Mission]:[Risk Treatment Safeguard Impact to Obligations]])*tblRiskRegister15[[#This Row],[Risk Treatment
Safeguard Expectancy Score]],"")</f>
        <v/>
      </c>
      <c r="Y64" s="35" t="str">
        <f>IF(tblRiskRegister15[[#This Row],[Risk Score]]&gt;5,IF(tblRiskRegister15[[#This Row],[Risk Treatment Safeguard Risk Score]]&lt;6, IF(tblRiskRegister15[[#This Row],[Risk Treatment Safeguard Risk Score]]&lt;=tblRiskRegister15[[#This Row],[Risk Score]],"Yes","No"),"No"),"Yes")</f>
        <v>No</v>
      </c>
      <c r="Z64" s="23"/>
      <c r="AA64" s="23"/>
      <c r="AB64" s="24"/>
    </row>
    <row r="65" spans="2:28" ht="28" x14ac:dyDescent="0.15">
      <c r="B65" s="19">
        <v>8.1999999999999993</v>
      </c>
      <c r="C65" s="20" t="s">
        <v>84</v>
      </c>
      <c r="D65" s="16" t="s">
        <v>296</v>
      </c>
      <c r="E65" s="150" t="s">
        <v>107</v>
      </c>
      <c r="F65" s="22"/>
      <c r="G65" s="36">
        <f>IFERROR(VLOOKUP(tblRiskRegister15[[#This Row],[Asset Class]],tblVCDBIndex[],4,FALSE),"")</f>
        <v>2</v>
      </c>
      <c r="H65" s="36" t="str">
        <f>IFERROR(VLOOKUP(10*tblRiskRegister15[[#This Row],[Safeguard Maturity Score]]+tblRiskRegister15[[#This Row],[VCDB Index]],tblHITIndexWeightTable[],4,FALSE),"")</f>
        <v/>
      </c>
      <c r="I65" s="36">
        <f>VLOOKUP(tblRiskRegister15[[#This Row],[Asset Class]],tblImpactIndex17[],2,FALSE)</f>
        <v>0</v>
      </c>
      <c r="J65" s="36">
        <f>VLOOKUP(tblRiskRegister15[[#This Row],[Asset Class]],tblImpactIndex17[],3,FALSE)</f>
        <v>0</v>
      </c>
      <c r="K65" s="36">
        <f>VLOOKUP(tblRiskRegister15[[#This Row],[Asset Class]],tblImpactIndex17[],4,FALSE)</f>
        <v>0</v>
      </c>
      <c r="L65" s="36" t="str">
        <f>IFERROR(MAX(tblRiskRegister15[[#This Row],[Impact to Mission]:[Impact to Obligations]])*tblRiskRegister15[[#This Row],[Expectancy Score]],"")</f>
        <v/>
      </c>
      <c r="M65" s="36" t="str">
        <f>tblRiskRegister15[[#This Row],[Risk Score]]</f>
        <v/>
      </c>
      <c r="N65" s="31"/>
      <c r="O65" s="19">
        <v>8.1999999999999993</v>
      </c>
      <c r="P65" s="20" t="s">
        <v>84</v>
      </c>
      <c r="Q65" s="20" t="s">
        <v>146</v>
      </c>
      <c r="R65" s="21"/>
      <c r="S65" s="22"/>
      <c r="T65" s="35" t="str">
        <f>IFERROR(VLOOKUP(10*tblRiskRegister15[[#This Row],[Risk Treatment Safeguard Maturity Score]]+tblRiskRegister15[[#This Row],[VCDB Index]],tblHITIndexWeightTable[],4,FALSE),"")</f>
        <v/>
      </c>
      <c r="U65" s="35">
        <f>VLOOKUP(tblRiskRegister15[[#This Row],[Asset Class]],tblImpactIndex17[],2,FALSE)</f>
        <v>0</v>
      </c>
      <c r="V65" s="35">
        <f>VLOOKUP(tblRiskRegister15[[#This Row],[Asset Class]],tblImpactIndex17[],3,FALSE)</f>
        <v>0</v>
      </c>
      <c r="W65" s="35">
        <f>VLOOKUP(tblRiskRegister15[[#This Row],[Asset Class]],tblImpactIndex17[],4,FALSE)</f>
        <v>0</v>
      </c>
      <c r="X65" s="35" t="str">
        <f>IFERROR(MAX(tblRiskRegister15[[#This Row],[Risk Treatment Safeguard Impact to Mission]:[Risk Treatment Safeguard Impact to Obligations]])*tblRiskRegister15[[#This Row],[Risk Treatment
Safeguard Expectancy Score]],"")</f>
        <v/>
      </c>
      <c r="Y65" s="35" t="str">
        <f>IF(tblRiskRegister15[[#This Row],[Risk Score]]&gt;5,IF(tblRiskRegister15[[#This Row],[Risk Treatment Safeguard Risk Score]]&lt;6, IF(tblRiskRegister15[[#This Row],[Risk Treatment Safeguard Risk Score]]&lt;=tblRiskRegister15[[#This Row],[Risk Score]],"Yes","No"),"No"),"Yes")</f>
        <v>No</v>
      </c>
      <c r="Z65" s="23"/>
      <c r="AA65" s="23"/>
      <c r="AB65" s="24"/>
    </row>
    <row r="66" spans="2:28" ht="28" x14ac:dyDescent="0.15">
      <c r="B66" s="19">
        <v>8.3000000000000007</v>
      </c>
      <c r="C66" s="20" t="s">
        <v>85</v>
      </c>
      <c r="D66" s="16" t="s">
        <v>295</v>
      </c>
      <c r="E66" s="150" t="s">
        <v>107</v>
      </c>
      <c r="F66" s="22"/>
      <c r="G66" s="36">
        <f>IFERROR(VLOOKUP(tblRiskRegister15[[#This Row],[Asset Class]],tblVCDBIndex[],4,FALSE),"")</f>
        <v>2</v>
      </c>
      <c r="H66" s="36" t="str">
        <f>IFERROR(VLOOKUP(10*tblRiskRegister15[[#This Row],[Safeguard Maturity Score]]+tblRiskRegister15[[#This Row],[VCDB Index]],tblHITIndexWeightTable[],4,FALSE),"")</f>
        <v/>
      </c>
      <c r="I66" s="36">
        <f>VLOOKUP(tblRiskRegister15[[#This Row],[Asset Class]],tblImpactIndex17[],2,FALSE)</f>
        <v>0</v>
      </c>
      <c r="J66" s="36">
        <f>VLOOKUP(tblRiskRegister15[[#This Row],[Asset Class]],tblImpactIndex17[],3,FALSE)</f>
        <v>0</v>
      </c>
      <c r="K66" s="36">
        <f>VLOOKUP(tblRiskRegister15[[#This Row],[Asset Class]],tblImpactIndex17[],4,FALSE)</f>
        <v>0</v>
      </c>
      <c r="L66" s="36" t="str">
        <f>IFERROR(MAX(tblRiskRegister15[[#This Row],[Impact to Mission]:[Impact to Obligations]])*tblRiskRegister15[[#This Row],[Expectancy Score]],"")</f>
        <v/>
      </c>
      <c r="M66" s="36" t="str">
        <f>tblRiskRegister15[[#This Row],[Risk Score]]</f>
        <v/>
      </c>
      <c r="N66" s="31"/>
      <c r="O66" s="19">
        <v>8.3000000000000007</v>
      </c>
      <c r="P66" s="20" t="s">
        <v>85</v>
      </c>
      <c r="Q66" s="20" t="s">
        <v>147</v>
      </c>
      <c r="R66" s="21"/>
      <c r="S66" s="22"/>
      <c r="T66" s="35" t="str">
        <f>IFERROR(VLOOKUP(10*tblRiskRegister15[[#This Row],[Risk Treatment Safeguard Maturity Score]]+tblRiskRegister15[[#This Row],[VCDB Index]],tblHITIndexWeightTable[],4,FALSE),"")</f>
        <v/>
      </c>
      <c r="U66" s="35">
        <f>VLOOKUP(tblRiskRegister15[[#This Row],[Asset Class]],tblImpactIndex17[],2,FALSE)</f>
        <v>0</v>
      </c>
      <c r="V66" s="35">
        <f>VLOOKUP(tblRiskRegister15[[#This Row],[Asset Class]],tblImpactIndex17[],3,FALSE)</f>
        <v>0</v>
      </c>
      <c r="W66" s="35">
        <f>VLOOKUP(tblRiskRegister15[[#This Row],[Asset Class]],tblImpactIndex17[],4,FALSE)</f>
        <v>0</v>
      </c>
      <c r="X66" s="35" t="str">
        <f>IFERROR(MAX(tblRiskRegister15[[#This Row],[Risk Treatment Safeguard Impact to Mission]:[Risk Treatment Safeguard Impact to Obligations]])*tblRiskRegister15[[#This Row],[Risk Treatment
Safeguard Expectancy Score]],"")</f>
        <v/>
      </c>
      <c r="Y66" s="35" t="str">
        <f>IF(tblRiskRegister15[[#This Row],[Risk Score]]&gt;5,IF(tblRiskRegister15[[#This Row],[Risk Treatment Safeguard Risk Score]]&lt;6, IF(tblRiskRegister15[[#This Row],[Risk Treatment Safeguard Risk Score]]&lt;=tblRiskRegister15[[#This Row],[Risk Score]],"Yes","No"),"No"),"Yes")</f>
        <v>No</v>
      </c>
      <c r="Z66" s="23"/>
      <c r="AA66" s="23"/>
      <c r="AB66" s="24"/>
    </row>
    <row r="67" spans="2:28" ht="42" x14ac:dyDescent="0.15">
      <c r="B67" s="19">
        <v>9.1</v>
      </c>
      <c r="C67" s="20" t="s">
        <v>17</v>
      </c>
      <c r="D67" s="16" t="s">
        <v>295</v>
      </c>
      <c r="E67" s="150" t="s">
        <v>300</v>
      </c>
      <c r="F67" s="22"/>
      <c r="G67" s="36">
        <f>IFERROR(VLOOKUP(tblRiskRegister15[[#This Row],[Asset Class]],tblVCDBIndex[],4,FALSE),"")</f>
        <v>2</v>
      </c>
      <c r="H67" s="36" t="str">
        <f>IFERROR(VLOOKUP(10*tblRiskRegister15[[#This Row],[Safeguard Maturity Score]]+tblRiskRegister15[[#This Row],[VCDB Index]],tblHITIndexWeightTable[],4,FALSE),"")</f>
        <v/>
      </c>
      <c r="I67" s="36">
        <f>VLOOKUP(tblRiskRegister15[[#This Row],[Asset Class]],tblImpactIndex17[],2,FALSE)</f>
        <v>0</v>
      </c>
      <c r="J67" s="36">
        <f>VLOOKUP(tblRiskRegister15[[#This Row],[Asset Class]],tblImpactIndex17[],3,FALSE)</f>
        <v>0</v>
      </c>
      <c r="K67" s="36">
        <f>VLOOKUP(tblRiskRegister15[[#This Row],[Asset Class]],tblImpactIndex17[],4,FALSE)</f>
        <v>0</v>
      </c>
      <c r="L67" s="36" t="str">
        <f>IFERROR(MAX(tblRiskRegister15[[#This Row],[Impact to Mission]:[Impact to Obligations]])*tblRiskRegister15[[#This Row],[Expectancy Score]],"")</f>
        <v/>
      </c>
      <c r="M67" s="36" t="str">
        <f>tblRiskRegister15[[#This Row],[Risk Score]]</f>
        <v/>
      </c>
      <c r="N67" s="31"/>
      <c r="O67" s="19">
        <v>9.1</v>
      </c>
      <c r="P67" s="20" t="s">
        <v>17</v>
      </c>
      <c r="Q67" s="20" t="s">
        <v>148</v>
      </c>
      <c r="R67" s="21"/>
      <c r="S67" s="22"/>
      <c r="T67" s="35" t="str">
        <f>IFERROR(VLOOKUP(10*tblRiskRegister15[[#This Row],[Risk Treatment Safeguard Maturity Score]]+tblRiskRegister15[[#This Row],[VCDB Index]],tblHITIndexWeightTable[],4,FALSE),"")</f>
        <v/>
      </c>
      <c r="U67" s="35">
        <f>VLOOKUP(tblRiskRegister15[[#This Row],[Asset Class]],tblImpactIndex17[],2,FALSE)</f>
        <v>0</v>
      </c>
      <c r="V67" s="35">
        <f>VLOOKUP(tblRiskRegister15[[#This Row],[Asset Class]],tblImpactIndex17[],3,FALSE)</f>
        <v>0</v>
      </c>
      <c r="W67" s="35">
        <f>VLOOKUP(tblRiskRegister15[[#This Row],[Asset Class]],tblImpactIndex17[],4,FALSE)</f>
        <v>0</v>
      </c>
      <c r="X67" s="35" t="str">
        <f>IFERROR(MAX(tblRiskRegister15[[#This Row],[Risk Treatment Safeguard Impact to Mission]:[Risk Treatment Safeguard Impact to Obligations]])*tblRiskRegister15[[#This Row],[Risk Treatment
Safeguard Expectancy Score]],"")</f>
        <v/>
      </c>
      <c r="Y67" s="35" t="str">
        <f>IF(tblRiskRegister15[[#This Row],[Risk Score]]&gt;5,IF(tblRiskRegister15[[#This Row],[Risk Treatment Safeguard Risk Score]]&lt;6, IF(tblRiskRegister15[[#This Row],[Risk Treatment Safeguard Risk Score]]&lt;=tblRiskRegister15[[#This Row],[Risk Score]],"Yes","No"),"No"),"Yes")</f>
        <v>No</v>
      </c>
      <c r="Z67" s="23"/>
      <c r="AA67" s="23"/>
      <c r="AB67" s="24"/>
    </row>
    <row r="68" spans="2:28" ht="28" x14ac:dyDescent="0.15">
      <c r="B68" s="19">
        <v>9.1999999999999993</v>
      </c>
      <c r="C68" s="20" t="s">
        <v>86</v>
      </c>
      <c r="D68" s="16" t="s">
        <v>295</v>
      </c>
      <c r="E68" s="150" t="s">
        <v>108</v>
      </c>
      <c r="F68" s="22"/>
      <c r="G68" s="36">
        <f>IFERROR(VLOOKUP(tblRiskRegister15[[#This Row],[Asset Class]],tblVCDBIndex[],4,FALSE),"")</f>
        <v>4</v>
      </c>
      <c r="H68" s="36" t="str">
        <f>IFERROR(VLOOKUP(10*tblRiskRegister15[[#This Row],[Safeguard Maturity Score]]+tblRiskRegister15[[#This Row],[VCDB Index]],tblHITIndexWeightTable[],4,FALSE),"")</f>
        <v/>
      </c>
      <c r="I68" s="36">
        <f>VLOOKUP(tblRiskRegister15[[#This Row],[Asset Class]],tblImpactIndex17[],2,FALSE)</f>
        <v>0</v>
      </c>
      <c r="J68" s="36">
        <f>VLOOKUP(tblRiskRegister15[[#This Row],[Asset Class]],tblImpactIndex17[],3,FALSE)</f>
        <v>0</v>
      </c>
      <c r="K68" s="36">
        <f>VLOOKUP(tblRiskRegister15[[#This Row],[Asset Class]],tblImpactIndex17[],4,FALSE)</f>
        <v>0</v>
      </c>
      <c r="L68" s="36" t="str">
        <f>IFERROR(MAX(tblRiskRegister15[[#This Row],[Impact to Mission]:[Impact to Obligations]])*tblRiskRegister15[[#This Row],[Expectancy Score]],"")</f>
        <v/>
      </c>
      <c r="M68" s="36" t="str">
        <f>tblRiskRegister15[[#This Row],[Risk Score]]</f>
        <v/>
      </c>
      <c r="N68" s="31"/>
      <c r="O68" s="19">
        <v>9.1999999999999993</v>
      </c>
      <c r="P68" s="20" t="s">
        <v>86</v>
      </c>
      <c r="Q68" s="20" t="s">
        <v>325</v>
      </c>
      <c r="R68" s="21"/>
      <c r="S68" s="22"/>
      <c r="T68" s="35" t="str">
        <f>IFERROR(VLOOKUP(10*tblRiskRegister15[[#This Row],[Risk Treatment Safeguard Maturity Score]]+tblRiskRegister15[[#This Row],[VCDB Index]],tblHITIndexWeightTable[],4,FALSE),"")</f>
        <v/>
      </c>
      <c r="U68" s="35">
        <f>VLOOKUP(tblRiskRegister15[[#This Row],[Asset Class]],tblImpactIndex17[],2,FALSE)</f>
        <v>0</v>
      </c>
      <c r="V68" s="35">
        <f>VLOOKUP(tblRiskRegister15[[#This Row],[Asset Class]],tblImpactIndex17[],3,FALSE)</f>
        <v>0</v>
      </c>
      <c r="W68" s="35">
        <f>VLOOKUP(tblRiskRegister15[[#This Row],[Asset Class]],tblImpactIndex17[],4,FALSE)</f>
        <v>0</v>
      </c>
      <c r="X68" s="35" t="str">
        <f>IFERROR(MAX(tblRiskRegister15[[#This Row],[Risk Treatment Safeguard Impact to Mission]:[Risk Treatment Safeguard Impact to Obligations]])*tblRiskRegister15[[#This Row],[Risk Treatment
Safeguard Expectancy Score]],"")</f>
        <v/>
      </c>
      <c r="Y68" s="35" t="str">
        <f>IF(tblRiskRegister15[[#This Row],[Risk Score]]&gt;5,IF(tblRiskRegister15[[#This Row],[Risk Treatment Safeguard Risk Score]]&lt;6, IF(tblRiskRegister15[[#This Row],[Risk Treatment Safeguard Risk Score]]&lt;=tblRiskRegister15[[#This Row],[Risk Score]],"Yes","No"),"No"),"Yes")</f>
        <v>No</v>
      </c>
      <c r="Z68" s="23"/>
      <c r="AA68" s="23"/>
      <c r="AB68" s="24"/>
    </row>
    <row r="69" spans="2:28" ht="28" x14ac:dyDescent="0.15">
      <c r="B69" s="19">
        <v>10.1</v>
      </c>
      <c r="C69" s="20" t="s">
        <v>87</v>
      </c>
      <c r="D69" s="16" t="s">
        <v>296</v>
      </c>
      <c r="E69" s="150" t="s">
        <v>108</v>
      </c>
      <c r="F69" s="22"/>
      <c r="G69" s="36">
        <f>IFERROR(VLOOKUP(tblRiskRegister15[[#This Row],[Asset Class]],tblVCDBIndex[],4,FALSE),"")</f>
        <v>4</v>
      </c>
      <c r="H69" s="36" t="str">
        <f>IFERROR(VLOOKUP(10*tblRiskRegister15[[#This Row],[Safeguard Maturity Score]]+tblRiskRegister15[[#This Row],[VCDB Index]],tblHITIndexWeightTable[],4,FALSE),"")</f>
        <v/>
      </c>
      <c r="I69" s="36">
        <f>VLOOKUP(tblRiskRegister15[[#This Row],[Asset Class]],tblImpactIndex17[],2,FALSE)</f>
        <v>0</v>
      </c>
      <c r="J69" s="36">
        <f>VLOOKUP(tblRiskRegister15[[#This Row],[Asset Class]],tblImpactIndex17[],3,FALSE)</f>
        <v>0</v>
      </c>
      <c r="K69" s="36">
        <f>VLOOKUP(tblRiskRegister15[[#This Row],[Asset Class]],tblImpactIndex17[],4,FALSE)</f>
        <v>0</v>
      </c>
      <c r="L69" s="36" t="str">
        <f>IFERROR(MAX(tblRiskRegister15[[#This Row],[Impact to Mission]:[Impact to Obligations]])*tblRiskRegister15[[#This Row],[Expectancy Score]],"")</f>
        <v/>
      </c>
      <c r="M69" s="36" t="str">
        <f>tblRiskRegister15[[#This Row],[Risk Score]]</f>
        <v/>
      </c>
      <c r="N69" s="31"/>
      <c r="O69" s="19">
        <v>10.1</v>
      </c>
      <c r="P69" s="20" t="s">
        <v>87</v>
      </c>
      <c r="Q69" s="20" t="s">
        <v>149</v>
      </c>
      <c r="R69" s="21"/>
      <c r="S69" s="22"/>
      <c r="T69" s="35" t="str">
        <f>IFERROR(VLOOKUP(10*tblRiskRegister15[[#This Row],[Risk Treatment Safeguard Maturity Score]]+tblRiskRegister15[[#This Row],[VCDB Index]],tblHITIndexWeightTable[],4,FALSE),"")</f>
        <v/>
      </c>
      <c r="U69" s="35">
        <f>VLOOKUP(tblRiskRegister15[[#This Row],[Asset Class]],tblImpactIndex17[],2,FALSE)</f>
        <v>0</v>
      </c>
      <c r="V69" s="35">
        <f>VLOOKUP(tblRiskRegister15[[#This Row],[Asset Class]],tblImpactIndex17[],3,FALSE)</f>
        <v>0</v>
      </c>
      <c r="W69" s="35">
        <f>VLOOKUP(tblRiskRegister15[[#This Row],[Asset Class]],tblImpactIndex17[],4,FALSE)</f>
        <v>0</v>
      </c>
      <c r="X69" s="35" t="str">
        <f>IFERROR(MAX(tblRiskRegister15[[#This Row],[Risk Treatment Safeguard Impact to Mission]:[Risk Treatment Safeguard Impact to Obligations]])*tblRiskRegister15[[#This Row],[Risk Treatment
Safeguard Expectancy Score]],"")</f>
        <v/>
      </c>
      <c r="Y69" s="35" t="str">
        <f>IF(tblRiskRegister15[[#This Row],[Risk Score]]&gt;5,IF(tblRiskRegister15[[#This Row],[Risk Treatment Safeguard Risk Score]]&lt;6, IF(tblRiskRegister15[[#This Row],[Risk Treatment Safeguard Risk Score]]&lt;=tblRiskRegister15[[#This Row],[Risk Score]],"Yes","No"),"No"),"Yes")</f>
        <v>No</v>
      </c>
      <c r="Z69" s="23"/>
      <c r="AA69" s="23"/>
      <c r="AB69" s="24"/>
    </row>
    <row r="70" spans="2:28" ht="42" x14ac:dyDescent="0.15">
      <c r="B70" s="19">
        <v>10.199999999999999</v>
      </c>
      <c r="C70" s="20" t="s">
        <v>88</v>
      </c>
      <c r="D70" s="16" t="s">
        <v>295</v>
      </c>
      <c r="E70" s="150" t="s">
        <v>108</v>
      </c>
      <c r="F70" s="22"/>
      <c r="G70" s="36">
        <f>IFERROR(VLOOKUP(tblRiskRegister15[[#This Row],[Asset Class]],tblVCDBIndex[],4,FALSE),"")</f>
        <v>4</v>
      </c>
      <c r="H70" s="36" t="str">
        <f>IFERROR(VLOOKUP(10*tblRiskRegister15[[#This Row],[Safeguard Maturity Score]]+tblRiskRegister15[[#This Row],[VCDB Index]],tblHITIndexWeightTable[],4,FALSE),"")</f>
        <v/>
      </c>
      <c r="I70" s="36">
        <f>VLOOKUP(tblRiskRegister15[[#This Row],[Asset Class]],tblImpactIndex17[],2,FALSE)</f>
        <v>0</v>
      </c>
      <c r="J70" s="36">
        <f>VLOOKUP(tblRiskRegister15[[#This Row],[Asset Class]],tblImpactIndex17[],3,FALSE)</f>
        <v>0</v>
      </c>
      <c r="K70" s="36">
        <f>VLOOKUP(tblRiskRegister15[[#This Row],[Asset Class]],tblImpactIndex17[],4,FALSE)</f>
        <v>0</v>
      </c>
      <c r="L70" s="36" t="str">
        <f>IFERROR(MAX(tblRiskRegister15[[#This Row],[Impact to Mission]:[Impact to Obligations]])*tblRiskRegister15[[#This Row],[Expectancy Score]],"")</f>
        <v/>
      </c>
      <c r="M70" s="36" t="str">
        <f>tblRiskRegister15[[#This Row],[Risk Score]]</f>
        <v/>
      </c>
      <c r="N70" s="31"/>
      <c r="O70" s="19">
        <v>10.199999999999999</v>
      </c>
      <c r="P70" s="20" t="s">
        <v>88</v>
      </c>
      <c r="Q70" s="20" t="s">
        <v>150</v>
      </c>
      <c r="R70" s="21"/>
      <c r="S70" s="22"/>
      <c r="T70" s="35" t="str">
        <f>IFERROR(VLOOKUP(10*tblRiskRegister15[[#This Row],[Risk Treatment Safeguard Maturity Score]]+tblRiskRegister15[[#This Row],[VCDB Index]],tblHITIndexWeightTable[],4,FALSE),"")</f>
        <v/>
      </c>
      <c r="U70" s="35">
        <f>VLOOKUP(tblRiskRegister15[[#This Row],[Asset Class]],tblImpactIndex17[],2,FALSE)</f>
        <v>0</v>
      </c>
      <c r="V70" s="35">
        <f>VLOOKUP(tblRiskRegister15[[#This Row],[Asset Class]],tblImpactIndex17[],3,FALSE)</f>
        <v>0</v>
      </c>
      <c r="W70" s="35">
        <f>VLOOKUP(tblRiskRegister15[[#This Row],[Asset Class]],tblImpactIndex17[],4,FALSE)</f>
        <v>0</v>
      </c>
      <c r="X70" s="35" t="str">
        <f>IFERROR(MAX(tblRiskRegister15[[#This Row],[Risk Treatment Safeguard Impact to Mission]:[Risk Treatment Safeguard Impact to Obligations]])*tblRiskRegister15[[#This Row],[Risk Treatment
Safeguard Expectancy Score]],"")</f>
        <v/>
      </c>
      <c r="Y70" s="35" t="str">
        <f>IF(tblRiskRegister15[[#This Row],[Risk Score]]&gt;5,IF(tblRiskRegister15[[#This Row],[Risk Treatment Safeguard Risk Score]]&lt;6, IF(tblRiskRegister15[[#This Row],[Risk Treatment Safeguard Risk Score]]&lt;=tblRiskRegister15[[#This Row],[Risk Score]],"Yes","No"),"No"),"Yes")</f>
        <v>No</v>
      </c>
      <c r="Z70" s="23"/>
      <c r="AA70" s="23"/>
      <c r="AB70" s="24"/>
    </row>
    <row r="71" spans="2:28" ht="42" x14ac:dyDescent="0.15">
      <c r="B71" s="19">
        <v>10.3</v>
      </c>
      <c r="C71" s="20" t="s">
        <v>89</v>
      </c>
      <c r="D71" s="16" t="s">
        <v>295</v>
      </c>
      <c r="E71" s="150" t="s">
        <v>108</v>
      </c>
      <c r="F71" s="22"/>
      <c r="G71" s="36">
        <f>IFERROR(VLOOKUP(tblRiskRegister15[[#This Row],[Asset Class]],tblVCDBIndex[],4,FALSE),"")</f>
        <v>4</v>
      </c>
      <c r="H71" s="36" t="str">
        <f>IFERROR(VLOOKUP(10*tblRiskRegister15[[#This Row],[Safeguard Maturity Score]]+tblRiskRegister15[[#This Row],[VCDB Index]],tblHITIndexWeightTable[],4,FALSE),"")</f>
        <v/>
      </c>
      <c r="I71" s="36">
        <f>VLOOKUP(tblRiskRegister15[[#This Row],[Asset Class]],tblImpactIndex17[],2,FALSE)</f>
        <v>0</v>
      </c>
      <c r="J71" s="36">
        <f>VLOOKUP(tblRiskRegister15[[#This Row],[Asset Class]],tblImpactIndex17[],3,FALSE)</f>
        <v>0</v>
      </c>
      <c r="K71" s="36">
        <f>VLOOKUP(tblRiskRegister15[[#This Row],[Asset Class]],tblImpactIndex17[],4,FALSE)</f>
        <v>0</v>
      </c>
      <c r="L71" s="36" t="str">
        <f>IFERROR(MAX(tblRiskRegister15[[#This Row],[Impact to Mission]:[Impact to Obligations]])*tblRiskRegister15[[#This Row],[Expectancy Score]],"")</f>
        <v/>
      </c>
      <c r="M71" s="36" t="str">
        <f>tblRiskRegister15[[#This Row],[Risk Score]]</f>
        <v/>
      </c>
      <c r="N71" s="31"/>
      <c r="O71" s="19">
        <v>10.3</v>
      </c>
      <c r="P71" s="20" t="s">
        <v>89</v>
      </c>
      <c r="Q71" s="20" t="s">
        <v>151</v>
      </c>
      <c r="R71" s="21"/>
      <c r="S71" s="22"/>
      <c r="T71" s="35" t="str">
        <f>IFERROR(VLOOKUP(10*tblRiskRegister15[[#This Row],[Risk Treatment Safeguard Maturity Score]]+tblRiskRegister15[[#This Row],[VCDB Index]],tblHITIndexWeightTable[],4,FALSE),"")</f>
        <v/>
      </c>
      <c r="U71" s="35">
        <f>VLOOKUP(tblRiskRegister15[[#This Row],[Asset Class]],tblImpactIndex17[],2,FALSE)</f>
        <v>0</v>
      </c>
      <c r="V71" s="35">
        <f>VLOOKUP(tblRiskRegister15[[#This Row],[Asset Class]],tblImpactIndex17[],3,FALSE)</f>
        <v>0</v>
      </c>
      <c r="W71" s="35">
        <f>VLOOKUP(tblRiskRegister15[[#This Row],[Asset Class]],tblImpactIndex17[],4,FALSE)</f>
        <v>0</v>
      </c>
      <c r="X71" s="35" t="str">
        <f>IFERROR(MAX(tblRiskRegister15[[#This Row],[Risk Treatment Safeguard Impact to Mission]:[Risk Treatment Safeguard Impact to Obligations]])*tblRiskRegister15[[#This Row],[Risk Treatment
Safeguard Expectancy Score]],"")</f>
        <v/>
      </c>
      <c r="Y71" s="35" t="str">
        <f>IF(tblRiskRegister15[[#This Row],[Risk Score]]&gt;5,IF(tblRiskRegister15[[#This Row],[Risk Treatment Safeguard Risk Score]]&lt;6, IF(tblRiskRegister15[[#This Row],[Risk Treatment Safeguard Risk Score]]&lt;=tblRiskRegister15[[#This Row],[Risk Score]],"Yes","No"),"No"),"Yes")</f>
        <v>No</v>
      </c>
      <c r="Z71" s="23"/>
      <c r="AA71" s="23"/>
      <c r="AB71" s="24"/>
    </row>
    <row r="72" spans="2:28" ht="56" x14ac:dyDescent="0.15">
      <c r="B72" s="19">
        <v>11.1</v>
      </c>
      <c r="C72" s="20" t="s">
        <v>90</v>
      </c>
      <c r="D72" s="148" t="s">
        <v>301</v>
      </c>
      <c r="E72" s="150" t="s">
        <v>302</v>
      </c>
      <c r="F72" s="22"/>
      <c r="G72" s="36">
        <f>IFERROR(VLOOKUP(tblRiskRegister15[[#This Row],[Asset Class]],tblVCDBIndex[],4,FALSE),"")</f>
        <v>2</v>
      </c>
      <c r="H72" s="36" t="str">
        <f>IFERROR(VLOOKUP(10*tblRiskRegister15[[#This Row],[Safeguard Maturity Score]]+tblRiskRegister15[[#This Row],[VCDB Index]],tblHITIndexWeightTable[],4,FALSE),"")</f>
        <v/>
      </c>
      <c r="I72" s="36">
        <f>VLOOKUP(tblRiskRegister15[[#This Row],[Asset Class]],tblImpactIndex17[],2,FALSE)</f>
        <v>0</v>
      </c>
      <c r="J72" s="36">
        <f>VLOOKUP(tblRiskRegister15[[#This Row],[Asset Class]],tblImpactIndex17[],3,FALSE)</f>
        <v>0</v>
      </c>
      <c r="K72" s="36">
        <f>VLOOKUP(tblRiskRegister15[[#This Row],[Asset Class]],tblImpactIndex17[],4,FALSE)</f>
        <v>0</v>
      </c>
      <c r="L72" s="36" t="str">
        <f>IFERROR(MAX(tblRiskRegister15[[#This Row],[Impact to Mission]:[Impact to Obligations]])*tblRiskRegister15[[#This Row],[Expectancy Score]],"")</f>
        <v/>
      </c>
      <c r="M72" s="36" t="str">
        <f>tblRiskRegister15[[#This Row],[Risk Score]]</f>
        <v/>
      </c>
      <c r="N72" s="31"/>
      <c r="O72" s="19">
        <v>11.1</v>
      </c>
      <c r="P72" s="20" t="s">
        <v>90</v>
      </c>
      <c r="Q72" s="20" t="s">
        <v>326</v>
      </c>
      <c r="R72" s="21"/>
      <c r="S72" s="22"/>
      <c r="T72" s="35" t="str">
        <f>IFERROR(VLOOKUP(10*tblRiskRegister15[[#This Row],[Risk Treatment Safeguard Maturity Score]]+tblRiskRegister15[[#This Row],[VCDB Index]],tblHITIndexWeightTable[],4,FALSE),"")</f>
        <v/>
      </c>
      <c r="U72" s="35">
        <f>VLOOKUP(tblRiskRegister15[[#This Row],[Asset Class]],tblImpactIndex17[],2,FALSE)</f>
        <v>0</v>
      </c>
      <c r="V72" s="35">
        <f>VLOOKUP(tblRiskRegister15[[#This Row],[Asset Class]],tblImpactIndex17[],3,FALSE)</f>
        <v>0</v>
      </c>
      <c r="W72" s="35">
        <f>VLOOKUP(tblRiskRegister15[[#This Row],[Asset Class]],tblImpactIndex17[],4,FALSE)</f>
        <v>0</v>
      </c>
      <c r="X72" s="35" t="str">
        <f>IFERROR(MAX(tblRiskRegister15[[#This Row],[Risk Treatment Safeguard Impact to Mission]:[Risk Treatment Safeguard Impact to Obligations]])*tblRiskRegister15[[#This Row],[Risk Treatment
Safeguard Expectancy Score]],"")</f>
        <v/>
      </c>
      <c r="Y72" s="35" t="str">
        <f>IF(tblRiskRegister15[[#This Row],[Risk Score]]&gt;5,IF(tblRiskRegister15[[#This Row],[Risk Treatment Safeguard Risk Score]]&lt;6, IF(tblRiskRegister15[[#This Row],[Risk Treatment Safeguard Risk Score]]&lt;=tblRiskRegister15[[#This Row],[Risk Score]],"Yes","No"),"No"),"Yes")</f>
        <v>No</v>
      </c>
      <c r="Z72" s="23"/>
      <c r="AA72" s="23"/>
      <c r="AB72" s="24"/>
    </row>
    <row r="73" spans="2:28" ht="28" x14ac:dyDescent="0.15">
      <c r="B73" s="19">
        <v>11.2</v>
      </c>
      <c r="C73" s="20" t="s">
        <v>91</v>
      </c>
      <c r="D73" s="149" t="s">
        <v>297</v>
      </c>
      <c r="E73" s="150" t="s">
        <v>107</v>
      </c>
      <c r="F73" s="22"/>
      <c r="G73" s="36">
        <f>IFERROR(VLOOKUP(tblRiskRegister15[[#This Row],[Asset Class]],tblVCDBIndex[],4,FALSE),"")</f>
        <v>2</v>
      </c>
      <c r="H73" s="36" t="str">
        <f>IFERROR(VLOOKUP(10*tblRiskRegister15[[#This Row],[Safeguard Maturity Score]]+tblRiskRegister15[[#This Row],[VCDB Index]],tblHITIndexWeightTable[],4,FALSE),"")</f>
        <v/>
      </c>
      <c r="I73" s="36">
        <f>VLOOKUP(tblRiskRegister15[[#This Row],[Asset Class]],tblImpactIndex17[],2,FALSE)</f>
        <v>0</v>
      </c>
      <c r="J73" s="36">
        <f>VLOOKUP(tblRiskRegister15[[#This Row],[Asset Class]],tblImpactIndex17[],3,FALSE)</f>
        <v>0</v>
      </c>
      <c r="K73" s="36">
        <f>VLOOKUP(tblRiskRegister15[[#This Row],[Asset Class]],tblImpactIndex17[],4,FALSE)</f>
        <v>0</v>
      </c>
      <c r="L73" s="36" t="str">
        <f>IFERROR(MAX(tblRiskRegister15[[#This Row],[Impact to Mission]:[Impact to Obligations]])*tblRiskRegister15[[#This Row],[Expectancy Score]],"")</f>
        <v/>
      </c>
      <c r="M73" s="36" t="str">
        <f>tblRiskRegister15[[#This Row],[Risk Score]]</f>
        <v/>
      </c>
      <c r="N73" s="31"/>
      <c r="O73" s="19">
        <v>11.2</v>
      </c>
      <c r="P73" s="20" t="s">
        <v>91</v>
      </c>
      <c r="Q73" s="20" t="s">
        <v>152</v>
      </c>
      <c r="R73" s="21"/>
      <c r="S73" s="22"/>
      <c r="T73" s="35" t="str">
        <f>IFERROR(VLOOKUP(10*tblRiskRegister15[[#This Row],[Risk Treatment Safeguard Maturity Score]]+tblRiskRegister15[[#This Row],[VCDB Index]],tblHITIndexWeightTable[],4,FALSE),"")</f>
        <v/>
      </c>
      <c r="U73" s="35">
        <f>VLOOKUP(tblRiskRegister15[[#This Row],[Asset Class]],tblImpactIndex17[],2,FALSE)</f>
        <v>0</v>
      </c>
      <c r="V73" s="35">
        <f>VLOOKUP(tblRiskRegister15[[#This Row],[Asset Class]],tblImpactIndex17[],3,FALSE)</f>
        <v>0</v>
      </c>
      <c r="W73" s="35">
        <f>VLOOKUP(tblRiskRegister15[[#This Row],[Asset Class]],tblImpactIndex17[],4,FALSE)</f>
        <v>0</v>
      </c>
      <c r="X73" s="35" t="str">
        <f>IFERROR(MAX(tblRiskRegister15[[#This Row],[Risk Treatment Safeguard Impact to Mission]:[Risk Treatment Safeguard Impact to Obligations]])*tblRiskRegister15[[#This Row],[Risk Treatment
Safeguard Expectancy Score]],"")</f>
        <v/>
      </c>
      <c r="Y73" s="35" t="str">
        <f>IF(tblRiskRegister15[[#This Row],[Risk Score]]&gt;5,IF(tblRiskRegister15[[#This Row],[Risk Treatment Safeguard Risk Score]]&lt;6, IF(tblRiskRegister15[[#This Row],[Risk Treatment Safeguard Risk Score]]&lt;=tblRiskRegister15[[#This Row],[Risk Score]],"Yes","No"),"No"),"Yes")</f>
        <v>No</v>
      </c>
      <c r="Z73" s="23"/>
      <c r="AA73" s="23"/>
      <c r="AB73" s="24"/>
    </row>
    <row r="74" spans="2:28" ht="28" x14ac:dyDescent="0.15">
      <c r="B74" s="19">
        <v>11.3</v>
      </c>
      <c r="C74" s="20" t="s">
        <v>92</v>
      </c>
      <c r="D74" s="16" t="s">
        <v>295</v>
      </c>
      <c r="E74" s="150" t="s">
        <v>107</v>
      </c>
      <c r="F74" s="22"/>
      <c r="G74" s="36">
        <f>IFERROR(VLOOKUP(tblRiskRegister15[[#This Row],[Asset Class]],tblVCDBIndex[],4,FALSE),"")</f>
        <v>2</v>
      </c>
      <c r="H74" s="36" t="str">
        <f>IFERROR(VLOOKUP(10*tblRiskRegister15[[#This Row],[Safeguard Maturity Score]]+tblRiskRegister15[[#This Row],[VCDB Index]],tblHITIndexWeightTable[],4,FALSE),"")</f>
        <v/>
      </c>
      <c r="I74" s="36">
        <f>VLOOKUP(tblRiskRegister15[[#This Row],[Asset Class]],tblImpactIndex17[],2,FALSE)</f>
        <v>0</v>
      </c>
      <c r="J74" s="36">
        <f>VLOOKUP(tblRiskRegister15[[#This Row],[Asset Class]],tblImpactIndex17[],3,FALSE)</f>
        <v>0</v>
      </c>
      <c r="K74" s="36">
        <f>VLOOKUP(tblRiskRegister15[[#This Row],[Asset Class]],tblImpactIndex17[],4,FALSE)</f>
        <v>0</v>
      </c>
      <c r="L74" s="36" t="str">
        <f>IFERROR(MAX(tblRiskRegister15[[#This Row],[Impact to Mission]:[Impact to Obligations]])*tblRiskRegister15[[#This Row],[Expectancy Score]],"")</f>
        <v/>
      </c>
      <c r="M74" s="36" t="str">
        <f>tblRiskRegister15[[#This Row],[Risk Score]]</f>
        <v/>
      </c>
      <c r="N74" s="31"/>
      <c r="O74" s="19">
        <v>11.3</v>
      </c>
      <c r="P74" s="20" t="s">
        <v>92</v>
      </c>
      <c r="Q74" s="20" t="s">
        <v>153</v>
      </c>
      <c r="R74" s="21"/>
      <c r="S74" s="22"/>
      <c r="T74" s="35" t="str">
        <f>IFERROR(VLOOKUP(10*tblRiskRegister15[[#This Row],[Risk Treatment Safeguard Maturity Score]]+tblRiskRegister15[[#This Row],[VCDB Index]],tblHITIndexWeightTable[],4,FALSE),"")</f>
        <v/>
      </c>
      <c r="U74" s="35">
        <f>VLOOKUP(tblRiskRegister15[[#This Row],[Asset Class]],tblImpactIndex17[],2,FALSE)</f>
        <v>0</v>
      </c>
      <c r="V74" s="35">
        <f>VLOOKUP(tblRiskRegister15[[#This Row],[Asset Class]],tblImpactIndex17[],3,FALSE)</f>
        <v>0</v>
      </c>
      <c r="W74" s="35">
        <f>VLOOKUP(tblRiskRegister15[[#This Row],[Asset Class]],tblImpactIndex17[],4,FALSE)</f>
        <v>0</v>
      </c>
      <c r="X74" s="35" t="str">
        <f>IFERROR(MAX(tblRiskRegister15[[#This Row],[Risk Treatment Safeguard Impact to Mission]:[Risk Treatment Safeguard Impact to Obligations]])*tblRiskRegister15[[#This Row],[Risk Treatment
Safeguard Expectancy Score]],"")</f>
        <v/>
      </c>
      <c r="Y74" s="35" t="str">
        <f>IF(tblRiskRegister15[[#This Row],[Risk Score]]&gt;5,IF(tblRiskRegister15[[#This Row],[Risk Treatment Safeguard Risk Score]]&lt;6, IF(tblRiskRegister15[[#This Row],[Risk Treatment Safeguard Risk Score]]&lt;=tblRiskRegister15[[#This Row],[Risk Score]],"Yes","No"),"No"),"Yes")</f>
        <v>No</v>
      </c>
      <c r="Z74" s="23"/>
      <c r="AA74" s="23"/>
      <c r="AB74" s="24"/>
    </row>
    <row r="75" spans="2:28" ht="42" x14ac:dyDescent="0.15">
      <c r="B75" s="19">
        <v>11.4</v>
      </c>
      <c r="C75" s="20" t="s">
        <v>93</v>
      </c>
      <c r="D75" s="149" t="s">
        <v>297</v>
      </c>
      <c r="E75" s="150" t="s">
        <v>107</v>
      </c>
      <c r="F75" s="22"/>
      <c r="G75" s="36">
        <f>IFERROR(VLOOKUP(tblRiskRegister15[[#This Row],[Asset Class]],tblVCDBIndex[],4,FALSE),"")</f>
        <v>2</v>
      </c>
      <c r="H75" s="36" t="str">
        <f>IFERROR(VLOOKUP(10*tblRiskRegister15[[#This Row],[Safeguard Maturity Score]]+tblRiskRegister15[[#This Row],[VCDB Index]],tblHITIndexWeightTable[],4,FALSE),"")</f>
        <v/>
      </c>
      <c r="I75" s="36">
        <f>VLOOKUP(tblRiskRegister15[[#This Row],[Asset Class]],tblImpactIndex17[],2,FALSE)</f>
        <v>0</v>
      </c>
      <c r="J75" s="36">
        <f>VLOOKUP(tblRiskRegister15[[#This Row],[Asset Class]],tblImpactIndex17[],3,FALSE)</f>
        <v>0</v>
      </c>
      <c r="K75" s="36">
        <f>VLOOKUP(tblRiskRegister15[[#This Row],[Asset Class]],tblImpactIndex17[],4,FALSE)</f>
        <v>0</v>
      </c>
      <c r="L75" s="36" t="str">
        <f>IFERROR(MAX(tblRiskRegister15[[#This Row],[Impact to Mission]:[Impact to Obligations]])*tblRiskRegister15[[#This Row],[Expectancy Score]],"")</f>
        <v/>
      </c>
      <c r="M75" s="36" t="str">
        <f>tblRiskRegister15[[#This Row],[Risk Score]]</f>
        <v/>
      </c>
      <c r="N75" s="31"/>
      <c r="O75" s="19">
        <v>11.4</v>
      </c>
      <c r="P75" s="20" t="s">
        <v>93</v>
      </c>
      <c r="Q75" s="20" t="s">
        <v>154</v>
      </c>
      <c r="R75" s="21"/>
      <c r="S75" s="22"/>
      <c r="T75" s="35" t="str">
        <f>IFERROR(VLOOKUP(10*tblRiskRegister15[[#This Row],[Risk Treatment Safeguard Maturity Score]]+tblRiskRegister15[[#This Row],[VCDB Index]],tblHITIndexWeightTable[],4,FALSE),"")</f>
        <v/>
      </c>
      <c r="U75" s="35">
        <f>VLOOKUP(tblRiskRegister15[[#This Row],[Asset Class]],tblImpactIndex17[],2,FALSE)</f>
        <v>0</v>
      </c>
      <c r="V75" s="35">
        <f>VLOOKUP(tblRiskRegister15[[#This Row],[Asset Class]],tblImpactIndex17[],3,FALSE)</f>
        <v>0</v>
      </c>
      <c r="W75" s="35">
        <f>VLOOKUP(tblRiskRegister15[[#This Row],[Asset Class]],tblImpactIndex17[],4,FALSE)</f>
        <v>0</v>
      </c>
      <c r="X75" s="35" t="str">
        <f>IFERROR(MAX(tblRiskRegister15[[#This Row],[Risk Treatment Safeguard Impact to Mission]:[Risk Treatment Safeguard Impact to Obligations]])*tblRiskRegister15[[#This Row],[Risk Treatment
Safeguard Expectancy Score]],"")</f>
        <v/>
      </c>
      <c r="Y75" s="35" t="str">
        <f>IF(tblRiskRegister15[[#This Row],[Risk Score]]&gt;5,IF(tblRiskRegister15[[#This Row],[Risk Treatment Safeguard Risk Score]]&lt;6, IF(tblRiskRegister15[[#This Row],[Risk Treatment Safeguard Risk Score]]&lt;=tblRiskRegister15[[#This Row],[Risk Score]],"Yes","No"),"No"),"Yes")</f>
        <v>No</v>
      </c>
      <c r="Z75" s="23"/>
      <c r="AA75" s="23"/>
      <c r="AB75" s="24"/>
    </row>
    <row r="76" spans="2:28" ht="56" x14ac:dyDescent="0.15">
      <c r="B76" s="19">
        <v>12.1</v>
      </c>
      <c r="C76" s="20" t="s">
        <v>94</v>
      </c>
      <c r="D76" s="16" t="s">
        <v>295</v>
      </c>
      <c r="E76" s="150" t="s">
        <v>109</v>
      </c>
      <c r="F76" s="22"/>
      <c r="G76" s="36">
        <f>IFERROR(VLOOKUP(tblRiskRegister15[[#This Row],[Asset Class]],tblVCDBIndex[],4,FALSE),"")</f>
        <v>1</v>
      </c>
      <c r="H76" s="36" t="str">
        <f>IFERROR(VLOOKUP(10*tblRiskRegister15[[#This Row],[Safeguard Maturity Score]]+tblRiskRegister15[[#This Row],[VCDB Index]],tblHITIndexWeightTable[],4,FALSE),"")</f>
        <v/>
      </c>
      <c r="I76" s="36">
        <f>VLOOKUP(tblRiskRegister15[[#This Row],[Asset Class]],tblImpactIndex17[],2,FALSE)</f>
        <v>0</v>
      </c>
      <c r="J76" s="36">
        <f>VLOOKUP(tblRiskRegister15[[#This Row],[Asset Class]],tblImpactIndex17[],3,FALSE)</f>
        <v>0</v>
      </c>
      <c r="K76" s="36">
        <f>VLOOKUP(tblRiskRegister15[[#This Row],[Asset Class]],tblImpactIndex17[],4,FALSE)</f>
        <v>0</v>
      </c>
      <c r="L76" s="36" t="str">
        <f>IFERROR(MAX(tblRiskRegister15[[#This Row],[Impact to Mission]:[Impact to Obligations]])*tblRiskRegister15[[#This Row],[Expectancy Score]],"")</f>
        <v/>
      </c>
      <c r="M76" s="36" t="str">
        <f>tblRiskRegister15[[#This Row],[Risk Score]]</f>
        <v/>
      </c>
      <c r="N76" s="31"/>
      <c r="O76" s="19">
        <v>12.1</v>
      </c>
      <c r="P76" s="20" t="s">
        <v>94</v>
      </c>
      <c r="Q76" s="20" t="s">
        <v>327</v>
      </c>
      <c r="R76" s="38"/>
      <c r="S76" s="22"/>
      <c r="T76" s="35" t="str">
        <f>IFERROR(VLOOKUP(10*tblRiskRegister15[[#This Row],[Risk Treatment Safeguard Maturity Score]]+tblRiskRegister15[[#This Row],[VCDB Index]],tblHITIndexWeightTable[],4,FALSE),"")</f>
        <v/>
      </c>
      <c r="U76" s="35">
        <f>VLOOKUP(tblRiskRegister15[[#This Row],[Asset Class]],tblImpactIndex17[],2,FALSE)</f>
        <v>0</v>
      </c>
      <c r="V76" s="35">
        <f>VLOOKUP(tblRiskRegister15[[#This Row],[Asset Class]],tblImpactIndex17[],3,FALSE)</f>
        <v>0</v>
      </c>
      <c r="W76" s="35">
        <f>VLOOKUP(tblRiskRegister15[[#This Row],[Asset Class]],tblImpactIndex17[],4,FALSE)</f>
        <v>0</v>
      </c>
      <c r="X76" s="35" t="str">
        <f>IFERROR(MAX(tblRiskRegister15[[#This Row],[Risk Treatment Safeguard Impact to Mission]:[Risk Treatment Safeguard Impact to Obligations]])*tblRiskRegister15[[#This Row],[Risk Treatment
Safeguard Expectancy Score]],"")</f>
        <v/>
      </c>
      <c r="Y76" s="35" t="str">
        <f>IF(tblRiskRegister15[[#This Row],[Risk Score]]&gt;5,IF(tblRiskRegister15[[#This Row],[Risk Treatment Safeguard Risk Score]]&lt;6, IF(tblRiskRegister15[[#This Row],[Risk Treatment Safeguard Risk Score]]&lt;=tblRiskRegister15[[#This Row],[Risk Score]],"Yes","No"),"No"),"Yes")</f>
        <v>No</v>
      </c>
      <c r="Z76" s="23"/>
      <c r="AA76" s="23"/>
      <c r="AB76" s="24"/>
    </row>
    <row r="77" spans="2:28" ht="70" x14ac:dyDescent="0.15">
      <c r="B77" s="19">
        <v>14.1</v>
      </c>
      <c r="C77" s="20" t="s">
        <v>95</v>
      </c>
      <c r="D77" s="148" t="s">
        <v>301</v>
      </c>
      <c r="E77" s="150" t="s">
        <v>302</v>
      </c>
      <c r="F77" s="22"/>
      <c r="G77" s="36">
        <f>IFERROR(VLOOKUP(tblRiskRegister15[[#This Row],[Asset Class]],tblVCDBIndex[],4,FALSE),"")</f>
        <v>2</v>
      </c>
      <c r="H77" s="36" t="str">
        <f>IFERROR(VLOOKUP(10*tblRiskRegister15[[#This Row],[Safeguard Maturity Score]]+tblRiskRegister15[[#This Row],[VCDB Index]],tblHITIndexWeightTable[],4,FALSE),"")</f>
        <v/>
      </c>
      <c r="I77" s="36">
        <f>VLOOKUP(tblRiskRegister15[[#This Row],[Asset Class]],tblImpactIndex17[],2,FALSE)</f>
        <v>0</v>
      </c>
      <c r="J77" s="36">
        <f>VLOOKUP(tblRiskRegister15[[#This Row],[Asset Class]],tblImpactIndex17[],3,FALSE)</f>
        <v>0</v>
      </c>
      <c r="K77" s="36">
        <f>VLOOKUP(tblRiskRegister15[[#This Row],[Asset Class]],tblImpactIndex17[],4,FALSE)</f>
        <v>0</v>
      </c>
      <c r="L77" s="36" t="str">
        <f>IFERROR(MAX(tblRiskRegister15[[#This Row],[Impact to Mission]:[Impact to Obligations]])*tblRiskRegister15[[#This Row],[Expectancy Score]],"")</f>
        <v/>
      </c>
      <c r="M77" s="36" t="str">
        <f>tblRiskRegister15[[#This Row],[Risk Score]]</f>
        <v/>
      </c>
      <c r="N77" s="31"/>
      <c r="O77" s="19">
        <v>14.1</v>
      </c>
      <c r="P77" s="20" t="s">
        <v>95</v>
      </c>
      <c r="Q77" s="20" t="s">
        <v>155</v>
      </c>
      <c r="R77" s="38"/>
      <c r="S77" s="22"/>
      <c r="T77" s="35" t="str">
        <f>IFERROR(VLOOKUP(10*tblRiskRegister15[[#This Row],[Risk Treatment Safeguard Maturity Score]]+tblRiskRegister15[[#This Row],[VCDB Index]],tblHITIndexWeightTable[],4,FALSE),"")</f>
        <v/>
      </c>
      <c r="U77" s="35">
        <f>VLOOKUP(tblRiskRegister15[[#This Row],[Asset Class]],tblImpactIndex17[],2,FALSE)</f>
        <v>0</v>
      </c>
      <c r="V77" s="35">
        <f>VLOOKUP(tblRiskRegister15[[#This Row],[Asset Class]],tblImpactIndex17[],3,FALSE)</f>
        <v>0</v>
      </c>
      <c r="W77" s="35">
        <f>VLOOKUP(tblRiskRegister15[[#This Row],[Asset Class]],tblImpactIndex17[],4,FALSE)</f>
        <v>0</v>
      </c>
      <c r="X77" s="35" t="str">
        <f>IFERROR(MAX(tblRiskRegister15[[#This Row],[Risk Treatment Safeguard Impact to Mission]:[Risk Treatment Safeguard Impact to Obligations]])*tblRiskRegister15[[#This Row],[Risk Treatment
Safeguard Expectancy Score]],"")</f>
        <v/>
      </c>
      <c r="Y77" s="35" t="str">
        <f>IF(tblRiskRegister15[[#This Row],[Risk Score]]&gt;5,IF(tblRiskRegister15[[#This Row],[Risk Treatment Safeguard Risk Score]]&lt;6, IF(tblRiskRegister15[[#This Row],[Risk Treatment Safeguard Risk Score]]&lt;=tblRiskRegister15[[#This Row],[Risk Score]],"Yes","No"),"No"),"Yes")</f>
        <v>No</v>
      </c>
      <c r="Z77" s="23"/>
      <c r="AA77" s="23"/>
      <c r="AB77" s="24"/>
    </row>
    <row r="78" spans="2:28" ht="56" x14ac:dyDescent="0.15">
      <c r="B78" s="19">
        <v>14.2</v>
      </c>
      <c r="C78" s="20" t="s">
        <v>96</v>
      </c>
      <c r="D78" s="16" t="s">
        <v>295</v>
      </c>
      <c r="E78" s="150" t="s">
        <v>110</v>
      </c>
      <c r="F78" s="22"/>
      <c r="G78" s="36">
        <f>IFERROR(VLOOKUP(tblRiskRegister15[[#This Row],[Asset Class]],tblVCDBIndex[],4,FALSE),"")</f>
        <v>2</v>
      </c>
      <c r="H78" s="36" t="str">
        <f>IFERROR(VLOOKUP(10*tblRiskRegister15[[#This Row],[Safeguard Maturity Score]]+tblRiskRegister15[[#This Row],[VCDB Index]],tblHITIndexWeightTable[],4,FALSE),"")</f>
        <v/>
      </c>
      <c r="I78" s="36">
        <f>VLOOKUP(tblRiskRegister15[[#This Row],[Asset Class]],tblImpactIndex17[],2,FALSE)</f>
        <v>0</v>
      </c>
      <c r="J78" s="36">
        <f>VLOOKUP(tblRiskRegister15[[#This Row],[Asset Class]],tblImpactIndex17[],3,FALSE)</f>
        <v>0</v>
      </c>
      <c r="K78" s="36">
        <f>VLOOKUP(tblRiskRegister15[[#This Row],[Asset Class]],tblImpactIndex17[],4,FALSE)</f>
        <v>0</v>
      </c>
      <c r="L78" s="36" t="str">
        <f>IFERROR(MAX(tblRiskRegister15[[#This Row],[Impact to Mission]:[Impact to Obligations]])*tblRiskRegister15[[#This Row],[Expectancy Score]],"")</f>
        <v/>
      </c>
      <c r="M78" s="36" t="str">
        <f>tblRiskRegister15[[#This Row],[Risk Score]]</f>
        <v/>
      </c>
      <c r="N78" s="31"/>
      <c r="O78" s="19">
        <v>14.2</v>
      </c>
      <c r="P78" s="20" t="s">
        <v>96</v>
      </c>
      <c r="Q78" s="20" t="s">
        <v>328</v>
      </c>
      <c r="R78" s="38"/>
      <c r="S78" s="22"/>
      <c r="T78" s="35" t="str">
        <f>IFERROR(VLOOKUP(10*tblRiskRegister15[[#This Row],[Risk Treatment Safeguard Maturity Score]]+tblRiskRegister15[[#This Row],[VCDB Index]],tblHITIndexWeightTable[],4,FALSE),"")</f>
        <v/>
      </c>
      <c r="U78" s="35">
        <f>VLOOKUP(tblRiskRegister15[[#This Row],[Asset Class]],tblImpactIndex17[],2,FALSE)</f>
        <v>0</v>
      </c>
      <c r="V78" s="35">
        <f>VLOOKUP(tblRiskRegister15[[#This Row],[Asset Class]],tblImpactIndex17[],3,FALSE)</f>
        <v>0</v>
      </c>
      <c r="W78" s="35">
        <f>VLOOKUP(tblRiskRegister15[[#This Row],[Asset Class]],tblImpactIndex17[],4,FALSE)</f>
        <v>0</v>
      </c>
      <c r="X78" s="35" t="str">
        <f>IFERROR(MAX(tblRiskRegister15[[#This Row],[Risk Treatment Safeguard Impact to Mission]:[Risk Treatment Safeguard Impact to Obligations]])*tblRiskRegister15[[#This Row],[Risk Treatment
Safeguard Expectancy Score]],"")</f>
        <v/>
      </c>
      <c r="Y78" s="35" t="str">
        <f>IF(tblRiskRegister15[[#This Row],[Risk Score]]&gt;5,IF(tblRiskRegister15[[#This Row],[Risk Treatment Safeguard Risk Score]]&lt;6, IF(tblRiskRegister15[[#This Row],[Risk Treatment Safeguard Risk Score]]&lt;=tblRiskRegister15[[#This Row],[Risk Score]],"Yes","No"),"No"),"Yes")</f>
        <v>No</v>
      </c>
      <c r="Z78" s="23"/>
      <c r="AA78" s="23"/>
      <c r="AB78" s="24"/>
    </row>
    <row r="79" spans="2:28" ht="56" x14ac:dyDescent="0.15">
      <c r="B79" s="19">
        <v>14.3</v>
      </c>
      <c r="C79" s="20" t="s">
        <v>97</v>
      </c>
      <c r="D79" s="16" t="s">
        <v>295</v>
      </c>
      <c r="E79" s="150" t="s">
        <v>110</v>
      </c>
      <c r="F79" s="22"/>
      <c r="G79" s="36">
        <f>IFERROR(VLOOKUP(tblRiskRegister15[[#This Row],[Asset Class]],tblVCDBIndex[],4,FALSE),"")</f>
        <v>2</v>
      </c>
      <c r="H79" s="36" t="str">
        <f>IFERROR(VLOOKUP(10*tblRiskRegister15[[#This Row],[Safeguard Maturity Score]]+tblRiskRegister15[[#This Row],[VCDB Index]],tblHITIndexWeightTable[],4,FALSE),"")</f>
        <v/>
      </c>
      <c r="I79" s="36">
        <f>VLOOKUP(tblRiskRegister15[[#This Row],[Asset Class]],tblImpactIndex17[],2,FALSE)</f>
        <v>0</v>
      </c>
      <c r="J79" s="36">
        <f>VLOOKUP(tblRiskRegister15[[#This Row],[Asset Class]],tblImpactIndex17[],3,FALSE)</f>
        <v>0</v>
      </c>
      <c r="K79" s="36">
        <f>VLOOKUP(tblRiskRegister15[[#This Row],[Asset Class]],tblImpactIndex17[],4,FALSE)</f>
        <v>0</v>
      </c>
      <c r="L79" s="36" t="str">
        <f>IFERROR(MAX(tblRiskRegister15[[#This Row],[Impact to Mission]:[Impact to Obligations]])*tblRiskRegister15[[#This Row],[Expectancy Score]],"")</f>
        <v/>
      </c>
      <c r="M79" s="36" t="str">
        <f>tblRiskRegister15[[#This Row],[Risk Score]]</f>
        <v/>
      </c>
      <c r="N79" s="31"/>
      <c r="O79" s="19">
        <v>14.3</v>
      </c>
      <c r="P79" s="20" t="s">
        <v>97</v>
      </c>
      <c r="Q79" s="20" t="s">
        <v>156</v>
      </c>
      <c r="R79" s="38"/>
      <c r="S79" s="22"/>
      <c r="T79" s="35" t="str">
        <f>IFERROR(VLOOKUP(10*tblRiskRegister15[[#This Row],[Risk Treatment Safeguard Maturity Score]]+tblRiskRegister15[[#This Row],[VCDB Index]],tblHITIndexWeightTable[],4,FALSE),"")</f>
        <v/>
      </c>
      <c r="U79" s="35">
        <f>VLOOKUP(tblRiskRegister15[[#This Row],[Asset Class]],tblImpactIndex17[],2,FALSE)</f>
        <v>0</v>
      </c>
      <c r="V79" s="35">
        <f>VLOOKUP(tblRiskRegister15[[#This Row],[Asset Class]],tblImpactIndex17[],3,FALSE)</f>
        <v>0</v>
      </c>
      <c r="W79" s="35">
        <f>VLOOKUP(tblRiskRegister15[[#This Row],[Asset Class]],tblImpactIndex17[],4,FALSE)</f>
        <v>0</v>
      </c>
      <c r="X79" s="35" t="str">
        <f>IFERROR(MAX(tblRiskRegister15[[#This Row],[Risk Treatment Safeguard Impact to Mission]:[Risk Treatment Safeguard Impact to Obligations]])*tblRiskRegister15[[#This Row],[Risk Treatment
Safeguard Expectancy Score]],"")</f>
        <v/>
      </c>
      <c r="Y79" s="35" t="str">
        <f>IF(tblRiskRegister15[[#This Row],[Risk Score]]&gt;5,IF(tblRiskRegister15[[#This Row],[Risk Treatment Safeguard Risk Score]]&lt;6, IF(tblRiskRegister15[[#This Row],[Risk Treatment Safeguard Risk Score]]&lt;=tblRiskRegister15[[#This Row],[Risk Score]],"Yes","No"),"No"),"Yes")</f>
        <v>No</v>
      </c>
      <c r="Z79" s="23"/>
      <c r="AA79" s="23"/>
      <c r="AB79" s="24"/>
    </row>
    <row r="80" spans="2:28" ht="70" x14ac:dyDescent="0.15">
      <c r="B80" s="19">
        <v>14.4</v>
      </c>
      <c r="C80" s="20" t="s">
        <v>98</v>
      </c>
      <c r="D80" s="16" t="s">
        <v>295</v>
      </c>
      <c r="E80" s="150" t="s">
        <v>110</v>
      </c>
      <c r="F80" s="22"/>
      <c r="G80" s="36">
        <f>IFERROR(VLOOKUP(tblRiskRegister15[[#This Row],[Asset Class]],tblVCDBIndex[],4,FALSE),"")</f>
        <v>2</v>
      </c>
      <c r="H80" s="36" t="str">
        <f>IFERROR(VLOOKUP(10*tblRiskRegister15[[#This Row],[Safeguard Maturity Score]]+tblRiskRegister15[[#This Row],[VCDB Index]],tblHITIndexWeightTable[],4,FALSE),"")</f>
        <v/>
      </c>
      <c r="I80" s="36">
        <f>VLOOKUP(tblRiskRegister15[[#This Row],[Asset Class]],tblImpactIndex17[],2,FALSE)</f>
        <v>0</v>
      </c>
      <c r="J80" s="36">
        <f>VLOOKUP(tblRiskRegister15[[#This Row],[Asset Class]],tblImpactIndex17[],3,FALSE)</f>
        <v>0</v>
      </c>
      <c r="K80" s="36">
        <f>VLOOKUP(tblRiskRegister15[[#This Row],[Asset Class]],tblImpactIndex17[],4,FALSE)</f>
        <v>0</v>
      </c>
      <c r="L80" s="36" t="str">
        <f>IFERROR(MAX(tblRiskRegister15[[#This Row],[Impact to Mission]:[Impact to Obligations]])*tblRiskRegister15[[#This Row],[Expectancy Score]],"")</f>
        <v/>
      </c>
      <c r="M80" s="36" t="str">
        <f>tblRiskRegister15[[#This Row],[Risk Score]]</f>
        <v/>
      </c>
      <c r="N80" s="31"/>
      <c r="O80" s="19">
        <v>14.4</v>
      </c>
      <c r="P80" s="20" t="s">
        <v>98</v>
      </c>
      <c r="Q80" s="20" t="s">
        <v>157</v>
      </c>
      <c r="R80" s="38"/>
      <c r="S80" s="22"/>
      <c r="T80" s="35" t="str">
        <f>IFERROR(VLOOKUP(10*tblRiskRegister15[[#This Row],[Risk Treatment Safeguard Maturity Score]]+tblRiskRegister15[[#This Row],[VCDB Index]],tblHITIndexWeightTable[],4,FALSE),"")</f>
        <v/>
      </c>
      <c r="U80" s="35">
        <f>VLOOKUP(tblRiskRegister15[[#This Row],[Asset Class]],tblImpactIndex17[],2,FALSE)</f>
        <v>0</v>
      </c>
      <c r="V80" s="35">
        <f>VLOOKUP(tblRiskRegister15[[#This Row],[Asset Class]],tblImpactIndex17[],3,FALSE)</f>
        <v>0</v>
      </c>
      <c r="W80" s="35">
        <f>VLOOKUP(tblRiskRegister15[[#This Row],[Asset Class]],tblImpactIndex17[],4,FALSE)</f>
        <v>0</v>
      </c>
      <c r="X80" s="35" t="str">
        <f>IFERROR(MAX(tblRiskRegister15[[#This Row],[Risk Treatment Safeguard Impact to Mission]:[Risk Treatment Safeguard Impact to Obligations]])*tblRiskRegister15[[#This Row],[Risk Treatment
Safeguard Expectancy Score]],"")</f>
        <v/>
      </c>
      <c r="Y80" s="35" t="str">
        <f>IF(tblRiskRegister15[[#This Row],[Risk Score]]&gt;5,IF(tblRiskRegister15[[#This Row],[Risk Treatment Safeguard Risk Score]]&lt;6, IF(tblRiskRegister15[[#This Row],[Risk Treatment Safeguard Risk Score]]&lt;=tblRiskRegister15[[#This Row],[Risk Score]],"Yes","No"),"No"),"Yes")</f>
        <v>No</v>
      </c>
      <c r="Z80" s="23"/>
      <c r="AA80" s="23"/>
      <c r="AB80" s="24"/>
    </row>
    <row r="81" spans="2:28" ht="56" x14ac:dyDescent="0.15">
      <c r="B81" s="19">
        <v>14.5</v>
      </c>
      <c r="C81" s="20" t="s">
        <v>99</v>
      </c>
      <c r="D81" s="16" t="s">
        <v>295</v>
      </c>
      <c r="E81" s="150" t="s">
        <v>110</v>
      </c>
      <c r="F81" s="22"/>
      <c r="G81" s="36">
        <f>IFERROR(VLOOKUP(tblRiskRegister15[[#This Row],[Asset Class]],tblVCDBIndex[],4,FALSE),"")</f>
        <v>2</v>
      </c>
      <c r="H81" s="36" t="str">
        <f>IFERROR(VLOOKUP(10*tblRiskRegister15[[#This Row],[Safeguard Maturity Score]]+tblRiskRegister15[[#This Row],[VCDB Index]],tblHITIndexWeightTable[],4,FALSE),"")</f>
        <v/>
      </c>
      <c r="I81" s="36">
        <f>VLOOKUP(tblRiskRegister15[[#This Row],[Asset Class]],tblImpactIndex17[],2,FALSE)</f>
        <v>0</v>
      </c>
      <c r="J81" s="36">
        <f>VLOOKUP(tblRiskRegister15[[#This Row],[Asset Class]],tblImpactIndex17[],3,FALSE)</f>
        <v>0</v>
      </c>
      <c r="K81" s="36">
        <f>VLOOKUP(tblRiskRegister15[[#This Row],[Asset Class]],tblImpactIndex17[],4,FALSE)</f>
        <v>0</v>
      </c>
      <c r="L81" s="36" t="str">
        <f>IFERROR(MAX(tblRiskRegister15[[#This Row],[Impact to Mission]:[Impact to Obligations]])*tblRiskRegister15[[#This Row],[Expectancy Score]],"")</f>
        <v/>
      </c>
      <c r="M81" s="36" t="str">
        <f>tblRiskRegister15[[#This Row],[Risk Score]]</f>
        <v/>
      </c>
      <c r="N81" s="31"/>
      <c r="O81" s="19">
        <v>14.5</v>
      </c>
      <c r="P81" s="20" t="s">
        <v>99</v>
      </c>
      <c r="Q81" s="20" t="s">
        <v>158</v>
      </c>
      <c r="R81" s="38"/>
      <c r="S81" s="22"/>
      <c r="T81" s="35" t="str">
        <f>IFERROR(VLOOKUP(10*tblRiskRegister15[[#This Row],[Risk Treatment Safeguard Maturity Score]]+tblRiskRegister15[[#This Row],[VCDB Index]],tblHITIndexWeightTable[],4,FALSE),"")</f>
        <v/>
      </c>
      <c r="U81" s="35">
        <f>VLOOKUP(tblRiskRegister15[[#This Row],[Asset Class]],tblImpactIndex17[],2,FALSE)</f>
        <v>0</v>
      </c>
      <c r="V81" s="35">
        <f>VLOOKUP(tblRiskRegister15[[#This Row],[Asset Class]],tblImpactIndex17[],3,FALSE)</f>
        <v>0</v>
      </c>
      <c r="W81" s="35">
        <f>VLOOKUP(tblRiskRegister15[[#This Row],[Asset Class]],tblImpactIndex17[],4,FALSE)</f>
        <v>0</v>
      </c>
      <c r="X81" s="35" t="str">
        <f>IFERROR(MAX(tblRiskRegister15[[#This Row],[Risk Treatment Safeguard Impact to Mission]:[Risk Treatment Safeguard Impact to Obligations]])*tblRiskRegister15[[#This Row],[Risk Treatment
Safeguard Expectancy Score]],"")</f>
        <v/>
      </c>
      <c r="Y81" s="35" t="str">
        <f>IF(tblRiskRegister15[[#This Row],[Risk Score]]&gt;5,IF(tblRiskRegister15[[#This Row],[Risk Treatment Safeguard Risk Score]]&lt;6, IF(tblRiskRegister15[[#This Row],[Risk Treatment Safeguard Risk Score]]&lt;=tblRiskRegister15[[#This Row],[Risk Score]],"Yes","No"),"No"),"Yes")</f>
        <v>No</v>
      </c>
      <c r="Z81" s="23"/>
      <c r="AA81" s="23"/>
      <c r="AB81" s="24"/>
    </row>
    <row r="82" spans="2:28" ht="70" x14ac:dyDescent="0.15">
      <c r="B82" s="19">
        <v>14.6</v>
      </c>
      <c r="C82" s="20" t="s">
        <v>100</v>
      </c>
      <c r="D82" s="16" t="s">
        <v>295</v>
      </c>
      <c r="E82" s="150" t="s">
        <v>110</v>
      </c>
      <c r="F82" s="22"/>
      <c r="G82" s="36">
        <f>IFERROR(VLOOKUP(tblRiskRegister15[[#This Row],[Asset Class]],tblVCDBIndex[],4,FALSE),"")</f>
        <v>2</v>
      </c>
      <c r="H82" s="36" t="str">
        <f>IFERROR(VLOOKUP(10*tblRiskRegister15[[#This Row],[Safeguard Maturity Score]]+tblRiskRegister15[[#This Row],[VCDB Index]],tblHITIndexWeightTable[],4,FALSE),"")</f>
        <v/>
      </c>
      <c r="I82" s="36">
        <f>VLOOKUP(tblRiskRegister15[[#This Row],[Asset Class]],tblImpactIndex17[],2,FALSE)</f>
        <v>0</v>
      </c>
      <c r="J82" s="36">
        <f>VLOOKUP(tblRiskRegister15[[#This Row],[Asset Class]],tblImpactIndex17[],3,FALSE)</f>
        <v>0</v>
      </c>
      <c r="K82" s="36">
        <f>VLOOKUP(tblRiskRegister15[[#This Row],[Asset Class]],tblImpactIndex17[],4,FALSE)</f>
        <v>0</v>
      </c>
      <c r="L82" s="36" t="str">
        <f>IFERROR(MAX(tblRiskRegister15[[#This Row],[Impact to Mission]:[Impact to Obligations]])*tblRiskRegister15[[#This Row],[Expectancy Score]],"")</f>
        <v/>
      </c>
      <c r="M82" s="36" t="str">
        <f>tblRiskRegister15[[#This Row],[Risk Score]]</f>
        <v/>
      </c>
      <c r="N82" s="31"/>
      <c r="O82" s="19">
        <v>14.6</v>
      </c>
      <c r="P82" s="20" t="s">
        <v>100</v>
      </c>
      <c r="Q82" s="20" t="s">
        <v>159</v>
      </c>
      <c r="R82" s="38"/>
      <c r="S82" s="22"/>
      <c r="T82" s="35" t="str">
        <f>IFERROR(VLOOKUP(10*tblRiskRegister15[[#This Row],[Risk Treatment Safeguard Maturity Score]]+tblRiskRegister15[[#This Row],[VCDB Index]],tblHITIndexWeightTable[],4,FALSE),"")</f>
        <v/>
      </c>
      <c r="U82" s="35">
        <f>VLOOKUP(tblRiskRegister15[[#This Row],[Asset Class]],tblImpactIndex17[],2,FALSE)</f>
        <v>0</v>
      </c>
      <c r="V82" s="35">
        <f>VLOOKUP(tblRiskRegister15[[#This Row],[Asset Class]],tblImpactIndex17[],3,FALSE)</f>
        <v>0</v>
      </c>
      <c r="W82" s="35">
        <f>VLOOKUP(tblRiskRegister15[[#This Row],[Asset Class]],tblImpactIndex17[],4,FALSE)</f>
        <v>0</v>
      </c>
      <c r="X82" s="35" t="str">
        <f>IFERROR(MAX(tblRiskRegister15[[#This Row],[Risk Treatment Safeguard Impact to Mission]:[Risk Treatment Safeguard Impact to Obligations]])*tblRiskRegister15[[#This Row],[Risk Treatment
Safeguard Expectancy Score]],"")</f>
        <v/>
      </c>
      <c r="Y82" s="35" t="str">
        <f>IF(tblRiskRegister15[[#This Row],[Risk Score]]&gt;5,IF(tblRiskRegister15[[#This Row],[Risk Treatment Safeguard Risk Score]]&lt;6, IF(tblRiskRegister15[[#This Row],[Risk Treatment Safeguard Risk Score]]&lt;=tblRiskRegister15[[#This Row],[Risk Score]],"Yes","No"),"No"),"Yes")</f>
        <v>No</v>
      </c>
      <c r="Z82" s="23"/>
      <c r="AA82" s="23"/>
      <c r="AB82" s="24"/>
    </row>
    <row r="83" spans="2:28" ht="70" x14ac:dyDescent="0.15">
      <c r="B83" s="19">
        <v>14.7</v>
      </c>
      <c r="C83" s="20" t="s">
        <v>101</v>
      </c>
      <c r="D83" s="16" t="s">
        <v>295</v>
      </c>
      <c r="E83" s="150" t="s">
        <v>110</v>
      </c>
      <c r="F83" s="22"/>
      <c r="G83" s="36">
        <f>IFERROR(VLOOKUP(tblRiskRegister15[[#This Row],[Asset Class]],tblVCDBIndex[],4,FALSE),"")</f>
        <v>2</v>
      </c>
      <c r="H83" s="36" t="str">
        <f>IFERROR(VLOOKUP(10*tblRiskRegister15[[#This Row],[Safeguard Maturity Score]]+tblRiskRegister15[[#This Row],[VCDB Index]],tblHITIndexWeightTable[],4,FALSE),"")</f>
        <v/>
      </c>
      <c r="I83" s="36">
        <f>VLOOKUP(tblRiskRegister15[[#This Row],[Asset Class]],tblImpactIndex17[],2,FALSE)</f>
        <v>0</v>
      </c>
      <c r="J83" s="36">
        <f>VLOOKUP(tblRiskRegister15[[#This Row],[Asset Class]],tblImpactIndex17[],3,FALSE)</f>
        <v>0</v>
      </c>
      <c r="K83" s="36">
        <f>VLOOKUP(tblRiskRegister15[[#This Row],[Asset Class]],tblImpactIndex17[],4,FALSE)</f>
        <v>0</v>
      </c>
      <c r="L83" s="36" t="str">
        <f>IFERROR(MAX(tblRiskRegister15[[#This Row],[Impact to Mission]:[Impact to Obligations]])*tblRiskRegister15[[#This Row],[Expectancy Score]],"")</f>
        <v/>
      </c>
      <c r="M83" s="36" t="str">
        <f>tblRiskRegister15[[#This Row],[Risk Score]]</f>
        <v/>
      </c>
      <c r="N83" s="31"/>
      <c r="O83" s="19">
        <v>14.7</v>
      </c>
      <c r="P83" s="20" t="s">
        <v>101</v>
      </c>
      <c r="Q83" s="20" t="s">
        <v>160</v>
      </c>
      <c r="R83" s="38"/>
      <c r="S83" s="22"/>
      <c r="T83" s="35" t="str">
        <f>IFERROR(VLOOKUP(10*tblRiskRegister15[[#This Row],[Risk Treatment Safeguard Maturity Score]]+tblRiskRegister15[[#This Row],[VCDB Index]],tblHITIndexWeightTable[],4,FALSE),"")</f>
        <v/>
      </c>
      <c r="U83" s="35">
        <f>VLOOKUP(tblRiskRegister15[[#This Row],[Asset Class]],tblImpactIndex17[],2,FALSE)</f>
        <v>0</v>
      </c>
      <c r="V83" s="35">
        <f>VLOOKUP(tblRiskRegister15[[#This Row],[Asset Class]],tblImpactIndex17[],3,FALSE)</f>
        <v>0</v>
      </c>
      <c r="W83" s="35">
        <f>VLOOKUP(tblRiskRegister15[[#This Row],[Asset Class]],tblImpactIndex17[],4,FALSE)</f>
        <v>0</v>
      </c>
      <c r="X83" s="35" t="str">
        <f>IFERROR(MAX(tblRiskRegister15[[#This Row],[Risk Treatment Safeguard Impact to Mission]:[Risk Treatment Safeguard Impact to Obligations]])*tblRiskRegister15[[#This Row],[Risk Treatment
Safeguard Expectancy Score]],"")</f>
        <v/>
      </c>
      <c r="Y83" s="35" t="str">
        <f>IF(tblRiskRegister15[[#This Row],[Risk Score]]&gt;5,IF(tblRiskRegister15[[#This Row],[Risk Treatment Safeguard Risk Score]]&lt;6, IF(tblRiskRegister15[[#This Row],[Risk Treatment Safeguard Risk Score]]&lt;=tblRiskRegister15[[#This Row],[Risk Score]],"Yes","No"),"No"),"Yes")</f>
        <v>No</v>
      </c>
      <c r="Z83" s="23"/>
      <c r="AA83" s="23"/>
      <c r="AB83" s="24"/>
    </row>
    <row r="84" spans="2:28" ht="70" x14ac:dyDescent="0.15">
      <c r="B84" s="19">
        <v>14.8</v>
      </c>
      <c r="C84" s="20" t="s">
        <v>102</v>
      </c>
      <c r="D84" s="16" t="s">
        <v>295</v>
      </c>
      <c r="E84" s="150" t="s">
        <v>110</v>
      </c>
      <c r="F84" s="22"/>
      <c r="G84" s="36">
        <f>IFERROR(VLOOKUP(tblRiskRegister15[[#This Row],[Asset Class]],tblVCDBIndex[],4,FALSE),"")</f>
        <v>2</v>
      </c>
      <c r="H84" s="36" t="str">
        <f>IFERROR(VLOOKUP(10*tblRiskRegister15[[#This Row],[Safeguard Maturity Score]]+tblRiskRegister15[[#This Row],[VCDB Index]],tblHITIndexWeightTable[],4,FALSE),"")</f>
        <v/>
      </c>
      <c r="I84" s="36">
        <f>VLOOKUP(tblRiskRegister15[[#This Row],[Asset Class]],tblImpactIndex17[],2,FALSE)</f>
        <v>0</v>
      </c>
      <c r="J84" s="36">
        <f>VLOOKUP(tblRiskRegister15[[#This Row],[Asset Class]],tblImpactIndex17[],3,FALSE)</f>
        <v>0</v>
      </c>
      <c r="K84" s="36">
        <f>VLOOKUP(tblRiskRegister15[[#This Row],[Asset Class]],tblImpactIndex17[],4,FALSE)</f>
        <v>0</v>
      </c>
      <c r="L84" s="36" t="str">
        <f>IFERROR(MAX(tblRiskRegister15[[#This Row],[Impact to Mission]:[Impact to Obligations]])*tblRiskRegister15[[#This Row],[Expectancy Score]],"")</f>
        <v/>
      </c>
      <c r="M84" s="36" t="str">
        <f>tblRiskRegister15[[#This Row],[Risk Score]]</f>
        <v/>
      </c>
      <c r="N84" s="31"/>
      <c r="O84" s="19">
        <v>14.8</v>
      </c>
      <c r="P84" s="20" t="s">
        <v>102</v>
      </c>
      <c r="Q84" s="20" t="s">
        <v>161</v>
      </c>
      <c r="R84" s="38"/>
      <c r="S84" s="22"/>
      <c r="T84" s="35" t="str">
        <f>IFERROR(VLOOKUP(10*tblRiskRegister15[[#This Row],[Risk Treatment Safeguard Maturity Score]]+tblRiskRegister15[[#This Row],[VCDB Index]],tblHITIndexWeightTable[],4,FALSE),"")</f>
        <v/>
      </c>
      <c r="U84" s="35">
        <f>VLOOKUP(tblRiskRegister15[[#This Row],[Asset Class]],tblImpactIndex17[],2,FALSE)</f>
        <v>0</v>
      </c>
      <c r="V84" s="35">
        <f>VLOOKUP(tblRiskRegister15[[#This Row],[Asset Class]],tblImpactIndex17[],3,FALSE)</f>
        <v>0</v>
      </c>
      <c r="W84" s="35">
        <f>VLOOKUP(tblRiskRegister15[[#This Row],[Asset Class]],tblImpactIndex17[],4,FALSE)</f>
        <v>0</v>
      </c>
      <c r="X84" s="35" t="str">
        <f>IFERROR(MAX(tblRiskRegister15[[#This Row],[Risk Treatment Safeguard Impact to Mission]:[Risk Treatment Safeguard Impact to Obligations]])*tblRiskRegister15[[#This Row],[Risk Treatment
Safeguard Expectancy Score]],"")</f>
        <v/>
      </c>
      <c r="Y84" s="35" t="str">
        <f>IF(tblRiskRegister15[[#This Row],[Risk Score]]&gt;5,IF(tblRiskRegister15[[#This Row],[Risk Treatment Safeguard Risk Score]]&lt;6, IF(tblRiskRegister15[[#This Row],[Risk Treatment Safeguard Risk Score]]&lt;=tblRiskRegister15[[#This Row],[Risk Score]],"Yes","No"),"No"),"Yes")</f>
        <v>No</v>
      </c>
      <c r="Z84" s="23"/>
      <c r="AA84" s="23"/>
      <c r="AB84" s="24"/>
    </row>
    <row r="85" spans="2:28" ht="56" x14ac:dyDescent="0.15">
      <c r="B85" s="19">
        <v>15.1</v>
      </c>
      <c r="C85" s="20" t="s">
        <v>103</v>
      </c>
      <c r="D85" s="16" t="s">
        <v>293</v>
      </c>
      <c r="E85" s="150" t="s">
        <v>110</v>
      </c>
      <c r="F85" s="22"/>
      <c r="G85" s="36">
        <f>IFERROR(VLOOKUP(tblRiskRegister15[[#This Row],[Asset Class]],tblVCDBIndex[],4,FALSE),"")</f>
        <v>2</v>
      </c>
      <c r="H85" s="36" t="str">
        <f>IFERROR(VLOOKUP(10*tblRiskRegister15[[#This Row],[Safeguard Maturity Score]]+tblRiskRegister15[[#This Row],[VCDB Index]],tblHITIndexWeightTable[],4,FALSE),"")</f>
        <v/>
      </c>
      <c r="I85" s="36">
        <f>VLOOKUP(tblRiskRegister15[[#This Row],[Asset Class]],tblImpactIndex17[],2,FALSE)</f>
        <v>0</v>
      </c>
      <c r="J85" s="36">
        <f>VLOOKUP(tblRiskRegister15[[#This Row],[Asset Class]],tblImpactIndex17[],3,FALSE)</f>
        <v>0</v>
      </c>
      <c r="K85" s="36">
        <f>VLOOKUP(tblRiskRegister15[[#This Row],[Asset Class]],tblImpactIndex17[],4,FALSE)</f>
        <v>0</v>
      </c>
      <c r="L85" s="36" t="str">
        <f>IFERROR(MAX(tblRiskRegister15[[#This Row],[Impact to Mission]:[Impact to Obligations]])*tblRiskRegister15[[#This Row],[Expectancy Score]],"")</f>
        <v/>
      </c>
      <c r="M85" s="36" t="str">
        <f>tblRiskRegister15[[#This Row],[Risk Score]]</f>
        <v/>
      </c>
      <c r="N85" s="31"/>
      <c r="O85" s="19">
        <v>15.1</v>
      </c>
      <c r="P85" s="20" t="s">
        <v>103</v>
      </c>
      <c r="Q85" s="20" t="s">
        <v>162</v>
      </c>
      <c r="R85" s="38"/>
      <c r="S85" s="22"/>
      <c r="T85" s="35" t="str">
        <f>IFERROR(VLOOKUP(10*tblRiskRegister15[[#This Row],[Risk Treatment Safeguard Maturity Score]]+tblRiskRegister15[[#This Row],[VCDB Index]],tblHITIndexWeightTable[],4,FALSE),"")</f>
        <v/>
      </c>
      <c r="U85" s="35">
        <f>VLOOKUP(tblRiskRegister15[[#This Row],[Asset Class]],tblImpactIndex17[],2,FALSE)</f>
        <v>0</v>
      </c>
      <c r="V85" s="35">
        <f>VLOOKUP(tblRiskRegister15[[#This Row],[Asset Class]],tblImpactIndex17[],3,FALSE)</f>
        <v>0</v>
      </c>
      <c r="W85" s="35">
        <f>VLOOKUP(tblRiskRegister15[[#This Row],[Asset Class]],tblImpactIndex17[],4,FALSE)</f>
        <v>0</v>
      </c>
      <c r="X85" s="35" t="str">
        <f>IFERROR(MAX(tblRiskRegister15[[#This Row],[Risk Treatment Safeguard Impact to Mission]:[Risk Treatment Safeguard Impact to Obligations]])*tblRiskRegister15[[#This Row],[Risk Treatment
Safeguard Expectancy Score]],"")</f>
        <v/>
      </c>
      <c r="Y85" s="35" t="str">
        <f>IF(tblRiskRegister15[[#This Row],[Risk Score]]&gt;5,IF(tblRiskRegister15[[#This Row],[Risk Treatment Safeguard Risk Score]]&lt;6, IF(tblRiskRegister15[[#This Row],[Risk Treatment Safeguard Risk Score]]&lt;=tblRiskRegister15[[#This Row],[Risk Score]],"Yes","No"),"No"),"Yes")</f>
        <v>No</v>
      </c>
      <c r="Z85" s="23"/>
      <c r="AA85" s="23"/>
      <c r="AB85" s="24"/>
    </row>
    <row r="86" spans="2:28" ht="98" x14ac:dyDescent="0.15">
      <c r="B86" s="19">
        <v>17.100000000000001</v>
      </c>
      <c r="C86" s="20" t="s">
        <v>104</v>
      </c>
      <c r="D86" s="16" t="s">
        <v>294</v>
      </c>
      <c r="E86" s="150" t="s">
        <v>110</v>
      </c>
      <c r="F86" s="22"/>
      <c r="G86" s="36">
        <f>IFERROR(VLOOKUP(tblRiskRegister15[[#This Row],[Asset Class]],tblVCDBIndex[],4,FALSE),"")</f>
        <v>2</v>
      </c>
      <c r="H86" s="36" t="str">
        <f>IFERROR(VLOOKUP(10*tblRiskRegister15[[#This Row],[Safeguard Maturity Score]]+tblRiskRegister15[[#This Row],[VCDB Index]],tblHITIndexWeightTable[],4,FALSE),"")</f>
        <v/>
      </c>
      <c r="I86" s="36">
        <f>VLOOKUP(tblRiskRegister15[[#This Row],[Asset Class]],tblImpactIndex17[],2,FALSE)</f>
        <v>0</v>
      </c>
      <c r="J86" s="36">
        <f>VLOOKUP(tblRiskRegister15[[#This Row],[Asset Class]],tblImpactIndex17[],3,FALSE)</f>
        <v>0</v>
      </c>
      <c r="K86" s="36">
        <f>VLOOKUP(tblRiskRegister15[[#This Row],[Asset Class]],tblImpactIndex17[],4,FALSE)</f>
        <v>0</v>
      </c>
      <c r="L86" s="36" t="str">
        <f>IFERROR(MAX(tblRiskRegister15[[#This Row],[Impact to Mission]:[Impact to Obligations]])*tblRiskRegister15[[#This Row],[Expectancy Score]],"")</f>
        <v/>
      </c>
      <c r="M86" s="36" t="str">
        <f>tblRiskRegister15[[#This Row],[Risk Score]]</f>
        <v/>
      </c>
      <c r="N86" s="31"/>
      <c r="O86" s="19">
        <v>17.100000000000001</v>
      </c>
      <c r="P86" s="20" t="s">
        <v>104</v>
      </c>
      <c r="Q86" s="20" t="s">
        <v>332</v>
      </c>
      <c r="R86" s="38"/>
      <c r="S86" s="22"/>
      <c r="T86" s="35" t="str">
        <f>IFERROR(VLOOKUP(10*tblRiskRegister15[[#This Row],[Risk Treatment Safeguard Maturity Score]]+tblRiskRegister15[[#This Row],[VCDB Index]],tblHITIndexWeightTable[],4,FALSE),"")</f>
        <v/>
      </c>
      <c r="U86" s="35">
        <f>VLOOKUP(tblRiskRegister15[[#This Row],[Asset Class]],tblImpactIndex17[],2,FALSE)</f>
        <v>0</v>
      </c>
      <c r="V86" s="35">
        <f>VLOOKUP(tblRiskRegister15[[#This Row],[Asset Class]],tblImpactIndex17[],3,FALSE)</f>
        <v>0</v>
      </c>
      <c r="W86" s="35">
        <f>VLOOKUP(tblRiskRegister15[[#This Row],[Asset Class]],tblImpactIndex17[],4,FALSE)</f>
        <v>0</v>
      </c>
      <c r="X86" s="35" t="str">
        <f>IFERROR(MAX(tblRiskRegister15[[#This Row],[Risk Treatment Safeguard Impact to Mission]:[Risk Treatment Safeguard Impact to Obligations]])*tblRiskRegister15[[#This Row],[Risk Treatment
Safeguard Expectancy Score]],"")</f>
        <v/>
      </c>
      <c r="Y86" s="35" t="str">
        <f>IF(tblRiskRegister15[[#This Row],[Risk Score]]&gt;5,IF(tblRiskRegister15[[#This Row],[Risk Treatment Safeguard Risk Score]]&lt;6, IF(tblRiskRegister15[[#This Row],[Risk Treatment Safeguard Risk Score]]&lt;=tblRiskRegister15[[#This Row],[Risk Score]],"Yes","No"),"No"),"Yes")</f>
        <v>No</v>
      </c>
      <c r="Z86" s="23"/>
      <c r="AA86" s="23"/>
      <c r="AB86" s="24"/>
    </row>
    <row r="87" spans="2:28" ht="70" x14ac:dyDescent="0.15">
      <c r="B87" s="19">
        <v>17.2</v>
      </c>
      <c r="C87" s="20" t="s">
        <v>105</v>
      </c>
      <c r="D87" s="148" t="s">
        <v>301</v>
      </c>
      <c r="E87" s="150" t="s">
        <v>302</v>
      </c>
      <c r="F87" s="22"/>
      <c r="G87" s="36">
        <f>IFERROR(VLOOKUP(tblRiskRegister15[[#This Row],[Asset Class]],tblVCDBIndex[],4,FALSE),"")</f>
        <v>2</v>
      </c>
      <c r="H87" s="36" t="str">
        <f>IFERROR(VLOOKUP(10*tblRiskRegister15[[#This Row],[Safeguard Maturity Score]]+tblRiskRegister15[[#This Row],[VCDB Index]],tblHITIndexWeightTable[],4,FALSE),"")</f>
        <v/>
      </c>
      <c r="I87" s="36">
        <f>VLOOKUP(tblRiskRegister15[[#This Row],[Asset Class]],tblImpactIndex17[],2,FALSE)</f>
        <v>0</v>
      </c>
      <c r="J87" s="36">
        <f>VLOOKUP(tblRiskRegister15[[#This Row],[Asset Class]],tblImpactIndex17[],3,FALSE)</f>
        <v>0</v>
      </c>
      <c r="K87" s="36">
        <f>VLOOKUP(tblRiskRegister15[[#This Row],[Asset Class]],tblImpactIndex17[],4,FALSE)</f>
        <v>0</v>
      </c>
      <c r="L87" s="36" t="str">
        <f>IFERROR(MAX(tblRiskRegister15[[#This Row],[Impact to Mission]:[Impact to Obligations]])*tblRiskRegister15[[#This Row],[Expectancy Score]],"")</f>
        <v/>
      </c>
      <c r="M87" s="36" t="str">
        <f>tblRiskRegister15[[#This Row],[Risk Score]]</f>
        <v/>
      </c>
      <c r="N87" s="31"/>
      <c r="O87" s="19">
        <v>17.2</v>
      </c>
      <c r="P87" s="20" t="s">
        <v>105</v>
      </c>
      <c r="Q87" s="20" t="s">
        <v>333</v>
      </c>
      <c r="R87" s="38"/>
      <c r="S87" s="22"/>
      <c r="T87" s="35" t="str">
        <f>IFERROR(VLOOKUP(10*tblRiskRegister15[[#This Row],[Risk Treatment Safeguard Maturity Score]]+tblRiskRegister15[[#This Row],[VCDB Index]],tblHITIndexWeightTable[],4,FALSE),"")</f>
        <v/>
      </c>
      <c r="U87" s="35">
        <f>VLOOKUP(tblRiskRegister15[[#This Row],[Asset Class]],tblImpactIndex17[],2,FALSE)</f>
        <v>0</v>
      </c>
      <c r="V87" s="35">
        <f>VLOOKUP(tblRiskRegister15[[#This Row],[Asset Class]],tblImpactIndex17[],3,FALSE)</f>
        <v>0</v>
      </c>
      <c r="W87" s="35">
        <f>VLOOKUP(tblRiskRegister15[[#This Row],[Asset Class]],tblImpactIndex17[],4,FALSE)</f>
        <v>0</v>
      </c>
      <c r="X87" s="35" t="str">
        <f>IFERROR(MAX(tblRiskRegister15[[#This Row],[Risk Treatment Safeguard Impact to Mission]:[Risk Treatment Safeguard Impact to Obligations]])*tblRiskRegister15[[#This Row],[Risk Treatment
Safeguard Expectancy Score]],"")</f>
        <v/>
      </c>
      <c r="Y87" s="35" t="str">
        <f>IF(tblRiskRegister15[[#This Row],[Risk Score]]&gt;5,IF(tblRiskRegister15[[#This Row],[Risk Treatment Safeguard Risk Score]]&lt;6, IF(tblRiskRegister15[[#This Row],[Risk Treatment Safeguard Risk Score]]&lt;=tblRiskRegister15[[#This Row],[Risk Score]],"Yes","No"),"No"),"Yes")</f>
        <v>No</v>
      </c>
      <c r="Z87" s="23"/>
      <c r="AA87" s="23"/>
      <c r="AB87" s="24"/>
    </row>
    <row r="88" spans="2:28" ht="70" x14ac:dyDescent="0.15">
      <c r="B88" s="19">
        <v>17.3</v>
      </c>
      <c r="C88" s="20" t="s">
        <v>106</v>
      </c>
      <c r="D88" s="148" t="s">
        <v>301</v>
      </c>
      <c r="E88" s="150" t="s">
        <v>302</v>
      </c>
      <c r="F88" s="22"/>
      <c r="G88" s="36">
        <f>IFERROR(VLOOKUP(tblRiskRegister15[[#This Row],[Asset Class]],tblVCDBIndex[],4,FALSE),"")</f>
        <v>2</v>
      </c>
      <c r="H88" s="36" t="str">
        <f>IFERROR(VLOOKUP(10*tblRiskRegister15[[#This Row],[Safeguard Maturity Score]]+tblRiskRegister15[[#This Row],[VCDB Index]],tblHITIndexWeightTable[],4,FALSE),"")</f>
        <v/>
      </c>
      <c r="I88" s="36">
        <f>VLOOKUP(tblRiskRegister15[[#This Row],[Asset Class]],tblImpactIndex17[],2,FALSE)</f>
        <v>0</v>
      </c>
      <c r="J88" s="36">
        <f>VLOOKUP(tblRiskRegister15[[#This Row],[Asset Class]],tblImpactIndex17[],3,FALSE)</f>
        <v>0</v>
      </c>
      <c r="K88" s="36">
        <f>VLOOKUP(tblRiskRegister15[[#This Row],[Asset Class]],tblImpactIndex17[],4,FALSE)</f>
        <v>0</v>
      </c>
      <c r="L88" s="36" t="str">
        <f>IFERROR(MAX(tblRiskRegister15[[#This Row],[Impact to Mission]:[Impact to Obligations]])*tblRiskRegister15[[#This Row],[Expectancy Score]],"")</f>
        <v/>
      </c>
      <c r="M88" s="36" t="str">
        <f>tblRiskRegister15[[#This Row],[Risk Score]]</f>
        <v/>
      </c>
      <c r="N88" s="31"/>
      <c r="O88" s="19">
        <v>17.3</v>
      </c>
      <c r="P88" s="20" t="s">
        <v>106</v>
      </c>
      <c r="Q88" s="20" t="s">
        <v>329</v>
      </c>
      <c r="R88" s="38"/>
      <c r="S88" s="22"/>
      <c r="T88" s="35" t="str">
        <f>IFERROR(VLOOKUP(10*tblRiskRegister15[[#This Row],[Risk Treatment Safeguard Maturity Score]]+tblRiskRegister15[[#This Row],[VCDB Index]],tblHITIndexWeightTable[],4,FALSE),"")</f>
        <v/>
      </c>
      <c r="U88" s="35">
        <f>VLOOKUP(tblRiskRegister15[[#This Row],[Asset Class]],tblImpactIndex17[],2,FALSE)</f>
        <v>0</v>
      </c>
      <c r="V88" s="35">
        <f>VLOOKUP(tblRiskRegister15[[#This Row],[Asset Class]],tblImpactIndex17[],3,FALSE)</f>
        <v>0</v>
      </c>
      <c r="W88" s="35">
        <f>VLOOKUP(tblRiskRegister15[[#This Row],[Asset Class]],tblImpactIndex17[],4,FALSE)</f>
        <v>0</v>
      </c>
      <c r="X88" s="35" t="str">
        <f>IFERROR(MAX(tblRiskRegister15[[#This Row],[Risk Treatment Safeguard Impact to Mission]:[Risk Treatment Safeguard Impact to Obligations]])*tblRiskRegister15[[#This Row],[Risk Treatment
Safeguard Expectancy Score]],"")</f>
        <v/>
      </c>
      <c r="Y88" s="35" t="str">
        <f>IF(tblRiskRegister15[[#This Row],[Risk Score]]&gt;5,IF(tblRiskRegister15[[#This Row],[Risk Treatment Safeguard Risk Score]]&lt;6, IF(tblRiskRegister15[[#This Row],[Risk Treatment Safeguard Risk Score]]&lt;=tblRiskRegister15[[#This Row],[Risk Score]],"Yes","No"),"No"),"Yes")</f>
        <v>No</v>
      </c>
      <c r="Z88" s="23"/>
      <c r="AA88" s="23"/>
      <c r="AB88" s="24"/>
    </row>
  </sheetData>
  <sheetProtection sheet="1" formatCells="0" formatColumns="0" formatRows="0" insertRows="0" sort="0" autoFilter="0" pivotTables="0"/>
  <protectedRanges>
    <protectedRange sqref="O33:O88" name="Range1"/>
    <protectedRange sqref="P33:Q88" name="Range1_1"/>
  </protectedRanges>
  <mergeCells count="13">
    <mergeCell ref="AD30:AF30"/>
    <mergeCell ref="H8:I14"/>
    <mergeCell ref="C18:E18"/>
    <mergeCell ref="H18:H26"/>
    <mergeCell ref="F20:G20"/>
    <mergeCell ref="F21:G26"/>
    <mergeCell ref="C30:M30"/>
    <mergeCell ref="O30:AB30"/>
    <mergeCell ref="B2:B4"/>
    <mergeCell ref="D2:E2"/>
    <mergeCell ref="D3:E3"/>
    <mergeCell ref="D4:E4"/>
    <mergeCell ref="C8:F8"/>
  </mergeCells>
  <conditionalFormatting sqref="D33:D88">
    <cfRule type="containsText" dxfId="10" priority="1" operator="containsText" text="Protect">
      <formula>NOT(ISERROR(SEARCH("Protect",D33)))</formula>
    </cfRule>
    <cfRule type="containsText" dxfId="9" priority="2" operator="containsText" text="Respond">
      <formula>NOT(ISERROR(SEARCH("Respond",D33)))</formula>
    </cfRule>
    <cfRule type="containsText" dxfId="8" priority="3" operator="containsText" text="Detect">
      <formula>NOT(ISERROR(SEARCH("Detect",D33)))</formula>
    </cfRule>
    <cfRule type="containsText" dxfId="7" priority="4" operator="containsText" text="Identify">
      <formula>NOT(ISERROR(SEARCH("Identify",D33)))</formula>
    </cfRule>
    <cfRule type="containsText" dxfId="6" priority="5" operator="containsText" text="Identity">
      <formula>NOT(ISERROR(SEARCH("Identity",D33)))</formula>
    </cfRule>
  </conditionalFormatting>
  <conditionalFormatting sqref="M33:N88">
    <cfRule type="iconSet" priority="111">
      <iconSet showValue="0" reverse="1">
        <cfvo type="percent" val="0"/>
        <cfvo type="num" val="6"/>
        <cfvo type="num" val="6" gte="0"/>
      </iconSet>
    </cfRule>
    <cfRule type="iconSet" priority="112">
      <iconSet showValue="0" reverse="1">
        <cfvo type="percent" val="0"/>
        <cfvo type="num" val="6"/>
        <cfvo type="num" val="15"/>
      </iconSet>
    </cfRule>
    <cfRule type="iconSet" priority="113">
      <iconSet>
        <cfvo type="percent" val="0"/>
        <cfvo type="percent" val="33"/>
        <cfvo type="percent" val="67"/>
      </iconSet>
    </cfRule>
  </conditionalFormatting>
  <dataValidations count="6">
    <dataValidation type="list" allowBlank="1" showInputMessage="1" showErrorMessage="1" sqref="N33:N88" xr:uid="{66691E44-9098-49FB-9672-D391D86426C6}">
      <formula1>"Accept,Reduce"</formula1>
    </dataValidation>
    <dataValidation type="list" allowBlank="1" showInputMessage="1" showErrorMessage="1" sqref="C21:E26" xr:uid="{655B2F17-6E47-4CE4-8A49-C57946E372B3}">
      <formula1>"1,2,3"</formula1>
    </dataValidation>
    <dataValidation type="list" allowBlank="1" showInputMessage="1" showErrorMessage="1" sqref="AA33:AA88" xr:uid="{49F104B6-797E-4793-B615-04CC6C8639AD}">
      <formula1>"Q1, Q2, Q3, Q4"</formula1>
    </dataValidation>
    <dataValidation type="list" allowBlank="1" showInputMessage="1" showErrorMessage="1" sqref="AB33:AB88" xr:uid="{53DFBD89-0FAA-4246-B145-791F8ADBDD6D}">
      <formula1>"2021,2022,2023,2024,2025,2026,2027,2028,2029,2030,2031"</formula1>
    </dataValidation>
    <dataValidation type="list" allowBlank="1" showInputMessage="1" showErrorMessage="1" sqref="F33:F88 S33:S88" xr:uid="{DC47D85D-F032-4312-8AB4-BA67ACC07831}">
      <formula1>Maturity_Score</formula1>
    </dataValidation>
    <dataValidation type="list" allowBlank="1" showInputMessage="1" showErrorMessage="1" sqref="E33:E88" xr:uid="{F15241B8-F5BE-41F2-A297-240A699CB8F5}">
      <formula1>Asset_Classes</formula1>
    </dataValidation>
  </dataValidations>
  <pageMargins left="0.7" right="0.7" top="0.75" bottom="0.75" header="0.3" footer="0.3"/>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5F3F-A89A-4D60-ADEC-3BEE502A1C3B}">
  <sheetPr codeName="Sheet5">
    <tabColor rgb="FF0070C0"/>
  </sheetPr>
  <dimension ref="B1:K39"/>
  <sheetViews>
    <sheetView showGridLines="0" workbookViewId="0">
      <selection activeCell="B2" sqref="B2:B7"/>
    </sheetView>
  </sheetViews>
  <sheetFormatPr baseColWidth="10" defaultColWidth="9.1640625" defaultRowHeight="13" x14ac:dyDescent="0.15"/>
  <cols>
    <col min="1" max="1" width="9.1640625" style="2"/>
    <col min="2" max="2" width="15.1640625" style="2" customWidth="1"/>
    <col min="3" max="3" width="28.6640625" style="109" customWidth="1"/>
    <col min="4" max="4" width="76.5" style="17" customWidth="1"/>
    <col min="5" max="5" width="9.1640625" style="2"/>
    <col min="6" max="6" width="20.5" style="2" bestFit="1" customWidth="1"/>
    <col min="7" max="10" width="31.5" style="2" customWidth="1"/>
    <col min="11" max="11" width="16.5" style="2" customWidth="1"/>
    <col min="12" max="16384" width="9.1640625" style="2"/>
  </cols>
  <sheetData>
    <row r="1" spans="2:11" ht="14" thickBot="1" x14ac:dyDescent="0.2"/>
    <row r="2" spans="2:11" ht="12.75" customHeight="1" x14ac:dyDescent="0.15">
      <c r="B2" s="208" t="s">
        <v>171</v>
      </c>
      <c r="C2" s="135" t="s">
        <v>177</v>
      </c>
      <c r="D2" s="136" t="s">
        <v>172</v>
      </c>
      <c r="F2" s="205" t="s">
        <v>21</v>
      </c>
      <c r="G2" s="206"/>
      <c r="H2" s="206"/>
      <c r="I2" s="206"/>
      <c r="J2" s="207"/>
    </row>
    <row r="3" spans="2:11" ht="28" x14ac:dyDescent="0.15">
      <c r="B3" s="209"/>
      <c r="C3" s="113"/>
      <c r="D3" s="137" t="s">
        <v>243</v>
      </c>
      <c r="F3" s="6" t="s">
        <v>5</v>
      </c>
      <c r="G3" s="7" t="s">
        <v>6</v>
      </c>
      <c r="H3" s="7" t="s">
        <v>112</v>
      </c>
      <c r="I3" s="37" t="s">
        <v>113</v>
      </c>
      <c r="J3" s="7" t="s">
        <v>25</v>
      </c>
    </row>
    <row r="4" spans="2:11" ht="28" x14ac:dyDescent="0.15">
      <c r="B4" s="209"/>
      <c r="C4" s="115"/>
      <c r="D4" s="137" t="s">
        <v>242</v>
      </c>
      <c r="F4" s="8" t="s">
        <v>4</v>
      </c>
      <c r="G4" s="41" t="s">
        <v>169</v>
      </c>
      <c r="H4" s="41" t="s">
        <v>169</v>
      </c>
      <c r="I4" s="33" t="s">
        <v>40</v>
      </c>
      <c r="J4" s="41" t="s">
        <v>169</v>
      </c>
    </row>
    <row r="5" spans="2:11" ht="12.75" customHeight="1" x14ac:dyDescent="0.15">
      <c r="B5" s="209"/>
      <c r="C5" s="114"/>
      <c r="D5" s="137" t="s">
        <v>173</v>
      </c>
      <c r="F5" s="9" t="s">
        <v>34</v>
      </c>
      <c r="G5" s="117" t="s">
        <v>29</v>
      </c>
      <c r="H5" s="117" t="s">
        <v>31</v>
      </c>
      <c r="I5" s="118" t="s">
        <v>170</v>
      </c>
      <c r="J5" s="117" t="s">
        <v>37</v>
      </c>
    </row>
    <row r="6" spans="2:11" ht="28" x14ac:dyDescent="0.15">
      <c r="B6" s="209"/>
      <c r="C6" s="116"/>
      <c r="D6" s="137" t="s">
        <v>174</v>
      </c>
      <c r="F6" s="9" t="s">
        <v>35</v>
      </c>
      <c r="G6" s="117" t="s">
        <v>30</v>
      </c>
      <c r="H6" s="117" t="s">
        <v>32</v>
      </c>
      <c r="I6" s="118" t="s">
        <v>170</v>
      </c>
      <c r="J6" s="117" t="s">
        <v>38</v>
      </c>
    </row>
    <row r="7" spans="2:11" ht="29" thickBot="1" x14ac:dyDescent="0.2">
      <c r="B7" s="210"/>
      <c r="C7" s="138"/>
      <c r="D7" s="139" t="s">
        <v>277</v>
      </c>
      <c r="F7" s="9" t="s">
        <v>36</v>
      </c>
      <c r="G7" s="117" t="s">
        <v>28</v>
      </c>
      <c r="H7" s="117" t="s">
        <v>33</v>
      </c>
      <c r="I7" s="119"/>
      <c r="J7" s="117" t="s">
        <v>39</v>
      </c>
    </row>
    <row r="8" spans="2:11" x14ac:dyDescent="0.15">
      <c r="C8" s="65"/>
    </row>
    <row r="9" spans="2:11" ht="15" thickBot="1" x14ac:dyDescent="0.2">
      <c r="C9" s="126" t="s">
        <v>240</v>
      </c>
      <c r="D9" s="126" t="s">
        <v>172</v>
      </c>
      <c r="F9" s="205" t="s">
        <v>42</v>
      </c>
      <c r="G9" s="206"/>
      <c r="H9" s="206"/>
      <c r="I9" s="207"/>
      <c r="J9" s="65"/>
    </row>
    <row r="10" spans="2:11" ht="12.75" customHeight="1" x14ac:dyDescent="0.15">
      <c r="B10" s="202" t="s">
        <v>166</v>
      </c>
      <c r="C10" s="127" t="s">
        <v>125</v>
      </c>
      <c r="D10" s="97" t="s">
        <v>244</v>
      </c>
      <c r="F10" s="6" t="s">
        <v>24</v>
      </c>
      <c r="G10" s="7" t="s">
        <v>19</v>
      </c>
      <c r="H10" s="7" t="s">
        <v>114</v>
      </c>
      <c r="I10" s="7" t="s">
        <v>20</v>
      </c>
      <c r="J10" s="65"/>
    </row>
    <row r="11" spans="2:11" ht="14" x14ac:dyDescent="0.15">
      <c r="B11" s="203"/>
      <c r="C11" s="122" t="s">
        <v>126</v>
      </c>
      <c r="D11" s="100" t="s">
        <v>245</v>
      </c>
      <c r="F11" s="9" t="s">
        <v>300</v>
      </c>
      <c r="G11" s="41" t="s">
        <v>169</v>
      </c>
      <c r="H11" s="41" t="s">
        <v>169</v>
      </c>
      <c r="I11" s="41" t="s">
        <v>169</v>
      </c>
      <c r="J11" s="65"/>
    </row>
    <row r="12" spans="2:11" ht="28" x14ac:dyDescent="0.15">
      <c r="B12" s="203"/>
      <c r="C12" s="122" t="s">
        <v>292</v>
      </c>
      <c r="D12" s="100" t="s">
        <v>298</v>
      </c>
      <c r="F12" s="9" t="s">
        <v>107</v>
      </c>
      <c r="G12" s="41" t="s">
        <v>169</v>
      </c>
      <c r="H12" s="41" t="s">
        <v>169</v>
      </c>
      <c r="I12" s="41" t="s">
        <v>169</v>
      </c>
      <c r="J12" s="65"/>
    </row>
    <row r="13" spans="2:11" ht="12.75" customHeight="1" x14ac:dyDescent="0.15">
      <c r="B13" s="203"/>
      <c r="C13" s="122" t="s">
        <v>24</v>
      </c>
      <c r="D13" s="100" t="s">
        <v>246</v>
      </c>
      <c r="F13" s="9" t="s">
        <v>108</v>
      </c>
      <c r="G13" s="41" t="s">
        <v>169</v>
      </c>
      <c r="H13" s="41" t="s">
        <v>169</v>
      </c>
      <c r="I13" s="41" t="s">
        <v>169</v>
      </c>
    </row>
    <row r="14" spans="2:11" ht="28" x14ac:dyDescent="0.15">
      <c r="B14" s="203"/>
      <c r="C14" s="123" t="s">
        <v>178</v>
      </c>
      <c r="D14" s="100" t="s">
        <v>266</v>
      </c>
      <c r="F14" s="9" t="s">
        <v>109</v>
      </c>
      <c r="G14" s="41" t="s">
        <v>169</v>
      </c>
      <c r="H14" s="41" t="s">
        <v>169</v>
      </c>
      <c r="I14" s="41" t="s">
        <v>169</v>
      </c>
    </row>
    <row r="15" spans="2:11" ht="28" x14ac:dyDescent="0.15">
      <c r="B15" s="203"/>
      <c r="C15" s="122" t="s">
        <v>22</v>
      </c>
      <c r="D15" s="100" t="s">
        <v>247</v>
      </c>
      <c r="F15" s="9" t="s">
        <v>110</v>
      </c>
      <c r="G15" s="41" t="s">
        <v>169</v>
      </c>
      <c r="H15" s="41" t="s">
        <v>169</v>
      </c>
      <c r="I15" s="41" t="s">
        <v>169</v>
      </c>
      <c r="K15" s="65"/>
    </row>
    <row r="16" spans="2:11" ht="28" x14ac:dyDescent="0.15">
      <c r="B16" s="203"/>
      <c r="C16" s="122" t="s">
        <v>268</v>
      </c>
      <c r="D16" s="100" t="s">
        <v>248</v>
      </c>
      <c r="F16" s="9" t="s">
        <v>302</v>
      </c>
      <c r="G16" s="41" t="s">
        <v>169</v>
      </c>
      <c r="H16" s="41" t="s">
        <v>169</v>
      </c>
      <c r="I16" s="41" t="s">
        <v>169</v>
      </c>
      <c r="K16" s="65"/>
    </row>
    <row r="17" spans="2:11" ht="12.75" customHeight="1" x14ac:dyDescent="0.15">
      <c r="B17" s="203"/>
      <c r="C17" s="122" t="s">
        <v>0</v>
      </c>
      <c r="D17" s="100" t="s">
        <v>249</v>
      </c>
      <c r="K17" s="65"/>
    </row>
    <row r="18" spans="2:11" ht="14" x14ac:dyDescent="0.15">
      <c r="B18" s="203"/>
      <c r="C18" s="122" t="s">
        <v>115</v>
      </c>
      <c r="D18" s="100" t="s">
        <v>250</v>
      </c>
      <c r="K18" s="65"/>
    </row>
    <row r="19" spans="2:11" ht="12.75" customHeight="1" x14ac:dyDescent="0.15">
      <c r="B19" s="203"/>
      <c r="C19" s="122" t="s">
        <v>1</v>
      </c>
      <c r="D19" s="100" t="s">
        <v>251</v>
      </c>
      <c r="K19" s="65"/>
    </row>
    <row r="20" spans="2:11" ht="13.5" customHeight="1" x14ac:dyDescent="0.15">
      <c r="B20" s="203"/>
      <c r="C20" s="122" t="s">
        <v>2</v>
      </c>
      <c r="D20" s="100" t="s">
        <v>290</v>
      </c>
      <c r="F20" s="211" t="s">
        <v>283</v>
      </c>
      <c r="G20" s="211"/>
      <c r="K20" s="65"/>
    </row>
    <row r="21" spans="2:11" ht="12.75" customHeight="1" thickBot="1" x14ac:dyDescent="0.2">
      <c r="B21" s="204"/>
      <c r="C21" s="128" t="s">
        <v>3</v>
      </c>
      <c r="D21" s="129" t="s">
        <v>252</v>
      </c>
      <c r="F21" s="140" t="s">
        <v>284</v>
      </c>
      <c r="G21" s="141" t="s">
        <v>285</v>
      </c>
      <c r="K21" s="65"/>
    </row>
    <row r="22" spans="2:11" ht="12.75" customHeight="1" x14ac:dyDescent="0.15">
      <c r="B22" s="202" t="s">
        <v>164</v>
      </c>
      <c r="C22" s="130" t="s">
        <v>182</v>
      </c>
      <c r="D22" s="97" t="s">
        <v>253</v>
      </c>
      <c r="F22" s="142" t="s">
        <v>286</v>
      </c>
      <c r="G22" s="117" t="s">
        <v>287</v>
      </c>
    </row>
    <row r="23" spans="2:11" ht="28" x14ac:dyDescent="0.15">
      <c r="B23" s="203"/>
      <c r="C23" s="124" t="s">
        <v>43</v>
      </c>
      <c r="D23" s="100" t="s">
        <v>244</v>
      </c>
      <c r="F23" s="143" t="s">
        <v>288</v>
      </c>
      <c r="G23" s="117" t="s">
        <v>289</v>
      </c>
    </row>
    <row r="24" spans="2:11" ht="14" x14ac:dyDescent="0.15">
      <c r="B24" s="203"/>
      <c r="C24" s="124" t="s">
        <v>167</v>
      </c>
      <c r="D24" s="100" t="s">
        <v>245</v>
      </c>
    </row>
    <row r="25" spans="2:11" ht="28" x14ac:dyDescent="0.15">
      <c r="B25" s="203"/>
      <c r="C25" s="124" t="s">
        <v>168</v>
      </c>
      <c r="D25" s="100" t="s">
        <v>254</v>
      </c>
    </row>
    <row r="26" spans="2:11" ht="14" x14ac:dyDescent="0.15">
      <c r="B26" s="203"/>
      <c r="C26" s="125" t="s">
        <v>127</v>
      </c>
      <c r="D26" s="100" t="s">
        <v>255</v>
      </c>
    </row>
    <row r="27" spans="2:11" ht="28" x14ac:dyDescent="0.15">
      <c r="B27" s="203"/>
      <c r="C27" s="123" t="s">
        <v>179</v>
      </c>
      <c r="D27" s="100" t="s">
        <v>267</v>
      </c>
    </row>
    <row r="28" spans="2:11" ht="28" x14ac:dyDescent="0.15">
      <c r="B28" s="203"/>
      <c r="C28" s="124" t="s">
        <v>281</v>
      </c>
      <c r="D28" s="100" t="s">
        <v>256</v>
      </c>
    </row>
    <row r="29" spans="2:11" ht="28" x14ac:dyDescent="0.15">
      <c r="B29" s="203"/>
      <c r="C29" s="124" t="s">
        <v>49</v>
      </c>
      <c r="D29" s="100" t="s">
        <v>249</v>
      </c>
    </row>
    <row r="30" spans="2:11" ht="28" x14ac:dyDescent="0.15">
      <c r="B30" s="203"/>
      <c r="C30" s="124" t="s">
        <v>116</v>
      </c>
      <c r="D30" s="100" t="s">
        <v>250</v>
      </c>
    </row>
    <row r="31" spans="2:11" ht="28" x14ac:dyDescent="0.15">
      <c r="B31" s="203"/>
      <c r="C31" s="124" t="s">
        <v>50</v>
      </c>
      <c r="D31" s="100" t="s">
        <v>251</v>
      </c>
    </row>
    <row r="32" spans="2:11" ht="12.75" customHeight="1" x14ac:dyDescent="0.15">
      <c r="B32" s="203"/>
      <c r="C32" s="124" t="s">
        <v>52</v>
      </c>
      <c r="D32" s="100" t="s">
        <v>291</v>
      </c>
    </row>
    <row r="33" spans="2:4" ht="12.75" customHeight="1" x14ac:dyDescent="0.15">
      <c r="B33" s="203"/>
      <c r="C33" s="124" t="s">
        <v>165</v>
      </c>
      <c r="D33" s="100" t="s">
        <v>257</v>
      </c>
    </row>
    <row r="34" spans="2:4" ht="12.75" customHeight="1" x14ac:dyDescent="0.15">
      <c r="B34" s="203"/>
      <c r="C34" s="125" t="s">
        <v>51</v>
      </c>
      <c r="D34" s="100" t="s">
        <v>258</v>
      </c>
    </row>
    <row r="35" spans="2:4" ht="13.5" customHeight="1" x14ac:dyDescent="0.15">
      <c r="B35" s="203"/>
      <c r="C35" s="125" t="s">
        <v>121</v>
      </c>
      <c r="D35" s="100" t="s">
        <v>259</v>
      </c>
    </row>
    <row r="36" spans="2:4" ht="13.5" customHeight="1" thickBot="1" x14ac:dyDescent="0.2">
      <c r="B36" s="204"/>
      <c r="C36" s="131" t="s">
        <v>44</v>
      </c>
      <c r="D36" s="129" t="s">
        <v>260</v>
      </c>
    </row>
    <row r="37" spans="2:4" ht="31.5" customHeight="1" x14ac:dyDescent="0.15">
      <c r="B37" s="202" t="s">
        <v>271</v>
      </c>
      <c r="C37" s="144" t="s">
        <v>117</v>
      </c>
      <c r="D37" s="132" t="s">
        <v>278</v>
      </c>
    </row>
    <row r="38" spans="2:4" ht="13.5" customHeight="1" x14ac:dyDescent="0.15">
      <c r="B38" s="203"/>
      <c r="C38" s="145" t="s">
        <v>45</v>
      </c>
      <c r="D38" s="133" t="s">
        <v>279</v>
      </c>
    </row>
    <row r="39" spans="2:4" ht="27" customHeight="1" thickBot="1" x14ac:dyDescent="0.2">
      <c r="B39" s="204"/>
      <c r="C39" s="146" t="s">
        <v>46</v>
      </c>
      <c r="D39" s="134" t="s">
        <v>280</v>
      </c>
    </row>
  </sheetData>
  <sheetProtection sheet="1" objects="1" scenarios="1"/>
  <mergeCells count="7">
    <mergeCell ref="B22:B36"/>
    <mergeCell ref="B37:B39"/>
    <mergeCell ref="F2:J2"/>
    <mergeCell ref="F9:I9"/>
    <mergeCell ref="B2:B7"/>
    <mergeCell ref="F20:G20"/>
    <mergeCell ref="B10:B21"/>
  </mergeCells>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100-E161-4811-8D8E-DF07EF73F8B4}">
  <sheetPr codeName="Sheet6">
    <tabColor rgb="FF0070C0"/>
  </sheetPr>
  <dimension ref="B2:E71"/>
  <sheetViews>
    <sheetView showGridLines="0" zoomScale="104" workbookViewId="0">
      <selection activeCell="B2" sqref="B2"/>
    </sheetView>
  </sheetViews>
  <sheetFormatPr baseColWidth="10" defaultColWidth="9.1640625" defaultRowHeight="13" x14ac:dyDescent="0.15"/>
  <cols>
    <col min="1" max="1" width="9.1640625" style="2"/>
    <col min="2" max="2" width="27.33203125" style="2" bestFit="1" customWidth="1"/>
    <col min="3" max="3" width="80.5" style="2" bestFit="1" customWidth="1"/>
    <col min="4" max="5" width="34.5" style="2" customWidth="1"/>
    <col min="6" max="6" width="15.5" style="2" bestFit="1" customWidth="1"/>
    <col min="7" max="7" width="17.5" style="2" bestFit="1" customWidth="1"/>
    <col min="8" max="8" width="18.5" style="2" bestFit="1" customWidth="1"/>
    <col min="9" max="16384" width="9.1640625" style="2"/>
  </cols>
  <sheetData>
    <row r="2" spans="2:5" ht="10.5" customHeight="1" x14ac:dyDescent="0.15">
      <c r="B2" s="26"/>
      <c r="C2" s="26"/>
      <c r="D2" s="26"/>
      <c r="E2" s="26"/>
    </row>
    <row r="4" spans="2:5" x14ac:dyDescent="0.15">
      <c r="B4" s="39" t="s">
        <v>181</v>
      </c>
      <c r="C4" s="40" t="s">
        <v>180</v>
      </c>
    </row>
    <row r="6" spans="2:5" x14ac:dyDescent="0.15">
      <c r="B6" s="13" t="s">
        <v>181</v>
      </c>
      <c r="C6" s="13" t="s">
        <v>4</v>
      </c>
    </row>
    <row r="7" spans="2:5" x14ac:dyDescent="0.15">
      <c r="B7" s="13">
        <v>1</v>
      </c>
      <c r="C7" s="14" t="s">
        <v>122</v>
      </c>
    </row>
    <row r="8" spans="2:5" x14ac:dyDescent="0.15">
      <c r="B8" s="13">
        <v>2</v>
      </c>
      <c r="C8" s="14" t="s">
        <v>123</v>
      </c>
    </row>
    <row r="9" spans="2:5" x14ac:dyDescent="0.15">
      <c r="B9" s="13">
        <v>3</v>
      </c>
      <c r="C9" s="14" t="s">
        <v>124</v>
      </c>
    </row>
    <row r="10" spans="2:5" x14ac:dyDescent="0.15">
      <c r="B10" s="13">
        <v>4</v>
      </c>
      <c r="C10" s="14" t="s">
        <v>183</v>
      </c>
    </row>
    <row r="11" spans="2:5" x14ac:dyDescent="0.15">
      <c r="B11" s="13">
        <v>5</v>
      </c>
      <c r="C11" s="14" t="s">
        <v>184</v>
      </c>
    </row>
    <row r="12" spans="2:5" x14ac:dyDescent="0.15">
      <c r="B12" s="13"/>
      <c r="C12" s="14"/>
    </row>
    <row r="13" spans="2:5" ht="10.5" customHeight="1" x14ac:dyDescent="0.15">
      <c r="B13" s="26"/>
      <c r="C13" s="26"/>
      <c r="D13" s="26"/>
      <c r="E13" s="26"/>
    </row>
    <row r="14" spans="2:5" x14ac:dyDescent="0.15">
      <c r="B14" s="13"/>
      <c r="C14" s="14"/>
    </row>
    <row r="15" spans="2:5" x14ac:dyDescent="0.15">
      <c r="B15" s="39" t="s">
        <v>282</v>
      </c>
      <c r="C15" s="40" t="s">
        <v>272</v>
      </c>
    </row>
    <row r="17" spans="2:5" x14ac:dyDescent="0.15">
      <c r="B17" s="13" t="s">
        <v>273</v>
      </c>
      <c r="C17" s="13" t="s">
        <v>274</v>
      </c>
    </row>
    <row r="18" spans="2:5" x14ac:dyDescent="0.15">
      <c r="B18" s="13">
        <v>1</v>
      </c>
      <c r="C18" s="14" t="s">
        <v>261</v>
      </c>
    </row>
    <row r="19" spans="2:5" x14ac:dyDescent="0.15">
      <c r="B19" s="13">
        <v>2</v>
      </c>
      <c r="C19" s="14" t="s">
        <v>53</v>
      </c>
    </row>
    <row r="20" spans="2:5" x14ac:dyDescent="0.15">
      <c r="B20" s="13">
        <v>3</v>
      </c>
      <c r="C20" s="14" t="s">
        <v>54</v>
      </c>
    </row>
    <row r="22" spans="2:5" ht="10.5" customHeight="1" x14ac:dyDescent="0.15">
      <c r="B22" s="26"/>
      <c r="C22" s="26"/>
      <c r="D22" s="26"/>
      <c r="E22" s="26"/>
    </row>
    <row r="24" spans="2:5" x14ac:dyDescent="0.15">
      <c r="B24" s="39" t="s">
        <v>9</v>
      </c>
      <c r="C24" s="40" t="s">
        <v>175</v>
      </c>
    </row>
    <row r="26" spans="2:5" ht="14" x14ac:dyDescent="0.15">
      <c r="B26" s="109" t="s">
        <v>7</v>
      </c>
      <c r="C26" s="109" t="s">
        <v>9</v>
      </c>
    </row>
    <row r="27" spans="2:5" ht="14" x14ac:dyDescent="0.15">
      <c r="B27" s="109" t="s">
        <v>8</v>
      </c>
      <c r="C27" s="10" t="s">
        <v>10</v>
      </c>
    </row>
    <row r="29" spans="2:5" ht="10.5" customHeight="1" x14ac:dyDescent="0.15">
      <c r="B29" s="26"/>
      <c r="C29" s="26"/>
      <c r="D29" s="26"/>
      <c r="E29" s="26"/>
    </row>
    <row r="31" spans="2:5" x14ac:dyDescent="0.15">
      <c r="B31" s="39" t="s">
        <v>22</v>
      </c>
      <c r="C31" s="40" t="s">
        <v>176</v>
      </c>
    </row>
    <row r="33" spans="2:5" x14ac:dyDescent="0.15">
      <c r="B33" s="27" t="s">
        <v>118</v>
      </c>
      <c r="C33" s="147">
        <v>10262</v>
      </c>
      <c r="D33" s="27" t="s">
        <v>119</v>
      </c>
      <c r="E33" s="30">
        <v>45365</v>
      </c>
    </row>
    <row r="34" spans="2:5" x14ac:dyDescent="0.15">
      <c r="B34" s="13" t="s">
        <v>24</v>
      </c>
      <c r="C34" s="13" t="s">
        <v>11</v>
      </c>
      <c r="D34" s="13" t="s">
        <v>12</v>
      </c>
      <c r="E34" s="13" t="s">
        <v>14</v>
      </c>
    </row>
    <row r="35" spans="2:5" ht="14" x14ac:dyDescent="0.15">
      <c r="B35" s="151" t="s">
        <v>108</v>
      </c>
      <c r="C35" s="109">
        <v>7628</v>
      </c>
      <c r="D35" s="28">
        <f>tblVCDBIndex[[#This Row],[Sum of Threat Count / Industry]]/$C$33</f>
        <v>0.74332488793607487</v>
      </c>
      <c r="E35" s="13">
        <f>IF(tblVCDBIndex[[#This Row],[Percentage]]&lt;0.2,1,IF(tblVCDBIndex[[#This Row],[Percentage]]&lt;0.4,2,IF(tblVCDBIndex[[#This Row],[Percentage]]&lt;0.6,3,IF(tblVCDBIndex[[#This Row],[Percentage]]&lt;0.8,4,5))))</f>
        <v>4</v>
      </c>
    </row>
    <row r="36" spans="2:5" ht="14" x14ac:dyDescent="0.15">
      <c r="B36" s="151" t="s">
        <v>300</v>
      </c>
      <c r="C36" s="109">
        <v>2549</v>
      </c>
      <c r="D36" s="28">
        <f>tblVCDBIndex[[#This Row],[Sum of Threat Count / Industry]]/$C$33</f>
        <v>0.2483921262911713</v>
      </c>
      <c r="E36" s="13">
        <f>IF(tblVCDBIndex[[#This Row],[Percentage]]&lt;0.2,1,IF(tblVCDBIndex[[#This Row],[Percentage]]&lt;0.4,2,IF(tblVCDBIndex[[#This Row],[Percentage]]&lt;0.6,3,IF(tblVCDBIndex[[#This Row],[Percentage]]&lt;0.8,4,5))))</f>
        <v>2</v>
      </c>
    </row>
    <row r="37" spans="2:5" ht="14" x14ac:dyDescent="0.15">
      <c r="B37" s="151" t="s">
        <v>107</v>
      </c>
      <c r="C37" s="109">
        <v>2357</v>
      </c>
      <c r="D37" s="28">
        <f>tblVCDBIndex[[#This Row],[Sum of Threat Count / Industry]]/$C$33</f>
        <v>0.22968232313389203</v>
      </c>
      <c r="E37" s="13">
        <f>IF(tblVCDBIndex[[#This Row],[Percentage]]&lt;0.2,1,IF(tblVCDBIndex[[#This Row],[Percentage]]&lt;0.4,2,IF(tblVCDBIndex[[#This Row],[Percentage]]&lt;0.6,3,IF(tblVCDBIndex[[#This Row],[Percentage]]&lt;0.8,4,5))))</f>
        <v>2</v>
      </c>
    </row>
    <row r="38" spans="2:5" ht="14" x14ac:dyDescent="0.15">
      <c r="B38" s="151" t="s">
        <v>110</v>
      </c>
      <c r="C38" s="109">
        <v>2263</v>
      </c>
      <c r="D38" s="28">
        <f>tblVCDBIndex[[#This Row],[Sum of Threat Count / Industry]]/$C$33</f>
        <v>0.22052231533814071</v>
      </c>
      <c r="E38" s="13">
        <f>IF(tblVCDBIndex[[#This Row],[Percentage]]&lt;0.2,1,IF(tblVCDBIndex[[#This Row],[Percentage]]&lt;0.4,2,IF(tblVCDBIndex[[#This Row],[Percentage]]&lt;0.6,3,IF(tblVCDBIndex[[#This Row],[Percentage]]&lt;0.8,4,5))))</f>
        <v>2</v>
      </c>
    </row>
    <row r="39" spans="2:5" ht="14" x14ac:dyDescent="0.15">
      <c r="B39" s="151" t="s">
        <v>109</v>
      </c>
      <c r="C39" s="109">
        <v>174</v>
      </c>
      <c r="D39" s="28">
        <f>tblVCDBIndex[[#This Row],[Sum of Threat Count / Industry]]/$C$33</f>
        <v>1.6955759111284351E-2</v>
      </c>
      <c r="E39" s="13">
        <f>IF(tblVCDBIndex[[#This Row],[Percentage]]&lt;0.2,1,IF(tblVCDBIndex[[#This Row],[Percentage]]&lt;0.4,2,IF(tblVCDBIndex[[#This Row],[Percentage]]&lt;0.6,3,IF(tblVCDBIndex[[#This Row],[Percentage]]&lt;0.8,4,5))))</f>
        <v>1</v>
      </c>
    </row>
    <row r="40" spans="2:5" ht="14" x14ac:dyDescent="0.15">
      <c r="B40" s="151" t="s">
        <v>302</v>
      </c>
      <c r="C40" s="109">
        <v>2357</v>
      </c>
      <c r="D40" s="28">
        <f>tblVCDBIndex[[#This Row],[Sum of Threat Count / Industry]]/$C$33</f>
        <v>0.22968232313389203</v>
      </c>
      <c r="E40" s="13">
        <f>IF(tblVCDBIndex[[#This Row],[Percentage]]&lt;0.2,1,IF(tblVCDBIndex[[#This Row],[Percentage]]&lt;0.4,2,IF(tblVCDBIndex[[#This Row],[Percentage]]&lt;0.6,3,IF(tblVCDBIndex[[#This Row],[Percentage]]&lt;0.8,4,5))))</f>
        <v>2</v>
      </c>
    </row>
    <row r="42" spans="2:5" x14ac:dyDescent="0.15">
      <c r="B42" s="26"/>
      <c r="C42" s="26"/>
      <c r="D42" s="26"/>
      <c r="E42" s="26"/>
    </row>
    <row r="44" spans="2:5" x14ac:dyDescent="0.15">
      <c r="B44" s="39" t="s">
        <v>23</v>
      </c>
      <c r="C44" s="40" t="s">
        <v>275</v>
      </c>
    </row>
    <row r="46" spans="2:5" ht="10.5" customHeight="1" x14ac:dyDescent="0.15">
      <c r="B46" s="13" t="s">
        <v>120</v>
      </c>
      <c r="C46" s="13" t="s">
        <v>13</v>
      </c>
      <c r="D46" s="13" t="s">
        <v>22</v>
      </c>
      <c r="E46" s="13" t="s">
        <v>276</v>
      </c>
    </row>
    <row r="47" spans="2:5" x14ac:dyDescent="0.15">
      <c r="B47" s="13">
        <v>51</v>
      </c>
      <c r="C47" s="13">
        <v>5</v>
      </c>
      <c r="D47" s="13">
        <v>1</v>
      </c>
      <c r="E47" s="13">
        <v>1</v>
      </c>
    </row>
    <row r="48" spans="2:5" x14ac:dyDescent="0.15">
      <c r="B48" s="13">
        <v>52</v>
      </c>
      <c r="C48" s="13">
        <v>5</v>
      </c>
      <c r="D48" s="13">
        <v>2</v>
      </c>
      <c r="E48" s="13">
        <v>1</v>
      </c>
    </row>
    <row r="49" spans="2:5" x14ac:dyDescent="0.15">
      <c r="B49" s="13">
        <v>53</v>
      </c>
      <c r="C49" s="13">
        <v>5</v>
      </c>
      <c r="D49" s="13">
        <v>3</v>
      </c>
      <c r="E49" s="13">
        <v>1</v>
      </c>
    </row>
    <row r="50" spans="2:5" x14ac:dyDescent="0.15">
      <c r="B50" s="13">
        <v>54</v>
      </c>
      <c r="C50" s="13">
        <v>5</v>
      </c>
      <c r="D50" s="13">
        <v>4</v>
      </c>
      <c r="E50" s="13">
        <v>1</v>
      </c>
    </row>
    <row r="51" spans="2:5" x14ac:dyDescent="0.15">
      <c r="B51" s="13">
        <v>55</v>
      </c>
      <c r="C51" s="13">
        <v>5</v>
      </c>
      <c r="D51" s="13">
        <v>5</v>
      </c>
      <c r="E51" s="13">
        <v>2</v>
      </c>
    </row>
    <row r="52" spans="2:5" x14ac:dyDescent="0.15">
      <c r="B52" s="13">
        <v>41</v>
      </c>
      <c r="C52" s="13">
        <v>4</v>
      </c>
      <c r="D52" s="13">
        <v>1</v>
      </c>
      <c r="E52" s="13">
        <v>1</v>
      </c>
    </row>
    <row r="53" spans="2:5" x14ac:dyDescent="0.15">
      <c r="B53" s="13">
        <v>42</v>
      </c>
      <c r="C53" s="13">
        <v>4</v>
      </c>
      <c r="D53" s="13">
        <v>2</v>
      </c>
      <c r="E53" s="13">
        <v>1</v>
      </c>
    </row>
    <row r="54" spans="2:5" x14ac:dyDescent="0.15">
      <c r="B54" s="13">
        <v>43</v>
      </c>
      <c r="C54" s="13">
        <v>4</v>
      </c>
      <c r="D54" s="13">
        <v>3</v>
      </c>
      <c r="E54" s="13">
        <v>2</v>
      </c>
    </row>
    <row r="55" spans="2:5" x14ac:dyDescent="0.15">
      <c r="B55" s="13">
        <v>44</v>
      </c>
      <c r="C55" s="13">
        <v>4</v>
      </c>
      <c r="D55" s="13">
        <v>4</v>
      </c>
      <c r="E55" s="13">
        <v>2</v>
      </c>
    </row>
    <row r="56" spans="2:5" x14ac:dyDescent="0.15">
      <c r="B56" s="13">
        <v>45</v>
      </c>
      <c r="C56" s="13">
        <v>4</v>
      </c>
      <c r="D56" s="13">
        <v>5</v>
      </c>
      <c r="E56" s="13">
        <v>2</v>
      </c>
    </row>
    <row r="57" spans="2:5" x14ac:dyDescent="0.15">
      <c r="B57" s="13">
        <v>31</v>
      </c>
      <c r="C57" s="13">
        <v>3</v>
      </c>
      <c r="D57" s="13">
        <v>1</v>
      </c>
      <c r="E57" s="13">
        <v>2</v>
      </c>
    </row>
    <row r="58" spans="2:5" x14ac:dyDescent="0.15">
      <c r="B58" s="13">
        <v>32</v>
      </c>
      <c r="C58" s="13">
        <v>3</v>
      </c>
      <c r="D58" s="13">
        <v>2</v>
      </c>
      <c r="E58" s="13">
        <v>2</v>
      </c>
    </row>
    <row r="59" spans="2:5" x14ac:dyDescent="0.15">
      <c r="B59" s="13">
        <v>33</v>
      </c>
      <c r="C59" s="13">
        <v>3</v>
      </c>
      <c r="D59" s="13">
        <v>3</v>
      </c>
      <c r="E59" s="13">
        <v>2</v>
      </c>
    </row>
    <row r="60" spans="2:5" x14ac:dyDescent="0.15">
      <c r="B60" s="13">
        <v>34</v>
      </c>
      <c r="C60" s="13">
        <v>3</v>
      </c>
      <c r="D60" s="13">
        <v>4</v>
      </c>
      <c r="E60" s="13">
        <v>3</v>
      </c>
    </row>
    <row r="61" spans="2:5" x14ac:dyDescent="0.15">
      <c r="B61" s="13">
        <v>35</v>
      </c>
      <c r="C61" s="13">
        <v>3</v>
      </c>
      <c r="D61" s="13">
        <v>5</v>
      </c>
      <c r="E61" s="13">
        <v>3</v>
      </c>
    </row>
    <row r="62" spans="2:5" x14ac:dyDescent="0.15">
      <c r="B62" s="13">
        <v>21</v>
      </c>
      <c r="C62" s="13">
        <v>2</v>
      </c>
      <c r="D62" s="13">
        <v>1</v>
      </c>
      <c r="E62" s="13">
        <v>2</v>
      </c>
    </row>
    <row r="63" spans="2:5" x14ac:dyDescent="0.15">
      <c r="B63" s="13">
        <v>22</v>
      </c>
      <c r="C63" s="13">
        <v>2</v>
      </c>
      <c r="D63" s="13">
        <v>2</v>
      </c>
      <c r="E63" s="13">
        <v>2</v>
      </c>
    </row>
    <row r="64" spans="2:5" x14ac:dyDescent="0.15">
      <c r="B64" s="13">
        <v>23</v>
      </c>
      <c r="C64" s="13">
        <v>2</v>
      </c>
      <c r="D64" s="13">
        <v>3</v>
      </c>
      <c r="E64" s="13">
        <v>2</v>
      </c>
    </row>
    <row r="65" spans="2:5" x14ac:dyDescent="0.15">
      <c r="B65" s="13">
        <v>24</v>
      </c>
      <c r="C65" s="13">
        <v>2</v>
      </c>
      <c r="D65" s="13">
        <v>4</v>
      </c>
      <c r="E65" s="13">
        <v>3</v>
      </c>
    </row>
    <row r="66" spans="2:5" x14ac:dyDescent="0.15">
      <c r="B66" s="13">
        <v>25</v>
      </c>
      <c r="C66" s="13">
        <v>2</v>
      </c>
      <c r="D66" s="13">
        <v>5</v>
      </c>
      <c r="E66" s="13">
        <v>3</v>
      </c>
    </row>
    <row r="67" spans="2:5" x14ac:dyDescent="0.15">
      <c r="B67" s="13">
        <v>11</v>
      </c>
      <c r="C67" s="13">
        <v>1</v>
      </c>
      <c r="D67" s="13">
        <v>1</v>
      </c>
      <c r="E67" s="13">
        <v>2</v>
      </c>
    </row>
    <row r="68" spans="2:5" x14ac:dyDescent="0.15">
      <c r="B68" s="13">
        <v>12</v>
      </c>
      <c r="C68" s="13">
        <v>1</v>
      </c>
      <c r="D68" s="13">
        <v>2</v>
      </c>
      <c r="E68" s="13">
        <v>3</v>
      </c>
    </row>
    <row r="69" spans="2:5" x14ac:dyDescent="0.15">
      <c r="B69" s="13">
        <v>13</v>
      </c>
      <c r="C69" s="13">
        <v>1</v>
      </c>
      <c r="D69" s="13">
        <v>3</v>
      </c>
      <c r="E69" s="13">
        <v>3</v>
      </c>
    </row>
    <row r="70" spans="2:5" x14ac:dyDescent="0.15">
      <c r="B70" s="13">
        <v>14</v>
      </c>
      <c r="C70" s="13">
        <v>1</v>
      </c>
      <c r="D70" s="13">
        <v>4</v>
      </c>
      <c r="E70" s="13">
        <v>3</v>
      </c>
    </row>
    <row r="71" spans="2:5" x14ac:dyDescent="0.15">
      <c r="B71" s="13">
        <v>15</v>
      </c>
      <c r="C71" s="13">
        <v>1</v>
      </c>
      <c r="D71" s="13">
        <v>5</v>
      </c>
      <c r="E71" s="13">
        <v>3</v>
      </c>
    </row>
  </sheetData>
  <sheetProtection sheet="1" objects="1" scenarios="1"/>
  <dataValidations count="1">
    <dataValidation type="list" allowBlank="1" showInputMessage="1" showErrorMessage="1" sqref="B36" xr:uid="{CCE1CFAB-0DAE-477F-9C0E-F143789B0272}">
      <formula1>Asset_Class</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2131-05C4-47FE-B3D6-3B7C12F8E9C4}">
  <sheetPr codeName="Sheet7">
    <tabColor rgb="FFA391F1"/>
  </sheetPr>
  <dimension ref="B1:P60"/>
  <sheetViews>
    <sheetView showGridLines="0" workbookViewId="0">
      <selection activeCell="B1" sqref="B1:E1"/>
    </sheetView>
  </sheetViews>
  <sheetFormatPr baseColWidth="10" defaultColWidth="9.1640625" defaultRowHeight="13" x14ac:dyDescent="0.15"/>
  <cols>
    <col min="1" max="1" width="5.33203125" style="66" customWidth="1"/>
    <col min="2" max="2" width="17.6640625" style="104" customWidth="1"/>
    <col min="3" max="4" width="15.6640625" style="68" customWidth="1"/>
    <col min="5" max="5" width="16.6640625" style="68" customWidth="1"/>
    <col min="6" max="6" width="9.1640625" style="66"/>
    <col min="7" max="7" width="97.1640625" style="67" customWidth="1"/>
    <col min="8" max="8" width="9.1640625" style="66"/>
    <col min="9" max="9" width="17.1640625" style="66" customWidth="1"/>
    <col min="10" max="10" width="72.5" style="66" customWidth="1"/>
    <col min="11" max="16384" width="9.1640625" style="66"/>
  </cols>
  <sheetData>
    <row r="1" spans="2:16" ht="57" customHeight="1" thickBot="1" x14ac:dyDescent="0.3">
      <c r="B1" s="217" t="s">
        <v>229</v>
      </c>
      <c r="C1" s="218"/>
      <c r="D1" s="218"/>
      <c r="E1" s="219"/>
      <c r="G1" s="168" t="s">
        <v>230</v>
      </c>
      <c r="H1" s="103"/>
      <c r="I1" s="212" t="s">
        <v>231</v>
      </c>
      <c r="J1" s="213"/>
      <c r="K1" s="103"/>
      <c r="L1" s="103"/>
      <c r="M1" s="103"/>
      <c r="N1" s="103"/>
      <c r="O1" s="103"/>
      <c r="P1" s="103"/>
    </row>
    <row r="2" spans="2:16" ht="16" thickBot="1" x14ac:dyDescent="0.2">
      <c r="G2" s="175" t="s">
        <v>337</v>
      </c>
    </row>
    <row r="3" spans="2:16" ht="26.25" customHeight="1" thickBot="1" x14ac:dyDescent="0.2">
      <c r="B3" s="214" t="s">
        <v>336</v>
      </c>
      <c r="C3" s="215"/>
      <c r="D3" s="215"/>
      <c r="E3" s="216"/>
      <c r="G3" s="173" t="s">
        <v>342</v>
      </c>
      <c r="I3" s="70" t="s">
        <v>181</v>
      </c>
      <c r="J3" s="70" t="s">
        <v>4</v>
      </c>
    </row>
    <row r="4" spans="2:16" ht="25.5" customHeight="1" thickTop="1" thickBot="1" x14ac:dyDescent="0.2">
      <c r="B4" s="80" t="s">
        <v>335</v>
      </c>
      <c r="C4" s="105" t="s">
        <v>187</v>
      </c>
      <c r="D4" s="105" t="s">
        <v>188</v>
      </c>
      <c r="E4" s="106" t="s">
        <v>228</v>
      </c>
      <c r="F4" s="81"/>
      <c r="G4" s="173" t="s">
        <v>343</v>
      </c>
      <c r="H4" s="67"/>
      <c r="I4" s="70">
        <v>1</v>
      </c>
      <c r="J4" s="72" t="s">
        <v>122</v>
      </c>
      <c r="K4" s="67"/>
      <c r="L4" s="67"/>
      <c r="M4" s="67"/>
      <c r="N4" s="67"/>
      <c r="O4" s="67"/>
      <c r="P4" s="67"/>
    </row>
    <row r="5" spans="2:16" s="81" customFormat="1" ht="16" thickTop="1" x14ac:dyDescent="0.15">
      <c r="B5" s="83">
        <v>1.1000000000000001</v>
      </c>
      <c r="C5" s="83"/>
      <c r="D5" s="43" t="str">
        <f>LEFT($C5, 1)</f>
        <v/>
      </c>
      <c r="E5" s="86" t="str">
        <f>D5</f>
        <v/>
      </c>
      <c r="F5" s="66"/>
      <c r="G5" s="173" t="s">
        <v>344</v>
      </c>
      <c r="H5" s="67"/>
      <c r="I5" s="70">
        <v>2</v>
      </c>
      <c r="J5" s="72" t="s">
        <v>123</v>
      </c>
      <c r="K5" s="67"/>
      <c r="L5" s="67"/>
      <c r="M5" s="67"/>
      <c r="N5" s="67"/>
      <c r="O5" s="67"/>
      <c r="P5" s="67"/>
    </row>
    <row r="6" spans="2:16" ht="15" x14ac:dyDescent="0.15">
      <c r="B6" s="87">
        <v>1.2</v>
      </c>
      <c r="C6" s="87"/>
      <c r="D6" s="44" t="str">
        <f t="shared" ref="D6:D60" si="0">LEFT($C6, 1)</f>
        <v/>
      </c>
      <c r="E6" s="88" t="str">
        <f t="shared" ref="E6:E60" si="1">D6</f>
        <v/>
      </c>
      <c r="G6" s="173" t="s">
        <v>345</v>
      </c>
      <c r="H6" s="67"/>
      <c r="I6" s="70">
        <v>3</v>
      </c>
      <c r="J6" s="72" t="s">
        <v>124</v>
      </c>
      <c r="K6" s="67"/>
      <c r="L6" s="67"/>
      <c r="M6" s="67"/>
      <c r="N6" s="67"/>
      <c r="O6" s="67"/>
      <c r="P6" s="67"/>
    </row>
    <row r="7" spans="2:16" ht="14" x14ac:dyDescent="0.15">
      <c r="B7" s="83">
        <v>2.1</v>
      </c>
      <c r="C7" s="83"/>
      <c r="D7" s="43" t="str">
        <f t="shared" si="0"/>
        <v/>
      </c>
      <c r="E7" s="84" t="str">
        <f t="shared" si="1"/>
        <v/>
      </c>
      <c r="G7" s="170"/>
      <c r="H7" s="67"/>
      <c r="I7" s="70">
        <v>4</v>
      </c>
      <c r="J7" s="72" t="s">
        <v>183</v>
      </c>
      <c r="K7" s="67"/>
      <c r="L7" s="67"/>
      <c r="M7" s="67"/>
      <c r="N7" s="67"/>
      <c r="O7" s="67"/>
      <c r="P7" s="67"/>
    </row>
    <row r="8" spans="2:16" ht="15" x14ac:dyDescent="0.15">
      <c r="B8" s="87">
        <v>2.2000000000000002</v>
      </c>
      <c r="C8" s="87"/>
      <c r="D8" s="44" t="str">
        <f t="shared" si="0"/>
        <v/>
      </c>
      <c r="E8" s="88" t="str">
        <f t="shared" si="1"/>
        <v/>
      </c>
      <c r="G8" s="169" t="s">
        <v>339</v>
      </c>
      <c r="H8" s="67"/>
      <c r="I8" s="70">
        <v>5</v>
      </c>
      <c r="J8" s="72" t="s">
        <v>184</v>
      </c>
      <c r="K8" s="67"/>
      <c r="L8" s="67"/>
      <c r="M8" s="67"/>
      <c r="N8" s="67"/>
      <c r="O8" s="67"/>
      <c r="P8" s="67"/>
    </row>
    <row r="9" spans="2:16" ht="30" x14ac:dyDescent="0.15">
      <c r="B9" s="83">
        <v>2.2999999999999998</v>
      </c>
      <c r="C9" s="83"/>
      <c r="D9" s="43" t="str">
        <f t="shared" si="0"/>
        <v/>
      </c>
      <c r="E9" s="84" t="str">
        <f>D9</f>
        <v/>
      </c>
      <c r="G9" s="174" t="s">
        <v>346</v>
      </c>
      <c r="H9" s="67"/>
      <c r="I9" s="67"/>
      <c r="J9" s="67"/>
      <c r="K9" s="67"/>
      <c r="L9" s="67"/>
      <c r="M9" s="67"/>
      <c r="N9" s="67"/>
      <c r="O9" s="67"/>
      <c r="P9" s="67"/>
    </row>
    <row r="10" spans="2:16" ht="15" x14ac:dyDescent="0.15">
      <c r="B10" s="87">
        <v>3.1</v>
      </c>
      <c r="C10" s="87"/>
      <c r="D10" s="44" t="str">
        <f t="shared" si="0"/>
        <v/>
      </c>
      <c r="E10" s="88" t="str">
        <f t="shared" si="1"/>
        <v/>
      </c>
      <c r="G10" s="172" t="s">
        <v>347</v>
      </c>
      <c r="H10" s="67"/>
      <c r="I10" s="171"/>
      <c r="J10" s="67"/>
      <c r="K10" s="67"/>
      <c r="L10" s="67"/>
      <c r="M10" s="67"/>
      <c r="N10" s="67"/>
      <c r="O10" s="67"/>
      <c r="P10" s="67"/>
    </row>
    <row r="11" spans="2:16" ht="15" x14ac:dyDescent="0.15">
      <c r="B11" s="83">
        <v>3.2</v>
      </c>
      <c r="C11" s="83"/>
      <c r="D11" s="43" t="str">
        <f t="shared" si="0"/>
        <v/>
      </c>
      <c r="E11" s="84" t="str">
        <f t="shared" si="1"/>
        <v/>
      </c>
      <c r="G11" s="172" t="s">
        <v>348</v>
      </c>
      <c r="H11" s="67"/>
      <c r="I11" s="67"/>
      <c r="J11" s="67"/>
      <c r="K11" s="67"/>
      <c r="L11" s="67"/>
      <c r="M11" s="67"/>
      <c r="N11" s="67"/>
      <c r="O11" s="67"/>
      <c r="P11" s="67"/>
    </row>
    <row r="12" spans="2:16" ht="14" x14ac:dyDescent="0.15">
      <c r="B12" s="87">
        <v>3.3</v>
      </c>
      <c r="C12" s="87"/>
      <c r="D12" s="44" t="str">
        <f t="shared" si="0"/>
        <v/>
      </c>
      <c r="E12" s="88" t="str">
        <f t="shared" si="1"/>
        <v/>
      </c>
      <c r="G12" s="170"/>
      <c r="H12" s="67"/>
      <c r="I12" s="67"/>
      <c r="J12" s="67"/>
      <c r="K12" s="67"/>
      <c r="L12" s="67"/>
      <c r="M12" s="67"/>
      <c r="N12" s="67"/>
      <c r="O12" s="67"/>
      <c r="P12" s="67"/>
    </row>
    <row r="13" spans="2:16" ht="30" x14ac:dyDescent="0.15">
      <c r="B13" s="83">
        <v>3.4</v>
      </c>
      <c r="C13" s="83"/>
      <c r="D13" s="43" t="str">
        <f t="shared" si="0"/>
        <v/>
      </c>
      <c r="E13" s="84" t="str">
        <f t="shared" si="1"/>
        <v/>
      </c>
      <c r="G13" s="169" t="s">
        <v>340</v>
      </c>
      <c r="H13" s="67"/>
      <c r="I13" s="67"/>
      <c r="J13" s="67"/>
      <c r="K13" s="67"/>
      <c r="L13" s="67"/>
      <c r="M13" s="67"/>
      <c r="N13" s="67"/>
      <c r="O13" s="67"/>
      <c r="P13" s="67"/>
    </row>
    <row r="14" spans="2:16" ht="16" thickBot="1" x14ac:dyDescent="0.2">
      <c r="B14" s="87">
        <v>3.5</v>
      </c>
      <c r="C14" s="87"/>
      <c r="D14" s="44" t="str">
        <f t="shared" si="0"/>
        <v/>
      </c>
      <c r="E14" s="88" t="str">
        <f t="shared" si="1"/>
        <v/>
      </c>
      <c r="G14" s="179" t="s">
        <v>349</v>
      </c>
      <c r="H14" s="67"/>
      <c r="I14" s="67"/>
      <c r="J14" s="67"/>
      <c r="K14" s="67"/>
      <c r="L14" s="67"/>
      <c r="M14" s="67"/>
      <c r="N14" s="67"/>
      <c r="O14" s="67"/>
      <c r="P14" s="67"/>
    </row>
    <row r="15" spans="2:16" ht="14" customHeight="1" x14ac:dyDescent="0.15">
      <c r="B15" s="83">
        <v>3.6</v>
      </c>
      <c r="C15" s="83"/>
      <c r="D15" s="43" t="str">
        <f t="shared" si="0"/>
        <v/>
      </c>
      <c r="E15" s="84" t="str">
        <f t="shared" si="1"/>
        <v/>
      </c>
      <c r="G15" s="220"/>
      <c r="H15" s="67"/>
      <c r="I15" s="67"/>
      <c r="J15" s="67"/>
      <c r="K15" s="67"/>
      <c r="L15" s="67"/>
      <c r="M15" s="67"/>
      <c r="N15" s="67"/>
      <c r="O15" s="67"/>
      <c r="P15" s="67"/>
    </row>
    <row r="16" spans="2:16" ht="14" customHeight="1" x14ac:dyDescent="0.15">
      <c r="B16" s="87">
        <v>4.0999999999999996</v>
      </c>
      <c r="C16" s="87"/>
      <c r="D16" s="44" t="str">
        <f t="shared" si="0"/>
        <v/>
      </c>
      <c r="E16" s="88" t="str">
        <f t="shared" si="1"/>
        <v/>
      </c>
      <c r="G16" s="221"/>
      <c r="H16" s="67"/>
      <c r="I16" s="67"/>
      <c r="J16" s="67"/>
      <c r="K16" s="67"/>
      <c r="L16" s="67"/>
      <c r="M16" s="67"/>
      <c r="N16" s="67"/>
      <c r="O16" s="67"/>
      <c r="P16" s="67"/>
    </row>
    <row r="17" spans="2:16" ht="14" customHeight="1" x14ac:dyDescent="0.15">
      <c r="B17" s="83">
        <v>4.2</v>
      </c>
      <c r="C17" s="83"/>
      <c r="D17" s="43" t="str">
        <f t="shared" si="0"/>
        <v/>
      </c>
      <c r="E17" s="84" t="str">
        <f t="shared" si="1"/>
        <v/>
      </c>
      <c r="G17" s="221"/>
      <c r="H17" s="67"/>
      <c r="I17" s="67"/>
      <c r="J17" s="67"/>
      <c r="K17" s="67"/>
      <c r="L17" s="67"/>
      <c r="M17" s="67"/>
      <c r="N17" s="67"/>
      <c r="O17" s="67"/>
      <c r="P17" s="67"/>
    </row>
    <row r="18" spans="2:16" ht="14" x14ac:dyDescent="0.15">
      <c r="B18" s="87">
        <v>4.3</v>
      </c>
      <c r="C18" s="87"/>
      <c r="D18" s="44" t="str">
        <f t="shared" si="0"/>
        <v/>
      </c>
      <c r="E18" s="88" t="str">
        <f t="shared" si="1"/>
        <v/>
      </c>
      <c r="H18" s="67"/>
      <c r="I18" s="67"/>
      <c r="J18" s="67"/>
      <c r="K18" s="67"/>
      <c r="L18" s="67"/>
      <c r="M18" s="67"/>
      <c r="N18" s="67"/>
      <c r="O18" s="67"/>
      <c r="P18" s="67"/>
    </row>
    <row r="19" spans="2:16" ht="14" x14ac:dyDescent="0.15">
      <c r="B19" s="83">
        <v>4.4000000000000004</v>
      </c>
      <c r="C19" s="83"/>
      <c r="D19" s="43" t="str">
        <f t="shared" si="0"/>
        <v/>
      </c>
      <c r="E19" s="84" t="str">
        <f t="shared" si="1"/>
        <v/>
      </c>
      <c r="H19" s="67"/>
      <c r="I19" s="67"/>
      <c r="J19" s="67"/>
      <c r="K19" s="67"/>
      <c r="L19" s="67"/>
      <c r="M19" s="67"/>
      <c r="N19" s="67"/>
      <c r="O19" s="67"/>
      <c r="P19" s="67"/>
    </row>
    <row r="20" spans="2:16" ht="14" x14ac:dyDescent="0.15">
      <c r="B20" s="87">
        <v>4.5</v>
      </c>
      <c r="C20" s="87"/>
      <c r="D20" s="44" t="str">
        <f t="shared" si="0"/>
        <v/>
      </c>
      <c r="E20" s="88" t="str">
        <f t="shared" si="1"/>
        <v/>
      </c>
      <c r="H20" s="67"/>
      <c r="I20" s="67"/>
      <c r="J20" s="67"/>
      <c r="K20" s="67"/>
      <c r="L20" s="67"/>
      <c r="M20" s="67"/>
      <c r="N20" s="67"/>
      <c r="O20" s="67"/>
      <c r="P20" s="67"/>
    </row>
    <row r="21" spans="2:16" ht="14" x14ac:dyDescent="0.15">
      <c r="B21" s="83">
        <v>4.5999999999999996</v>
      </c>
      <c r="C21" s="83"/>
      <c r="D21" s="43" t="str">
        <f t="shared" si="0"/>
        <v/>
      </c>
      <c r="E21" s="84" t="str">
        <f t="shared" si="1"/>
        <v/>
      </c>
    </row>
    <row r="22" spans="2:16" ht="14" x14ac:dyDescent="0.15">
      <c r="B22" s="87">
        <v>4.7</v>
      </c>
      <c r="C22" s="87"/>
      <c r="D22" s="44" t="str">
        <f t="shared" si="0"/>
        <v/>
      </c>
      <c r="E22" s="88" t="str">
        <f t="shared" si="1"/>
        <v/>
      </c>
    </row>
    <row r="23" spans="2:16" ht="14" x14ac:dyDescent="0.15">
      <c r="B23" s="83">
        <v>5.0999999999999996</v>
      </c>
      <c r="C23" s="83"/>
      <c r="D23" s="43" t="str">
        <f t="shared" si="0"/>
        <v/>
      </c>
      <c r="E23" s="84" t="str">
        <f t="shared" si="1"/>
        <v/>
      </c>
    </row>
    <row r="24" spans="2:16" ht="14" x14ac:dyDescent="0.15">
      <c r="B24" s="87">
        <v>5.2</v>
      </c>
      <c r="C24" s="87"/>
      <c r="D24" s="44" t="str">
        <f t="shared" si="0"/>
        <v/>
      </c>
      <c r="E24" s="88" t="str">
        <f t="shared" si="1"/>
        <v/>
      </c>
    </row>
    <row r="25" spans="2:16" ht="14" x14ac:dyDescent="0.15">
      <c r="B25" s="83">
        <v>5.3</v>
      </c>
      <c r="C25" s="83"/>
      <c r="D25" s="43" t="str">
        <f t="shared" si="0"/>
        <v/>
      </c>
      <c r="E25" s="84" t="str">
        <f t="shared" si="1"/>
        <v/>
      </c>
    </row>
    <row r="26" spans="2:16" ht="14" x14ac:dyDescent="0.15">
      <c r="B26" s="87">
        <v>5.4</v>
      </c>
      <c r="C26" s="87"/>
      <c r="D26" s="44" t="str">
        <f t="shared" si="0"/>
        <v/>
      </c>
      <c r="E26" s="88" t="str">
        <f t="shared" si="1"/>
        <v/>
      </c>
    </row>
    <row r="27" spans="2:16" ht="14" x14ac:dyDescent="0.15">
      <c r="B27" s="83">
        <v>6.1</v>
      </c>
      <c r="C27" s="83"/>
      <c r="D27" s="43" t="str">
        <f t="shared" si="0"/>
        <v/>
      </c>
      <c r="E27" s="84" t="str">
        <f t="shared" si="1"/>
        <v/>
      </c>
    </row>
    <row r="28" spans="2:16" ht="14" x14ac:dyDescent="0.15">
      <c r="B28" s="87">
        <v>6.2</v>
      </c>
      <c r="C28" s="87"/>
      <c r="D28" s="44" t="str">
        <f t="shared" si="0"/>
        <v/>
      </c>
      <c r="E28" s="88" t="str">
        <f t="shared" si="1"/>
        <v/>
      </c>
    </row>
    <row r="29" spans="2:16" ht="14" x14ac:dyDescent="0.15">
      <c r="B29" s="83">
        <v>6.3</v>
      </c>
      <c r="C29" s="83"/>
      <c r="D29" s="43" t="str">
        <f t="shared" si="0"/>
        <v/>
      </c>
      <c r="E29" s="84" t="str">
        <f t="shared" si="1"/>
        <v/>
      </c>
    </row>
    <row r="30" spans="2:16" ht="14" x14ac:dyDescent="0.15">
      <c r="B30" s="87">
        <v>6.4</v>
      </c>
      <c r="C30" s="87"/>
      <c r="D30" s="44" t="str">
        <f t="shared" si="0"/>
        <v/>
      </c>
      <c r="E30" s="88" t="str">
        <f t="shared" si="1"/>
        <v/>
      </c>
    </row>
    <row r="31" spans="2:16" ht="14" x14ac:dyDescent="0.15">
      <c r="B31" s="83">
        <v>6.5</v>
      </c>
      <c r="C31" s="83"/>
      <c r="D31" s="43" t="str">
        <f t="shared" si="0"/>
        <v/>
      </c>
      <c r="E31" s="84" t="str">
        <f t="shared" si="1"/>
        <v/>
      </c>
    </row>
    <row r="32" spans="2:16" ht="14" x14ac:dyDescent="0.15">
      <c r="B32" s="87">
        <v>7.1</v>
      </c>
      <c r="C32" s="87"/>
      <c r="D32" s="44" t="str">
        <f t="shared" si="0"/>
        <v/>
      </c>
      <c r="E32" s="88" t="str">
        <f t="shared" si="1"/>
        <v/>
      </c>
    </row>
    <row r="33" spans="2:5" ht="14" x14ac:dyDescent="0.15">
      <c r="B33" s="83">
        <v>7.2</v>
      </c>
      <c r="C33" s="83"/>
      <c r="D33" s="43" t="str">
        <f t="shared" si="0"/>
        <v/>
      </c>
      <c r="E33" s="84" t="str">
        <f t="shared" si="1"/>
        <v/>
      </c>
    </row>
    <row r="34" spans="2:5" ht="14" x14ac:dyDescent="0.15">
      <c r="B34" s="87">
        <v>7.3</v>
      </c>
      <c r="C34" s="87"/>
      <c r="D34" s="44" t="str">
        <f t="shared" si="0"/>
        <v/>
      </c>
      <c r="E34" s="88" t="str">
        <f t="shared" si="1"/>
        <v/>
      </c>
    </row>
    <row r="35" spans="2:5" ht="14" x14ac:dyDescent="0.15">
      <c r="B35" s="83">
        <v>7.4</v>
      </c>
      <c r="C35" s="83"/>
      <c r="D35" s="43" t="str">
        <f t="shared" si="0"/>
        <v/>
      </c>
      <c r="E35" s="84" t="str">
        <f t="shared" si="1"/>
        <v/>
      </c>
    </row>
    <row r="36" spans="2:5" ht="14" x14ac:dyDescent="0.15">
      <c r="B36" s="87">
        <v>8.1</v>
      </c>
      <c r="C36" s="87"/>
      <c r="D36" s="44" t="str">
        <f t="shared" si="0"/>
        <v/>
      </c>
      <c r="E36" s="88" t="str">
        <f t="shared" si="1"/>
        <v/>
      </c>
    </row>
    <row r="37" spans="2:5" ht="14" x14ac:dyDescent="0.15">
      <c r="B37" s="83">
        <v>8.1999999999999993</v>
      </c>
      <c r="C37" s="83"/>
      <c r="D37" s="43" t="str">
        <f t="shared" si="0"/>
        <v/>
      </c>
      <c r="E37" s="84" t="str">
        <f t="shared" si="1"/>
        <v/>
      </c>
    </row>
    <row r="38" spans="2:5" ht="14" x14ac:dyDescent="0.15">
      <c r="B38" s="87">
        <v>8.3000000000000007</v>
      </c>
      <c r="C38" s="87"/>
      <c r="D38" s="44" t="str">
        <f t="shared" si="0"/>
        <v/>
      </c>
      <c r="E38" s="88" t="str">
        <f t="shared" si="1"/>
        <v/>
      </c>
    </row>
    <row r="39" spans="2:5" ht="14" x14ac:dyDescent="0.15">
      <c r="B39" s="83">
        <v>9.1</v>
      </c>
      <c r="C39" s="83"/>
      <c r="D39" s="43" t="str">
        <f t="shared" si="0"/>
        <v/>
      </c>
      <c r="E39" s="84" t="str">
        <f t="shared" si="1"/>
        <v/>
      </c>
    </row>
    <row r="40" spans="2:5" ht="14" x14ac:dyDescent="0.15">
      <c r="B40" s="87">
        <v>9.1999999999999993</v>
      </c>
      <c r="C40" s="87"/>
      <c r="D40" s="44" t="str">
        <f t="shared" si="0"/>
        <v/>
      </c>
      <c r="E40" s="88" t="str">
        <f t="shared" si="1"/>
        <v/>
      </c>
    </row>
    <row r="41" spans="2:5" ht="14" x14ac:dyDescent="0.15">
      <c r="B41" s="83">
        <v>10.1</v>
      </c>
      <c r="C41" s="83"/>
      <c r="D41" s="43" t="str">
        <f t="shared" si="0"/>
        <v/>
      </c>
      <c r="E41" s="84" t="str">
        <f t="shared" si="1"/>
        <v/>
      </c>
    </row>
    <row r="42" spans="2:5" ht="14" x14ac:dyDescent="0.15">
      <c r="B42" s="87">
        <v>10.199999999999999</v>
      </c>
      <c r="C42" s="87"/>
      <c r="D42" s="44" t="str">
        <f t="shared" si="0"/>
        <v/>
      </c>
      <c r="E42" s="88" t="str">
        <f t="shared" si="1"/>
        <v/>
      </c>
    </row>
    <row r="43" spans="2:5" ht="14" x14ac:dyDescent="0.15">
      <c r="B43" s="83">
        <v>10.3</v>
      </c>
      <c r="C43" s="83"/>
      <c r="D43" s="43" t="str">
        <f t="shared" si="0"/>
        <v/>
      </c>
      <c r="E43" s="84" t="str">
        <f t="shared" si="1"/>
        <v/>
      </c>
    </row>
    <row r="44" spans="2:5" ht="14" x14ac:dyDescent="0.15">
      <c r="B44" s="87">
        <v>11.1</v>
      </c>
      <c r="C44" s="87"/>
      <c r="D44" s="44" t="str">
        <f t="shared" si="0"/>
        <v/>
      </c>
      <c r="E44" s="88" t="str">
        <f t="shared" si="1"/>
        <v/>
      </c>
    </row>
    <row r="45" spans="2:5" ht="14" x14ac:dyDescent="0.15">
      <c r="B45" s="83">
        <v>11.2</v>
      </c>
      <c r="C45" s="83"/>
      <c r="D45" s="43" t="str">
        <f t="shared" si="0"/>
        <v/>
      </c>
      <c r="E45" s="84" t="str">
        <f t="shared" si="1"/>
        <v/>
      </c>
    </row>
    <row r="46" spans="2:5" ht="14" x14ac:dyDescent="0.15">
      <c r="B46" s="87">
        <v>11.3</v>
      </c>
      <c r="C46" s="87"/>
      <c r="D46" s="44" t="str">
        <f t="shared" si="0"/>
        <v/>
      </c>
      <c r="E46" s="88" t="str">
        <f t="shared" si="1"/>
        <v/>
      </c>
    </row>
    <row r="47" spans="2:5" ht="14" x14ac:dyDescent="0.15">
      <c r="B47" s="83">
        <v>11.4</v>
      </c>
      <c r="C47" s="83"/>
      <c r="D47" s="43" t="str">
        <f t="shared" si="0"/>
        <v/>
      </c>
      <c r="E47" s="84" t="str">
        <f t="shared" si="1"/>
        <v/>
      </c>
    </row>
    <row r="48" spans="2:5" ht="14" x14ac:dyDescent="0.15">
      <c r="B48" s="87">
        <v>12.1</v>
      </c>
      <c r="C48" s="87"/>
      <c r="D48" s="44" t="str">
        <f t="shared" si="0"/>
        <v/>
      </c>
      <c r="E48" s="88" t="str">
        <f t="shared" si="1"/>
        <v/>
      </c>
    </row>
    <row r="49" spans="2:5" ht="14" x14ac:dyDescent="0.15">
      <c r="B49" s="83">
        <v>14.1</v>
      </c>
      <c r="C49" s="83"/>
      <c r="D49" s="43" t="str">
        <f t="shared" si="0"/>
        <v/>
      </c>
      <c r="E49" s="84" t="str">
        <f t="shared" si="1"/>
        <v/>
      </c>
    </row>
    <row r="50" spans="2:5" ht="14" x14ac:dyDescent="0.15">
      <c r="B50" s="87">
        <v>14.2</v>
      </c>
      <c r="C50" s="87"/>
      <c r="D50" s="44" t="str">
        <f t="shared" si="0"/>
        <v/>
      </c>
      <c r="E50" s="88" t="str">
        <f t="shared" si="1"/>
        <v/>
      </c>
    </row>
    <row r="51" spans="2:5" ht="14" x14ac:dyDescent="0.15">
      <c r="B51" s="83">
        <v>14.3</v>
      </c>
      <c r="C51" s="83"/>
      <c r="D51" s="43" t="str">
        <f t="shared" si="0"/>
        <v/>
      </c>
      <c r="E51" s="84" t="str">
        <f t="shared" si="1"/>
        <v/>
      </c>
    </row>
    <row r="52" spans="2:5" ht="14" x14ac:dyDescent="0.15">
      <c r="B52" s="87">
        <v>14.4</v>
      </c>
      <c r="C52" s="87"/>
      <c r="D52" s="44" t="str">
        <f t="shared" si="0"/>
        <v/>
      </c>
      <c r="E52" s="88" t="str">
        <f t="shared" si="1"/>
        <v/>
      </c>
    </row>
    <row r="53" spans="2:5" ht="14" x14ac:dyDescent="0.15">
      <c r="B53" s="83">
        <v>14.5</v>
      </c>
      <c r="C53" s="83"/>
      <c r="D53" s="43" t="str">
        <f t="shared" si="0"/>
        <v/>
      </c>
      <c r="E53" s="84" t="str">
        <f t="shared" si="1"/>
        <v/>
      </c>
    </row>
    <row r="54" spans="2:5" ht="14" x14ac:dyDescent="0.15">
      <c r="B54" s="87">
        <v>14.6</v>
      </c>
      <c r="C54" s="87"/>
      <c r="D54" s="44" t="str">
        <f t="shared" si="0"/>
        <v/>
      </c>
      <c r="E54" s="88" t="str">
        <f t="shared" si="1"/>
        <v/>
      </c>
    </row>
    <row r="55" spans="2:5" ht="14" x14ac:dyDescent="0.15">
      <c r="B55" s="83">
        <v>14.7</v>
      </c>
      <c r="C55" s="83"/>
      <c r="D55" s="43" t="str">
        <f t="shared" si="0"/>
        <v/>
      </c>
      <c r="E55" s="84" t="str">
        <f t="shared" si="1"/>
        <v/>
      </c>
    </row>
    <row r="56" spans="2:5" ht="14" x14ac:dyDescent="0.15">
      <c r="B56" s="87">
        <v>14.8</v>
      </c>
      <c r="C56" s="87"/>
      <c r="D56" s="44" t="str">
        <f t="shared" si="0"/>
        <v/>
      </c>
      <c r="E56" s="88" t="str">
        <f t="shared" si="1"/>
        <v/>
      </c>
    </row>
    <row r="57" spans="2:5" ht="14" x14ac:dyDescent="0.15">
      <c r="B57" s="83">
        <v>15.1</v>
      </c>
      <c r="C57" s="83"/>
      <c r="D57" s="43" t="str">
        <f t="shared" si="0"/>
        <v/>
      </c>
      <c r="E57" s="84" t="str">
        <f t="shared" si="1"/>
        <v/>
      </c>
    </row>
    <row r="58" spans="2:5" ht="14" x14ac:dyDescent="0.15">
      <c r="B58" s="87">
        <v>17.100000000000001</v>
      </c>
      <c r="C58" s="87"/>
      <c r="D58" s="44" t="str">
        <f t="shared" si="0"/>
        <v/>
      </c>
      <c r="E58" s="88" t="str">
        <f t="shared" si="1"/>
        <v/>
      </c>
    </row>
    <row r="59" spans="2:5" ht="14" x14ac:dyDescent="0.15">
      <c r="B59" s="83">
        <v>17.2</v>
      </c>
      <c r="C59" s="83"/>
      <c r="D59" s="43" t="str">
        <f t="shared" si="0"/>
        <v/>
      </c>
      <c r="E59" s="84" t="str">
        <f t="shared" si="1"/>
        <v/>
      </c>
    </row>
    <row r="60" spans="2:5" ht="15" thickBot="1" x14ac:dyDescent="0.2">
      <c r="B60" s="89">
        <v>17.3</v>
      </c>
      <c r="C60" s="89"/>
      <c r="D60" s="45" t="str">
        <f t="shared" si="0"/>
        <v/>
      </c>
      <c r="E60" s="90" t="str">
        <f t="shared" si="1"/>
        <v/>
      </c>
    </row>
  </sheetData>
  <mergeCells count="4">
    <mergeCell ref="I1:J1"/>
    <mergeCell ref="B3:E3"/>
    <mergeCell ref="B1:E1"/>
    <mergeCell ref="G15:G17"/>
  </mergeCell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D978-F68F-4E0C-A783-798EF212641D}">
  <sheetPr codeName="Sheet8">
    <tabColor rgb="FFA391F1"/>
  </sheetPr>
  <dimension ref="B1:AC69"/>
  <sheetViews>
    <sheetView showGridLines="0" workbookViewId="0">
      <selection activeCell="B1" sqref="B1:L1"/>
    </sheetView>
  </sheetViews>
  <sheetFormatPr baseColWidth="10" defaultColWidth="9.1640625" defaultRowHeight="13" x14ac:dyDescent="0.15"/>
  <cols>
    <col min="1" max="1" width="9.1640625" style="66"/>
    <col min="2" max="2" width="19" style="67" customWidth="1"/>
    <col min="3" max="3" width="21.1640625" style="66" bestFit="1" customWidth="1"/>
    <col min="4" max="4" width="28.1640625" style="66" bestFit="1" customWidth="1"/>
    <col min="5" max="5" width="26.5" style="66" customWidth="1"/>
    <col min="6" max="6" width="24.6640625" style="66" bestFit="1" customWidth="1"/>
    <col min="7" max="7" width="18.1640625" style="66" customWidth="1"/>
    <col min="8" max="8" width="20.5" style="66" bestFit="1" customWidth="1"/>
    <col min="9" max="9" width="18.33203125" style="66" bestFit="1" customWidth="1"/>
    <col min="10" max="10" width="16.5" style="66" bestFit="1" customWidth="1"/>
    <col min="11" max="11" width="22" style="66" bestFit="1" customWidth="1"/>
    <col min="12" max="12" width="22" style="66" customWidth="1"/>
    <col min="13" max="13" width="9.1640625" style="66"/>
    <col min="14" max="14" width="97" style="68" customWidth="1"/>
    <col min="15" max="15" width="23.1640625" style="66" bestFit="1" customWidth="1"/>
    <col min="16" max="16" width="29.6640625" style="66" bestFit="1" customWidth="1"/>
    <col min="17" max="17" width="27.5" style="66" bestFit="1" customWidth="1"/>
    <col min="18" max="18" width="25.6640625" style="66" bestFit="1" customWidth="1"/>
    <col min="19" max="19" width="14" style="66" bestFit="1" customWidth="1"/>
    <col min="20" max="20" width="20.5" style="66" bestFit="1" customWidth="1"/>
    <col min="21" max="21" width="18.33203125" style="66" bestFit="1" customWidth="1"/>
    <col min="22" max="22" width="16.5" style="66" bestFit="1" customWidth="1"/>
    <col min="23" max="24" width="16.6640625" style="66" bestFit="1" customWidth="1"/>
    <col min="25" max="25" width="9.1640625" style="66"/>
    <col min="26" max="26" width="123.5" style="66" customWidth="1"/>
    <col min="27" max="27" width="9.1640625" style="66"/>
    <col min="28" max="28" width="19.6640625" style="66" bestFit="1" customWidth="1"/>
    <col min="29" max="29" width="88.6640625" style="66" customWidth="1"/>
    <col min="30" max="16384" width="9.1640625" style="66"/>
  </cols>
  <sheetData>
    <row r="1" spans="2:29" ht="59" thickBot="1" x14ac:dyDescent="0.2">
      <c r="B1" s="222" t="s">
        <v>185</v>
      </c>
      <c r="C1" s="223"/>
      <c r="D1" s="223"/>
      <c r="E1" s="223"/>
      <c r="F1" s="223"/>
      <c r="G1" s="223"/>
      <c r="H1" s="223"/>
      <c r="I1" s="223"/>
      <c r="J1" s="223"/>
      <c r="K1" s="223"/>
      <c r="L1" s="224"/>
      <c r="N1" s="168" t="s">
        <v>225</v>
      </c>
    </row>
    <row r="2" spans="2:29" ht="16" thickBot="1" x14ac:dyDescent="0.2">
      <c r="N2" s="175" t="s">
        <v>350</v>
      </c>
      <c r="Z2" s="69"/>
      <c r="AB2" s="70" t="s">
        <v>181</v>
      </c>
      <c r="AC2" s="70" t="s">
        <v>4</v>
      </c>
    </row>
    <row r="3" spans="2:29" ht="32" thickTop="1" thickBot="1" x14ac:dyDescent="0.2">
      <c r="B3" s="91" t="s">
        <v>219</v>
      </c>
      <c r="C3" s="92" t="s">
        <v>189</v>
      </c>
      <c r="D3" s="92" t="s">
        <v>190</v>
      </c>
      <c r="E3" s="92" t="s">
        <v>191</v>
      </c>
      <c r="F3" s="93" t="s">
        <v>192</v>
      </c>
      <c r="G3" s="94" t="s">
        <v>219</v>
      </c>
      <c r="N3" s="174" t="s">
        <v>351</v>
      </c>
      <c r="Z3" s="71" t="s">
        <v>226</v>
      </c>
      <c r="AB3" s="70">
        <v>1</v>
      </c>
      <c r="AC3" s="72" t="s">
        <v>122</v>
      </c>
    </row>
    <row r="4" spans="2:29" ht="29.25" customHeight="1" x14ac:dyDescent="0.15">
      <c r="B4" s="95">
        <v>1</v>
      </c>
      <c r="C4" s="96" t="s">
        <v>212</v>
      </c>
      <c r="D4" s="96" t="s">
        <v>213</v>
      </c>
      <c r="E4" s="96" t="s">
        <v>216</v>
      </c>
      <c r="F4" s="97" t="s">
        <v>214</v>
      </c>
      <c r="G4" s="98">
        <v>1</v>
      </c>
      <c r="I4" s="225" t="s">
        <v>374</v>
      </c>
      <c r="J4" s="225"/>
      <c r="K4" s="225"/>
      <c r="L4" s="225"/>
      <c r="N4" s="174" t="s">
        <v>338</v>
      </c>
      <c r="Z4" s="73" t="s">
        <v>234</v>
      </c>
      <c r="AB4" s="70">
        <v>2</v>
      </c>
      <c r="AC4" s="72" t="s">
        <v>123</v>
      </c>
    </row>
    <row r="5" spans="2:29" ht="15" x14ac:dyDescent="0.15">
      <c r="B5" s="58">
        <v>2</v>
      </c>
      <c r="C5" s="99" t="s">
        <v>208</v>
      </c>
      <c r="D5" s="99" t="s">
        <v>209</v>
      </c>
      <c r="E5" s="99" t="s">
        <v>210</v>
      </c>
      <c r="F5" s="100" t="s">
        <v>220</v>
      </c>
      <c r="G5" s="59">
        <v>2</v>
      </c>
      <c r="I5" s="225"/>
      <c r="J5" s="225"/>
      <c r="K5" s="225"/>
      <c r="L5" s="225"/>
      <c r="N5" s="174" t="s">
        <v>352</v>
      </c>
      <c r="Z5" s="74" t="s">
        <v>233</v>
      </c>
      <c r="AB5" s="70">
        <v>3</v>
      </c>
      <c r="AC5" s="72" t="s">
        <v>124</v>
      </c>
    </row>
    <row r="6" spans="2:29" ht="60" x14ac:dyDescent="0.15">
      <c r="B6" s="58">
        <v>3</v>
      </c>
      <c r="C6" s="99" t="s">
        <v>199</v>
      </c>
      <c r="D6" s="99" t="s">
        <v>200</v>
      </c>
      <c r="E6" s="99" t="s">
        <v>201</v>
      </c>
      <c r="F6" s="100" t="s">
        <v>197</v>
      </c>
      <c r="G6" s="59">
        <v>3</v>
      </c>
      <c r="I6" s="225"/>
      <c r="J6" s="225"/>
      <c r="K6" s="225"/>
      <c r="L6" s="225"/>
      <c r="N6" s="174" t="s">
        <v>353</v>
      </c>
      <c r="Z6" s="74" t="s">
        <v>235</v>
      </c>
      <c r="AB6" s="70">
        <v>4</v>
      </c>
      <c r="AC6" s="72" t="s">
        <v>183</v>
      </c>
    </row>
    <row r="7" spans="2:29" ht="22.5" customHeight="1" x14ac:dyDescent="0.15">
      <c r="B7" s="58">
        <v>4</v>
      </c>
      <c r="C7" s="99" t="s">
        <v>217</v>
      </c>
      <c r="D7" s="99" t="s">
        <v>195</v>
      </c>
      <c r="E7" s="99" t="s">
        <v>206</v>
      </c>
      <c r="F7" s="100" t="s">
        <v>202</v>
      </c>
      <c r="G7" s="59">
        <v>4</v>
      </c>
      <c r="I7" s="225"/>
      <c r="J7" s="225"/>
      <c r="K7" s="225"/>
      <c r="L7" s="225"/>
      <c r="N7" s="176" t="s">
        <v>354</v>
      </c>
      <c r="Z7" s="73" t="s">
        <v>241</v>
      </c>
      <c r="AB7" s="70">
        <v>5</v>
      </c>
      <c r="AC7" s="72" t="s">
        <v>184</v>
      </c>
    </row>
    <row r="8" spans="2:29" ht="45" x14ac:dyDescent="0.15">
      <c r="B8" s="58">
        <v>5</v>
      </c>
      <c r="C8" s="99" t="s">
        <v>194</v>
      </c>
      <c r="D8" s="99" t="s">
        <v>204</v>
      </c>
      <c r="E8" s="99" t="s">
        <v>196</v>
      </c>
      <c r="F8" s="100" t="s">
        <v>205</v>
      </c>
      <c r="G8" s="59">
        <v>5</v>
      </c>
      <c r="I8" s="225"/>
      <c r="J8" s="225"/>
      <c r="K8" s="225"/>
      <c r="L8" s="225"/>
      <c r="N8" s="176" t="s">
        <v>355</v>
      </c>
      <c r="Z8" s="75" t="s">
        <v>236</v>
      </c>
    </row>
    <row r="9" spans="2:29" ht="28.5" customHeight="1" x14ac:dyDescent="0.15">
      <c r="B9" s="58" t="s">
        <v>221</v>
      </c>
      <c r="C9" s="99" t="s">
        <v>218</v>
      </c>
      <c r="D9" s="99" t="s">
        <v>218</v>
      </c>
      <c r="E9" s="99" t="s">
        <v>218</v>
      </c>
      <c r="F9" s="100" t="s">
        <v>218</v>
      </c>
      <c r="G9" s="59" t="s">
        <v>221</v>
      </c>
      <c r="I9" s="225"/>
      <c r="J9" s="225"/>
      <c r="K9" s="225"/>
      <c r="L9" s="225"/>
      <c r="N9" s="177" t="s">
        <v>356</v>
      </c>
      <c r="Z9" s="76" t="s">
        <v>239</v>
      </c>
    </row>
    <row r="10" spans="2:29" ht="16" thickBot="1" x14ac:dyDescent="0.2">
      <c r="B10" s="60" t="s">
        <v>222</v>
      </c>
      <c r="C10" s="101" t="s">
        <v>211</v>
      </c>
      <c r="D10" s="101" t="s">
        <v>211</v>
      </c>
      <c r="E10" s="101" t="s">
        <v>211</v>
      </c>
      <c r="F10" s="102" t="s">
        <v>211</v>
      </c>
      <c r="G10" s="61" t="s">
        <v>222</v>
      </c>
      <c r="N10" s="169" t="s">
        <v>357</v>
      </c>
      <c r="Z10" s="74" t="s">
        <v>237</v>
      </c>
    </row>
    <row r="11" spans="2:29" ht="31" thickTop="1" x14ac:dyDescent="0.15">
      <c r="N11" s="177" t="s">
        <v>358</v>
      </c>
      <c r="Z11" s="77" t="s">
        <v>238</v>
      </c>
    </row>
    <row r="12" spans="2:29" s="78" customFormat="1" ht="39" customHeight="1" thickBot="1" x14ac:dyDescent="0.25">
      <c r="B12" s="111" t="s">
        <v>334</v>
      </c>
      <c r="C12" s="230" t="s">
        <v>223</v>
      </c>
      <c r="D12" s="231"/>
      <c r="E12" s="231"/>
      <c r="F12" s="232"/>
      <c r="G12" s="233" t="s">
        <v>186</v>
      </c>
      <c r="H12" s="231"/>
      <c r="I12" s="231"/>
      <c r="J12" s="234"/>
      <c r="K12" s="229" t="s">
        <v>227</v>
      </c>
      <c r="L12" s="229" t="s">
        <v>228</v>
      </c>
      <c r="N12" s="177" t="s">
        <v>359</v>
      </c>
    </row>
    <row r="13" spans="2:29" s="81" customFormat="1" ht="30" thickTop="1" thickBot="1" x14ac:dyDescent="0.25">
      <c r="B13" s="111" t="s">
        <v>335</v>
      </c>
      <c r="C13" s="79" t="s">
        <v>189</v>
      </c>
      <c r="D13" s="80" t="s">
        <v>190</v>
      </c>
      <c r="E13" s="80" t="s">
        <v>191</v>
      </c>
      <c r="F13" s="80" t="s">
        <v>192</v>
      </c>
      <c r="G13" s="80" t="s">
        <v>189</v>
      </c>
      <c r="H13" s="80" t="s">
        <v>190</v>
      </c>
      <c r="I13" s="80" t="s">
        <v>191</v>
      </c>
      <c r="J13" s="82" t="s">
        <v>192</v>
      </c>
      <c r="K13" s="230"/>
      <c r="L13" s="230"/>
      <c r="N13" s="177" t="s">
        <v>360</v>
      </c>
    </row>
    <row r="14" spans="2:29" ht="15" thickTop="1" x14ac:dyDescent="0.15">
      <c r="B14" s="85">
        <v>1.1000000000000001</v>
      </c>
      <c r="C14" s="85"/>
      <c r="D14" s="85"/>
      <c r="E14" s="85"/>
      <c r="F14" s="85"/>
      <c r="G14" s="53" t="e">
        <f>VLOOKUP(C14,$C$4:$G$10,5,FALSE)</f>
        <v>#N/A</v>
      </c>
      <c r="H14" s="53" t="e">
        <f>VLOOKUP(D14,$D$4:$G$10,4,FALSE)</f>
        <v>#N/A</v>
      </c>
      <c r="I14" s="53" t="e">
        <f>VLOOKUP(E14,$E$4:$G$10,3,FALSE)</f>
        <v>#N/A</v>
      </c>
      <c r="J14" s="53" t="e">
        <f>VLOOKUP(F14,$F$4:$G$10,2,FALSE)</f>
        <v>#N/A</v>
      </c>
      <c r="K14" s="53" t="e">
        <f>ROUND(AVERAGE(G14:J14),0)</f>
        <v>#N/A</v>
      </c>
      <c r="L14" s="86" t="e">
        <f>K14</f>
        <v>#N/A</v>
      </c>
      <c r="N14" s="170"/>
    </row>
    <row r="15" spans="2:29" ht="30" x14ac:dyDescent="0.15">
      <c r="B15" s="87">
        <v>1.2</v>
      </c>
      <c r="C15" s="87"/>
      <c r="D15" s="87"/>
      <c r="E15" s="87"/>
      <c r="F15" s="87"/>
      <c r="G15" s="44" t="e">
        <f t="shared" ref="G15:G69" si="0">VLOOKUP(C15,$C$4:$G$10,5,FALSE)</f>
        <v>#N/A</v>
      </c>
      <c r="H15" s="44" t="e">
        <f t="shared" ref="H15:H69" si="1">VLOOKUP(D15,$D$4:$G$10,4,FALSE)</f>
        <v>#N/A</v>
      </c>
      <c r="I15" s="44" t="e">
        <f t="shared" ref="I15:I69" si="2">VLOOKUP(E15,$E$4:$G$10,3,FALSE)</f>
        <v>#N/A</v>
      </c>
      <c r="J15" s="44" t="e">
        <f t="shared" ref="J15:J69" si="3">VLOOKUP(F15,$F$4:$G$10,2,FALSE)</f>
        <v>#N/A</v>
      </c>
      <c r="K15" s="44" t="e">
        <f t="shared" ref="K15:K69" si="4">ROUND(AVERAGE(G15:J15),0)</f>
        <v>#N/A</v>
      </c>
      <c r="L15" s="88" t="e">
        <f t="shared" ref="L15:L69" si="5">K15</f>
        <v>#N/A</v>
      </c>
      <c r="N15" s="169" t="s">
        <v>340</v>
      </c>
    </row>
    <row r="16" spans="2:29" ht="16" thickBot="1" x14ac:dyDescent="0.2">
      <c r="B16" s="83">
        <v>2.1</v>
      </c>
      <c r="C16" s="83"/>
      <c r="D16" s="83"/>
      <c r="E16" s="83"/>
      <c r="F16" s="83"/>
      <c r="G16" s="43" t="e">
        <f t="shared" si="0"/>
        <v>#N/A</v>
      </c>
      <c r="H16" s="43" t="e">
        <f t="shared" si="1"/>
        <v>#N/A</v>
      </c>
      <c r="I16" s="43" t="e">
        <f t="shared" si="2"/>
        <v>#N/A</v>
      </c>
      <c r="J16" s="43" t="e">
        <f t="shared" si="3"/>
        <v>#N/A</v>
      </c>
      <c r="K16" s="43" t="e">
        <f t="shared" si="4"/>
        <v>#N/A</v>
      </c>
      <c r="L16" s="84" t="e">
        <f t="shared" si="5"/>
        <v>#N/A</v>
      </c>
      <c r="N16" s="178" t="s">
        <v>341</v>
      </c>
    </row>
    <row r="17" spans="2:14" ht="14.75" customHeight="1" x14ac:dyDescent="0.15">
      <c r="B17" s="87">
        <v>2.2000000000000002</v>
      </c>
      <c r="C17" s="87"/>
      <c r="D17" s="87"/>
      <c r="E17" s="87"/>
      <c r="F17" s="87"/>
      <c r="G17" s="44" t="e">
        <f t="shared" si="0"/>
        <v>#N/A</v>
      </c>
      <c r="H17" s="44" t="e">
        <f t="shared" si="1"/>
        <v>#N/A</v>
      </c>
      <c r="I17" s="44" t="e">
        <f t="shared" si="2"/>
        <v>#N/A</v>
      </c>
      <c r="J17" s="44" t="e">
        <f t="shared" si="3"/>
        <v>#N/A</v>
      </c>
      <c r="K17" s="44" t="e">
        <f t="shared" si="4"/>
        <v>#N/A</v>
      </c>
      <c r="L17" s="88" t="e">
        <f t="shared" si="5"/>
        <v>#N/A</v>
      </c>
      <c r="N17" s="226" t="s">
        <v>375</v>
      </c>
    </row>
    <row r="18" spans="2:14" ht="13.25" customHeight="1" x14ac:dyDescent="0.15">
      <c r="B18" s="83">
        <v>2.2999999999999998</v>
      </c>
      <c r="C18" s="83"/>
      <c r="D18" s="83"/>
      <c r="E18" s="83"/>
      <c r="F18" s="83"/>
      <c r="G18" s="43" t="e">
        <f t="shared" si="0"/>
        <v>#N/A</v>
      </c>
      <c r="H18" s="43" t="e">
        <f t="shared" si="1"/>
        <v>#N/A</v>
      </c>
      <c r="I18" s="43" t="e">
        <f t="shared" si="2"/>
        <v>#N/A</v>
      </c>
      <c r="J18" s="43" t="e">
        <f t="shared" si="3"/>
        <v>#N/A</v>
      </c>
      <c r="K18" s="43" t="e">
        <f t="shared" si="4"/>
        <v>#N/A</v>
      </c>
      <c r="L18" s="84" t="e">
        <f t="shared" si="5"/>
        <v>#N/A</v>
      </c>
      <c r="N18" s="227"/>
    </row>
    <row r="19" spans="2:14" ht="14" thickBot="1" x14ac:dyDescent="0.2">
      <c r="B19" s="87">
        <v>3.1</v>
      </c>
      <c r="C19" s="87"/>
      <c r="D19" s="87"/>
      <c r="E19" s="87"/>
      <c r="F19" s="87"/>
      <c r="G19" s="44" t="e">
        <f t="shared" si="0"/>
        <v>#N/A</v>
      </c>
      <c r="H19" s="44" t="e">
        <f t="shared" si="1"/>
        <v>#N/A</v>
      </c>
      <c r="I19" s="44" t="e">
        <f t="shared" si="2"/>
        <v>#N/A</v>
      </c>
      <c r="J19" s="44" t="e">
        <f t="shared" si="3"/>
        <v>#N/A</v>
      </c>
      <c r="K19" s="44" t="e">
        <f t="shared" si="4"/>
        <v>#N/A</v>
      </c>
      <c r="L19" s="88" t="e">
        <f t="shared" si="5"/>
        <v>#N/A</v>
      </c>
      <c r="N19" s="228"/>
    </row>
    <row r="20" spans="2:14" ht="14" x14ac:dyDescent="0.15">
      <c r="B20" s="83">
        <v>3.2</v>
      </c>
      <c r="C20" s="83"/>
      <c r="D20" s="83"/>
      <c r="E20" s="83"/>
      <c r="F20" s="83"/>
      <c r="G20" s="43" t="e">
        <f t="shared" si="0"/>
        <v>#N/A</v>
      </c>
      <c r="H20" s="43" t="e">
        <f t="shared" si="1"/>
        <v>#N/A</v>
      </c>
      <c r="I20" s="43" t="e">
        <f t="shared" si="2"/>
        <v>#N/A</v>
      </c>
      <c r="J20" s="43" t="e">
        <f t="shared" si="3"/>
        <v>#N/A</v>
      </c>
      <c r="K20" s="43" t="e">
        <f t="shared" si="4"/>
        <v>#N/A</v>
      </c>
      <c r="L20" s="84" t="e">
        <f t="shared" si="5"/>
        <v>#N/A</v>
      </c>
      <c r="N20" s="167"/>
    </row>
    <row r="21" spans="2:14" x14ac:dyDescent="0.15">
      <c r="B21" s="87">
        <v>3.3</v>
      </c>
      <c r="C21" s="87"/>
      <c r="D21" s="87"/>
      <c r="E21" s="87"/>
      <c r="F21" s="87"/>
      <c r="G21" s="44" t="e">
        <f t="shared" si="0"/>
        <v>#N/A</v>
      </c>
      <c r="H21" s="44" t="e">
        <f t="shared" si="1"/>
        <v>#N/A</v>
      </c>
      <c r="I21" s="44" t="e">
        <f t="shared" si="2"/>
        <v>#N/A</v>
      </c>
      <c r="J21" s="44" t="e">
        <f t="shared" si="3"/>
        <v>#N/A</v>
      </c>
      <c r="K21" s="44" t="e">
        <f t="shared" si="4"/>
        <v>#N/A</v>
      </c>
      <c r="L21" s="88" t="e">
        <f t="shared" si="5"/>
        <v>#N/A</v>
      </c>
      <c r="N21" s="66"/>
    </row>
    <row r="22" spans="2:14" x14ac:dyDescent="0.15">
      <c r="B22" s="83">
        <v>3.4</v>
      </c>
      <c r="C22" s="83"/>
      <c r="D22" s="83"/>
      <c r="E22" s="83"/>
      <c r="F22" s="83"/>
      <c r="G22" s="43" t="e">
        <f t="shared" si="0"/>
        <v>#N/A</v>
      </c>
      <c r="H22" s="43" t="e">
        <f t="shared" si="1"/>
        <v>#N/A</v>
      </c>
      <c r="I22" s="43" t="e">
        <f t="shared" si="2"/>
        <v>#N/A</v>
      </c>
      <c r="J22" s="43" t="e">
        <f t="shared" si="3"/>
        <v>#N/A</v>
      </c>
      <c r="K22" s="43" t="e">
        <f t="shared" si="4"/>
        <v>#N/A</v>
      </c>
      <c r="L22" s="84" t="e">
        <f t="shared" si="5"/>
        <v>#N/A</v>
      </c>
      <c r="N22" s="66"/>
    </row>
    <row r="23" spans="2:14" x14ac:dyDescent="0.15">
      <c r="B23" s="87">
        <v>3.5</v>
      </c>
      <c r="C23" s="87"/>
      <c r="D23" s="87"/>
      <c r="E23" s="87"/>
      <c r="F23" s="87"/>
      <c r="G23" s="44" t="e">
        <f t="shared" si="0"/>
        <v>#N/A</v>
      </c>
      <c r="H23" s="44" t="e">
        <f t="shared" si="1"/>
        <v>#N/A</v>
      </c>
      <c r="I23" s="44" t="e">
        <f t="shared" si="2"/>
        <v>#N/A</v>
      </c>
      <c r="J23" s="44" t="e">
        <f t="shared" si="3"/>
        <v>#N/A</v>
      </c>
      <c r="K23" s="44" t="e">
        <f t="shared" si="4"/>
        <v>#N/A</v>
      </c>
      <c r="L23" s="88" t="e">
        <f t="shared" si="5"/>
        <v>#N/A</v>
      </c>
      <c r="N23" s="66"/>
    </row>
    <row r="24" spans="2:14" x14ac:dyDescent="0.15">
      <c r="B24" s="83">
        <v>3.6</v>
      </c>
      <c r="C24" s="83"/>
      <c r="D24" s="83"/>
      <c r="E24" s="83"/>
      <c r="F24" s="83"/>
      <c r="G24" s="43" t="e">
        <f t="shared" si="0"/>
        <v>#N/A</v>
      </c>
      <c r="H24" s="43" t="e">
        <f t="shared" si="1"/>
        <v>#N/A</v>
      </c>
      <c r="I24" s="43" t="e">
        <f t="shared" si="2"/>
        <v>#N/A</v>
      </c>
      <c r="J24" s="43" t="e">
        <f t="shared" si="3"/>
        <v>#N/A</v>
      </c>
      <c r="K24" s="43" t="e">
        <f t="shared" si="4"/>
        <v>#N/A</v>
      </c>
      <c r="L24" s="84" t="e">
        <f t="shared" si="5"/>
        <v>#N/A</v>
      </c>
      <c r="N24" s="66"/>
    </row>
    <row r="25" spans="2:14" x14ac:dyDescent="0.15">
      <c r="B25" s="87">
        <v>4.0999999999999996</v>
      </c>
      <c r="C25" s="87"/>
      <c r="D25" s="87"/>
      <c r="E25" s="87"/>
      <c r="F25" s="87"/>
      <c r="G25" s="44" t="e">
        <f t="shared" si="0"/>
        <v>#N/A</v>
      </c>
      <c r="H25" s="44" t="e">
        <f t="shared" si="1"/>
        <v>#N/A</v>
      </c>
      <c r="I25" s="44" t="e">
        <f t="shared" si="2"/>
        <v>#N/A</v>
      </c>
      <c r="J25" s="44" t="e">
        <f t="shared" si="3"/>
        <v>#N/A</v>
      </c>
      <c r="K25" s="44" t="e">
        <f t="shared" si="4"/>
        <v>#N/A</v>
      </c>
      <c r="L25" s="88" t="e">
        <f t="shared" si="5"/>
        <v>#N/A</v>
      </c>
      <c r="N25" s="66"/>
    </row>
    <row r="26" spans="2:14" x14ac:dyDescent="0.15">
      <c r="B26" s="83">
        <v>4.2</v>
      </c>
      <c r="C26" s="83"/>
      <c r="D26" s="83"/>
      <c r="E26" s="83"/>
      <c r="F26" s="83"/>
      <c r="G26" s="43" t="e">
        <f t="shared" si="0"/>
        <v>#N/A</v>
      </c>
      <c r="H26" s="43" t="e">
        <f t="shared" si="1"/>
        <v>#N/A</v>
      </c>
      <c r="I26" s="43" t="e">
        <f t="shared" si="2"/>
        <v>#N/A</v>
      </c>
      <c r="J26" s="43" t="e">
        <f t="shared" si="3"/>
        <v>#N/A</v>
      </c>
      <c r="K26" s="43" t="e">
        <f t="shared" si="4"/>
        <v>#N/A</v>
      </c>
      <c r="L26" s="84" t="e">
        <f t="shared" si="5"/>
        <v>#N/A</v>
      </c>
      <c r="N26" s="66"/>
    </row>
    <row r="27" spans="2:14" x14ac:dyDescent="0.15">
      <c r="B27" s="87">
        <v>4.3</v>
      </c>
      <c r="C27" s="87"/>
      <c r="D27" s="87"/>
      <c r="E27" s="87"/>
      <c r="F27" s="87"/>
      <c r="G27" s="44" t="e">
        <f t="shared" si="0"/>
        <v>#N/A</v>
      </c>
      <c r="H27" s="44" t="e">
        <f t="shared" si="1"/>
        <v>#N/A</v>
      </c>
      <c r="I27" s="44" t="e">
        <f t="shared" si="2"/>
        <v>#N/A</v>
      </c>
      <c r="J27" s="44" t="e">
        <f t="shared" si="3"/>
        <v>#N/A</v>
      </c>
      <c r="K27" s="44" t="e">
        <f t="shared" si="4"/>
        <v>#N/A</v>
      </c>
      <c r="L27" s="88" t="e">
        <f t="shared" si="5"/>
        <v>#N/A</v>
      </c>
      <c r="N27" s="66"/>
    </row>
    <row r="28" spans="2:14" x14ac:dyDescent="0.15">
      <c r="B28" s="83">
        <v>4.4000000000000004</v>
      </c>
      <c r="C28" s="83"/>
      <c r="D28" s="83"/>
      <c r="E28" s="83"/>
      <c r="F28" s="83"/>
      <c r="G28" s="43" t="e">
        <f t="shared" si="0"/>
        <v>#N/A</v>
      </c>
      <c r="H28" s="43" t="e">
        <f t="shared" si="1"/>
        <v>#N/A</v>
      </c>
      <c r="I28" s="43" t="e">
        <f t="shared" si="2"/>
        <v>#N/A</v>
      </c>
      <c r="J28" s="43" t="e">
        <f t="shared" si="3"/>
        <v>#N/A</v>
      </c>
      <c r="K28" s="43" t="e">
        <f t="shared" si="4"/>
        <v>#N/A</v>
      </c>
      <c r="L28" s="84" t="e">
        <f t="shared" si="5"/>
        <v>#N/A</v>
      </c>
      <c r="N28" s="66"/>
    </row>
    <row r="29" spans="2:14" x14ac:dyDescent="0.15">
      <c r="B29" s="87">
        <v>4.5</v>
      </c>
      <c r="C29" s="87"/>
      <c r="D29" s="87"/>
      <c r="E29" s="87"/>
      <c r="F29" s="87"/>
      <c r="G29" s="44" t="e">
        <f t="shared" si="0"/>
        <v>#N/A</v>
      </c>
      <c r="H29" s="44" t="e">
        <f t="shared" si="1"/>
        <v>#N/A</v>
      </c>
      <c r="I29" s="44" t="e">
        <f t="shared" si="2"/>
        <v>#N/A</v>
      </c>
      <c r="J29" s="44" t="e">
        <f t="shared" si="3"/>
        <v>#N/A</v>
      </c>
      <c r="K29" s="44" t="e">
        <f t="shared" si="4"/>
        <v>#N/A</v>
      </c>
      <c r="L29" s="88" t="e">
        <f t="shared" si="5"/>
        <v>#N/A</v>
      </c>
      <c r="N29" s="66"/>
    </row>
    <row r="30" spans="2:14" x14ac:dyDescent="0.15">
      <c r="B30" s="83">
        <v>4.5999999999999996</v>
      </c>
      <c r="C30" s="83"/>
      <c r="D30" s="83"/>
      <c r="E30" s="83"/>
      <c r="F30" s="83"/>
      <c r="G30" s="43" t="e">
        <f t="shared" si="0"/>
        <v>#N/A</v>
      </c>
      <c r="H30" s="43" t="e">
        <f t="shared" si="1"/>
        <v>#N/A</v>
      </c>
      <c r="I30" s="43" t="e">
        <f t="shared" si="2"/>
        <v>#N/A</v>
      </c>
      <c r="J30" s="43" t="e">
        <f t="shared" si="3"/>
        <v>#N/A</v>
      </c>
      <c r="K30" s="43" t="e">
        <f t="shared" si="4"/>
        <v>#N/A</v>
      </c>
      <c r="L30" s="84" t="e">
        <f t="shared" si="5"/>
        <v>#N/A</v>
      </c>
      <c r="N30" s="66"/>
    </row>
    <row r="31" spans="2:14" x14ac:dyDescent="0.15">
      <c r="B31" s="87">
        <v>4.7</v>
      </c>
      <c r="C31" s="87"/>
      <c r="D31" s="87"/>
      <c r="E31" s="87"/>
      <c r="F31" s="87"/>
      <c r="G31" s="44" t="e">
        <f t="shared" si="0"/>
        <v>#N/A</v>
      </c>
      <c r="H31" s="44" t="e">
        <f t="shared" si="1"/>
        <v>#N/A</v>
      </c>
      <c r="I31" s="44" t="e">
        <f t="shared" si="2"/>
        <v>#N/A</v>
      </c>
      <c r="J31" s="44" t="e">
        <f t="shared" si="3"/>
        <v>#N/A</v>
      </c>
      <c r="K31" s="44" t="e">
        <f t="shared" si="4"/>
        <v>#N/A</v>
      </c>
      <c r="L31" s="88" t="e">
        <f t="shared" si="5"/>
        <v>#N/A</v>
      </c>
      <c r="N31" s="66"/>
    </row>
    <row r="32" spans="2:14" x14ac:dyDescent="0.15">
      <c r="B32" s="83">
        <v>5.0999999999999996</v>
      </c>
      <c r="C32" s="83"/>
      <c r="D32" s="83"/>
      <c r="E32" s="83"/>
      <c r="F32" s="83"/>
      <c r="G32" s="43" t="e">
        <f t="shared" si="0"/>
        <v>#N/A</v>
      </c>
      <c r="H32" s="43" t="e">
        <f t="shared" si="1"/>
        <v>#N/A</v>
      </c>
      <c r="I32" s="43" t="e">
        <f t="shared" si="2"/>
        <v>#N/A</v>
      </c>
      <c r="J32" s="43" t="e">
        <f t="shared" si="3"/>
        <v>#N/A</v>
      </c>
      <c r="K32" s="43" t="e">
        <f t="shared" si="4"/>
        <v>#N/A</v>
      </c>
      <c r="L32" s="84" t="e">
        <f t="shared" si="5"/>
        <v>#N/A</v>
      </c>
      <c r="N32" s="66"/>
    </row>
    <row r="33" spans="2:14" x14ac:dyDescent="0.15">
      <c r="B33" s="87">
        <v>5.2</v>
      </c>
      <c r="C33" s="87"/>
      <c r="D33" s="87"/>
      <c r="E33" s="87"/>
      <c r="F33" s="87"/>
      <c r="G33" s="44" t="e">
        <f t="shared" si="0"/>
        <v>#N/A</v>
      </c>
      <c r="H33" s="44" t="e">
        <f t="shared" si="1"/>
        <v>#N/A</v>
      </c>
      <c r="I33" s="44" t="e">
        <f t="shared" si="2"/>
        <v>#N/A</v>
      </c>
      <c r="J33" s="44" t="e">
        <f t="shared" si="3"/>
        <v>#N/A</v>
      </c>
      <c r="K33" s="44" t="e">
        <f t="shared" si="4"/>
        <v>#N/A</v>
      </c>
      <c r="L33" s="88" t="e">
        <f t="shared" si="5"/>
        <v>#N/A</v>
      </c>
      <c r="N33" s="66"/>
    </row>
    <row r="34" spans="2:14" x14ac:dyDescent="0.15">
      <c r="B34" s="83">
        <v>5.3</v>
      </c>
      <c r="C34" s="83"/>
      <c r="D34" s="83"/>
      <c r="E34" s="83"/>
      <c r="F34" s="83"/>
      <c r="G34" s="43" t="e">
        <f t="shared" si="0"/>
        <v>#N/A</v>
      </c>
      <c r="H34" s="43" t="e">
        <f t="shared" si="1"/>
        <v>#N/A</v>
      </c>
      <c r="I34" s="43" t="e">
        <f t="shared" si="2"/>
        <v>#N/A</v>
      </c>
      <c r="J34" s="43" t="e">
        <f t="shared" si="3"/>
        <v>#N/A</v>
      </c>
      <c r="K34" s="43" t="e">
        <f t="shared" si="4"/>
        <v>#N/A</v>
      </c>
      <c r="L34" s="84" t="e">
        <f t="shared" si="5"/>
        <v>#N/A</v>
      </c>
      <c r="N34" s="66"/>
    </row>
    <row r="35" spans="2:14" x14ac:dyDescent="0.15">
      <c r="B35" s="87">
        <v>5.4</v>
      </c>
      <c r="C35" s="87"/>
      <c r="D35" s="87"/>
      <c r="E35" s="87"/>
      <c r="F35" s="87"/>
      <c r="G35" s="44" t="e">
        <f t="shared" si="0"/>
        <v>#N/A</v>
      </c>
      <c r="H35" s="44" t="e">
        <f t="shared" si="1"/>
        <v>#N/A</v>
      </c>
      <c r="I35" s="44" t="e">
        <f t="shared" si="2"/>
        <v>#N/A</v>
      </c>
      <c r="J35" s="44" t="e">
        <f t="shared" si="3"/>
        <v>#N/A</v>
      </c>
      <c r="K35" s="44" t="e">
        <f t="shared" si="4"/>
        <v>#N/A</v>
      </c>
      <c r="L35" s="88" t="e">
        <f t="shared" si="5"/>
        <v>#N/A</v>
      </c>
      <c r="N35" s="66"/>
    </row>
    <row r="36" spans="2:14" x14ac:dyDescent="0.15">
      <c r="B36" s="83">
        <v>6.1</v>
      </c>
      <c r="C36" s="83"/>
      <c r="D36" s="83"/>
      <c r="E36" s="83"/>
      <c r="F36" s="83"/>
      <c r="G36" s="43" t="e">
        <f t="shared" si="0"/>
        <v>#N/A</v>
      </c>
      <c r="H36" s="43" t="e">
        <f t="shared" si="1"/>
        <v>#N/A</v>
      </c>
      <c r="I36" s="43" t="e">
        <f t="shared" si="2"/>
        <v>#N/A</v>
      </c>
      <c r="J36" s="43" t="e">
        <f t="shared" si="3"/>
        <v>#N/A</v>
      </c>
      <c r="K36" s="43" t="e">
        <f t="shared" si="4"/>
        <v>#N/A</v>
      </c>
      <c r="L36" s="84" t="e">
        <f t="shared" si="5"/>
        <v>#N/A</v>
      </c>
      <c r="N36" s="66"/>
    </row>
    <row r="37" spans="2:14" x14ac:dyDescent="0.15">
      <c r="B37" s="87">
        <v>6.2</v>
      </c>
      <c r="C37" s="87"/>
      <c r="D37" s="87"/>
      <c r="E37" s="87"/>
      <c r="F37" s="87"/>
      <c r="G37" s="44" t="e">
        <f t="shared" si="0"/>
        <v>#N/A</v>
      </c>
      <c r="H37" s="44" t="e">
        <f t="shared" si="1"/>
        <v>#N/A</v>
      </c>
      <c r="I37" s="44" t="e">
        <f t="shared" si="2"/>
        <v>#N/A</v>
      </c>
      <c r="J37" s="44" t="e">
        <f t="shared" si="3"/>
        <v>#N/A</v>
      </c>
      <c r="K37" s="44" t="e">
        <f t="shared" si="4"/>
        <v>#N/A</v>
      </c>
      <c r="L37" s="88" t="e">
        <f t="shared" si="5"/>
        <v>#N/A</v>
      </c>
      <c r="N37" s="66"/>
    </row>
    <row r="38" spans="2:14" x14ac:dyDescent="0.15">
      <c r="B38" s="83">
        <v>6.3</v>
      </c>
      <c r="C38" s="83"/>
      <c r="D38" s="83"/>
      <c r="E38" s="83"/>
      <c r="F38" s="83"/>
      <c r="G38" s="43" t="e">
        <f t="shared" si="0"/>
        <v>#N/A</v>
      </c>
      <c r="H38" s="43" t="e">
        <f t="shared" si="1"/>
        <v>#N/A</v>
      </c>
      <c r="I38" s="43" t="e">
        <f t="shared" si="2"/>
        <v>#N/A</v>
      </c>
      <c r="J38" s="43" t="e">
        <f t="shared" si="3"/>
        <v>#N/A</v>
      </c>
      <c r="K38" s="43" t="e">
        <f t="shared" si="4"/>
        <v>#N/A</v>
      </c>
      <c r="L38" s="84" t="e">
        <f t="shared" si="5"/>
        <v>#N/A</v>
      </c>
      <c r="N38" s="66"/>
    </row>
    <row r="39" spans="2:14" x14ac:dyDescent="0.15">
      <c r="B39" s="87">
        <v>6.4</v>
      </c>
      <c r="C39" s="87"/>
      <c r="D39" s="87"/>
      <c r="E39" s="87"/>
      <c r="F39" s="87"/>
      <c r="G39" s="44" t="e">
        <f t="shared" si="0"/>
        <v>#N/A</v>
      </c>
      <c r="H39" s="44" t="e">
        <f t="shared" si="1"/>
        <v>#N/A</v>
      </c>
      <c r="I39" s="44" t="e">
        <f t="shared" si="2"/>
        <v>#N/A</v>
      </c>
      <c r="J39" s="44" t="e">
        <f t="shared" si="3"/>
        <v>#N/A</v>
      </c>
      <c r="K39" s="44" t="e">
        <f t="shared" si="4"/>
        <v>#N/A</v>
      </c>
      <c r="L39" s="88" t="e">
        <f t="shared" si="5"/>
        <v>#N/A</v>
      </c>
      <c r="N39" s="66"/>
    </row>
    <row r="40" spans="2:14" x14ac:dyDescent="0.15">
      <c r="B40" s="83">
        <v>6.5</v>
      </c>
      <c r="C40" s="83"/>
      <c r="D40" s="83"/>
      <c r="E40" s="83"/>
      <c r="F40" s="83"/>
      <c r="G40" s="43" t="e">
        <f t="shared" si="0"/>
        <v>#N/A</v>
      </c>
      <c r="H40" s="43" t="e">
        <f t="shared" si="1"/>
        <v>#N/A</v>
      </c>
      <c r="I40" s="43" t="e">
        <f t="shared" si="2"/>
        <v>#N/A</v>
      </c>
      <c r="J40" s="43" t="e">
        <f t="shared" si="3"/>
        <v>#N/A</v>
      </c>
      <c r="K40" s="43" t="e">
        <f t="shared" si="4"/>
        <v>#N/A</v>
      </c>
      <c r="L40" s="84" t="e">
        <f t="shared" si="5"/>
        <v>#N/A</v>
      </c>
      <c r="N40" s="66"/>
    </row>
    <row r="41" spans="2:14" x14ac:dyDescent="0.15">
      <c r="B41" s="87">
        <v>7.1</v>
      </c>
      <c r="C41" s="87"/>
      <c r="D41" s="87"/>
      <c r="E41" s="87"/>
      <c r="F41" s="87"/>
      <c r="G41" s="44" t="e">
        <f t="shared" si="0"/>
        <v>#N/A</v>
      </c>
      <c r="H41" s="44" t="e">
        <f t="shared" si="1"/>
        <v>#N/A</v>
      </c>
      <c r="I41" s="44" t="e">
        <f t="shared" si="2"/>
        <v>#N/A</v>
      </c>
      <c r="J41" s="44" t="e">
        <f t="shared" si="3"/>
        <v>#N/A</v>
      </c>
      <c r="K41" s="44" t="e">
        <f t="shared" si="4"/>
        <v>#N/A</v>
      </c>
      <c r="L41" s="88" t="e">
        <f t="shared" si="5"/>
        <v>#N/A</v>
      </c>
      <c r="N41" s="66"/>
    </row>
    <row r="42" spans="2:14" x14ac:dyDescent="0.15">
      <c r="B42" s="83">
        <v>7.2</v>
      </c>
      <c r="C42" s="83"/>
      <c r="D42" s="83"/>
      <c r="E42" s="83"/>
      <c r="F42" s="83"/>
      <c r="G42" s="43" t="e">
        <f t="shared" si="0"/>
        <v>#N/A</v>
      </c>
      <c r="H42" s="43" t="e">
        <f t="shared" si="1"/>
        <v>#N/A</v>
      </c>
      <c r="I42" s="43" t="e">
        <f t="shared" si="2"/>
        <v>#N/A</v>
      </c>
      <c r="J42" s="43" t="e">
        <f t="shared" si="3"/>
        <v>#N/A</v>
      </c>
      <c r="K42" s="43" t="e">
        <f t="shared" si="4"/>
        <v>#N/A</v>
      </c>
      <c r="L42" s="84" t="e">
        <f t="shared" si="5"/>
        <v>#N/A</v>
      </c>
      <c r="N42" s="66"/>
    </row>
    <row r="43" spans="2:14" x14ac:dyDescent="0.15">
      <c r="B43" s="87">
        <v>7.3</v>
      </c>
      <c r="C43" s="87"/>
      <c r="D43" s="87"/>
      <c r="E43" s="87"/>
      <c r="F43" s="87"/>
      <c r="G43" s="44" t="e">
        <f t="shared" si="0"/>
        <v>#N/A</v>
      </c>
      <c r="H43" s="44" t="e">
        <f t="shared" si="1"/>
        <v>#N/A</v>
      </c>
      <c r="I43" s="44" t="e">
        <f t="shared" si="2"/>
        <v>#N/A</v>
      </c>
      <c r="J43" s="44" t="e">
        <f t="shared" si="3"/>
        <v>#N/A</v>
      </c>
      <c r="K43" s="44" t="e">
        <f t="shared" si="4"/>
        <v>#N/A</v>
      </c>
      <c r="L43" s="88" t="e">
        <f t="shared" si="5"/>
        <v>#N/A</v>
      </c>
      <c r="N43" s="66"/>
    </row>
    <row r="44" spans="2:14" x14ac:dyDescent="0.15">
      <c r="B44" s="83">
        <v>7.4</v>
      </c>
      <c r="C44" s="83"/>
      <c r="D44" s="83"/>
      <c r="E44" s="83"/>
      <c r="F44" s="83"/>
      <c r="G44" s="43" t="e">
        <f t="shared" si="0"/>
        <v>#N/A</v>
      </c>
      <c r="H44" s="43" t="e">
        <f t="shared" si="1"/>
        <v>#N/A</v>
      </c>
      <c r="I44" s="43" t="e">
        <f t="shared" si="2"/>
        <v>#N/A</v>
      </c>
      <c r="J44" s="43" t="e">
        <f t="shared" si="3"/>
        <v>#N/A</v>
      </c>
      <c r="K44" s="43" t="e">
        <f t="shared" si="4"/>
        <v>#N/A</v>
      </c>
      <c r="L44" s="84" t="e">
        <f t="shared" si="5"/>
        <v>#N/A</v>
      </c>
      <c r="N44" s="66"/>
    </row>
    <row r="45" spans="2:14" x14ac:dyDescent="0.15">
      <c r="B45" s="87">
        <v>8.1</v>
      </c>
      <c r="C45" s="87"/>
      <c r="D45" s="87"/>
      <c r="E45" s="87"/>
      <c r="F45" s="87"/>
      <c r="G45" s="44" t="e">
        <f t="shared" si="0"/>
        <v>#N/A</v>
      </c>
      <c r="H45" s="44" t="e">
        <f t="shared" si="1"/>
        <v>#N/A</v>
      </c>
      <c r="I45" s="44" t="e">
        <f t="shared" si="2"/>
        <v>#N/A</v>
      </c>
      <c r="J45" s="44" t="e">
        <f t="shared" si="3"/>
        <v>#N/A</v>
      </c>
      <c r="K45" s="44" t="e">
        <f t="shared" si="4"/>
        <v>#N/A</v>
      </c>
      <c r="L45" s="88" t="e">
        <f t="shared" si="5"/>
        <v>#N/A</v>
      </c>
      <c r="N45" s="66"/>
    </row>
    <row r="46" spans="2:14" x14ac:dyDescent="0.15">
      <c r="B46" s="83">
        <v>8.1999999999999993</v>
      </c>
      <c r="C46" s="83"/>
      <c r="D46" s="83"/>
      <c r="E46" s="83"/>
      <c r="F46" s="83"/>
      <c r="G46" s="43" t="e">
        <f t="shared" si="0"/>
        <v>#N/A</v>
      </c>
      <c r="H46" s="43" t="e">
        <f t="shared" si="1"/>
        <v>#N/A</v>
      </c>
      <c r="I46" s="43" t="e">
        <f t="shared" si="2"/>
        <v>#N/A</v>
      </c>
      <c r="J46" s="43" t="e">
        <f t="shared" si="3"/>
        <v>#N/A</v>
      </c>
      <c r="K46" s="43" t="e">
        <f t="shared" si="4"/>
        <v>#N/A</v>
      </c>
      <c r="L46" s="84" t="e">
        <f t="shared" si="5"/>
        <v>#N/A</v>
      </c>
      <c r="N46" s="66"/>
    </row>
    <row r="47" spans="2:14" x14ac:dyDescent="0.15">
      <c r="B47" s="87">
        <v>8.3000000000000007</v>
      </c>
      <c r="C47" s="87"/>
      <c r="D47" s="87"/>
      <c r="E47" s="87"/>
      <c r="F47" s="87"/>
      <c r="G47" s="44" t="e">
        <f t="shared" si="0"/>
        <v>#N/A</v>
      </c>
      <c r="H47" s="44" t="e">
        <f t="shared" si="1"/>
        <v>#N/A</v>
      </c>
      <c r="I47" s="44" t="e">
        <f t="shared" si="2"/>
        <v>#N/A</v>
      </c>
      <c r="J47" s="44" t="e">
        <f t="shared" si="3"/>
        <v>#N/A</v>
      </c>
      <c r="K47" s="44" t="e">
        <f t="shared" si="4"/>
        <v>#N/A</v>
      </c>
      <c r="L47" s="88" t="e">
        <f t="shared" si="5"/>
        <v>#N/A</v>
      </c>
      <c r="N47" s="66"/>
    </row>
    <row r="48" spans="2:14" x14ac:dyDescent="0.15">
      <c r="B48" s="83">
        <v>9.1</v>
      </c>
      <c r="C48" s="83"/>
      <c r="D48" s="83"/>
      <c r="E48" s="83"/>
      <c r="F48" s="83"/>
      <c r="G48" s="43" t="e">
        <f t="shared" si="0"/>
        <v>#N/A</v>
      </c>
      <c r="H48" s="43" t="e">
        <f t="shared" si="1"/>
        <v>#N/A</v>
      </c>
      <c r="I48" s="43" t="e">
        <f t="shared" si="2"/>
        <v>#N/A</v>
      </c>
      <c r="J48" s="43" t="e">
        <f t="shared" si="3"/>
        <v>#N/A</v>
      </c>
      <c r="K48" s="43" t="e">
        <f t="shared" si="4"/>
        <v>#N/A</v>
      </c>
      <c r="L48" s="84" t="e">
        <f t="shared" si="5"/>
        <v>#N/A</v>
      </c>
      <c r="N48" s="66"/>
    </row>
    <row r="49" spans="2:14" x14ac:dyDescent="0.15">
      <c r="B49" s="87">
        <v>9.1999999999999993</v>
      </c>
      <c r="C49" s="87"/>
      <c r="D49" s="87"/>
      <c r="E49" s="87"/>
      <c r="F49" s="87"/>
      <c r="G49" s="44" t="e">
        <f t="shared" si="0"/>
        <v>#N/A</v>
      </c>
      <c r="H49" s="44" t="e">
        <f t="shared" si="1"/>
        <v>#N/A</v>
      </c>
      <c r="I49" s="44" t="e">
        <f t="shared" si="2"/>
        <v>#N/A</v>
      </c>
      <c r="J49" s="44" t="e">
        <f t="shared" si="3"/>
        <v>#N/A</v>
      </c>
      <c r="K49" s="44" t="e">
        <f t="shared" si="4"/>
        <v>#N/A</v>
      </c>
      <c r="L49" s="88" t="e">
        <f t="shared" si="5"/>
        <v>#N/A</v>
      </c>
      <c r="N49" s="66"/>
    </row>
    <row r="50" spans="2:14" x14ac:dyDescent="0.15">
      <c r="B50" s="83">
        <v>10.1</v>
      </c>
      <c r="C50" s="83"/>
      <c r="D50" s="83"/>
      <c r="E50" s="83"/>
      <c r="F50" s="83"/>
      <c r="G50" s="43" t="e">
        <f t="shared" si="0"/>
        <v>#N/A</v>
      </c>
      <c r="H50" s="43" t="e">
        <f t="shared" si="1"/>
        <v>#N/A</v>
      </c>
      <c r="I50" s="43" t="e">
        <f t="shared" si="2"/>
        <v>#N/A</v>
      </c>
      <c r="J50" s="43" t="e">
        <f t="shared" si="3"/>
        <v>#N/A</v>
      </c>
      <c r="K50" s="43" t="e">
        <f t="shared" si="4"/>
        <v>#N/A</v>
      </c>
      <c r="L50" s="84" t="e">
        <f t="shared" si="5"/>
        <v>#N/A</v>
      </c>
      <c r="N50" s="66"/>
    </row>
    <row r="51" spans="2:14" x14ac:dyDescent="0.15">
      <c r="B51" s="87">
        <v>10.199999999999999</v>
      </c>
      <c r="C51" s="87"/>
      <c r="D51" s="87"/>
      <c r="E51" s="87"/>
      <c r="F51" s="87"/>
      <c r="G51" s="44" t="e">
        <f t="shared" si="0"/>
        <v>#N/A</v>
      </c>
      <c r="H51" s="44" t="e">
        <f t="shared" si="1"/>
        <v>#N/A</v>
      </c>
      <c r="I51" s="44" t="e">
        <f t="shared" si="2"/>
        <v>#N/A</v>
      </c>
      <c r="J51" s="44" t="e">
        <f t="shared" si="3"/>
        <v>#N/A</v>
      </c>
      <c r="K51" s="44" t="e">
        <f t="shared" si="4"/>
        <v>#N/A</v>
      </c>
      <c r="L51" s="88" t="e">
        <f t="shared" si="5"/>
        <v>#N/A</v>
      </c>
      <c r="N51" s="66"/>
    </row>
    <row r="52" spans="2:14" x14ac:dyDescent="0.15">
      <c r="B52" s="83">
        <v>10.3</v>
      </c>
      <c r="C52" s="83"/>
      <c r="D52" s="83"/>
      <c r="E52" s="83"/>
      <c r="F52" s="83"/>
      <c r="G52" s="43" t="e">
        <f t="shared" si="0"/>
        <v>#N/A</v>
      </c>
      <c r="H52" s="43" t="e">
        <f t="shared" si="1"/>
        <v>#N/A</v>
      </c>
      <c r="I52" s="43" t="e">
        <f t="shared" si="2"/>
        <v>#N/A</v>
      </c>
      <c r="J52" s="43" t="e">
        <f t="shared" si="3"/>
        <v>#N/A</v>
      </c>
      <c r="K52" s="43" t="e">
        <f t="shared" si="4"/>
        <v>#N/A</v>
      </c>
      <c r="L52" s="84" t="e">
        <f t="shared" si="5"/>
        <v>#N/A</v>
      </c>
      <c r="N52" s="66"/>
    </row>
    <row r="53" spans="2:14" x14ac:dyDescent="0.15">
      <c r="B53" s="87">
        <v>11.1</v>
      </c>
      <c r="C53" s="87"/>
      <c r="D53" s="87"/>
      <c r="E53" s="87"/>
      <c r="F53" s="87"/>
      <c r="G53" s="44" t="e">
        <f t="shared" si="0"/>
        <v>#N/A</v>
      </c>
      <c r="H53" s="44" t="e">
        <f t="shared" si="1"/>
        <v>#N/A</v>
      </c>
      <c r="I53" s="44" t="e">
        <f t="shared" si="2"/>
        <v>#N/A</v>
      </c>
      <c r="J53" s="44" t="e">
        <f t="shared" si="3"/>
        <v>#N/A</v>
      </c>
      <c r="K53" s="44" t="e">
        <f t="shared" si="4"/>
        <v>#N/A</v>
      </c>
      <c r="L53" s="88" t="e">
        <f t="shared" si="5"/>
        <v>#N/A</v>
      </c>
      <c r="N53" s="66"/>
    </row>
    <row r="54" spans="2:14" x14ac:dyDescent="0.15">
      <c r="B54" s="83">
        <v>11.2</v>
      </c>
      <c r="C54" s="83"/>
      <c r="D54" s="83"/>
      <c r="E54" s="83"/>
      <c r="F54" s="83"/>
      <c r="G54" s="43" t="e">
        <f t="shared" si="0"/>
        <v>#N/A</v>
      </c>
      <c r="H54" s="43" t="e">
        <f t="shared" si="1"/>
        <v>#N/A</v>
      </c>
      <c r="I54" s="43" t="e">
        <f t="shared" si="2"/>
        <v>#N/A</v>
      </c>
      <c r="J54" s="43" t="e">
        <f t="shared" si="3"/>
        <v>#N/A</v>
      </c>
      <c r="K54" s="43" t="e">
        <f t="shared" si="4"/>
        <v>#N/A</v>
      </c>
      <c r="L54" s="84" t="e">
        <f t="shared" si="5"/>
        <v>#N/A</v>
      </c>
      <c r="N54" s="66"/>
    </row>
    <row r="55" spans="2:14" x14ac:dyDescent="0.15">
      <c r="B55" s="87">
        <v>11.3</v>
      </c>
      <c r="C55" s="87"/>
      <c r="D55" s="87"/>
      <c r="E55" s="87"/>
      <c r="F55" s="87"/>
      <c r="G55" s="44" t="e">
        <f t="shared" si="0"/>
        <v>#N/A</v>
      </c>
      <c r="H55" s="44" t="e">
        <f t="shared" si="1"/>
        <v>#N/A</v>
      </c>
      <c r="I55" s="44" t="e">
        <f t="shared" si="2"/>
        <v>#N/A</v>
      </c>
      <c r="J55" s="44" t="e">
        <f t="shared" si="3"/>
        <v>#N/A</v>
      </c>
      <c r="K55" s="44" t="e">
        <f t="shared" si="4"/>
        <v>#N/A</v>
      </c>
      <c r="L55" s="88" t="e">
        <f t="shared" si="5"/>
        <v>#N/A</v>
      </c>
      <c r="N55" s="66"/>
    </row>
    <row r="56" spans="2:14" x14ac:dyDescent="0.15">
      <c r="B56" s="83">
        <v>11.4</v>
      </c>
      <c r="C56" s="83"/>
      <c r="D56" s="83"/>
      <c r="E56" s="83"/>
      <c r="F56" s="83"/>
      <c r="G56" s="43" t="e">
        <f t="shared" si="0"/>
        <v>#N/A</v>
      </c>
      <c r="H56" s="43" t="e">
        <f t="shared" si="1"/>
        <v>#N/A</v>
      </c>
      <c r="I56" s="43" t="e">
        <f t="shared" si="2"/>
        <v>#N/A</v>
      </c>
      <c r="J56" s="43" t="e">
        <f t="shared" si="3"/>
        <v>#N/A</v>
      </c>
      <c r="K56" s="43" t="e">
        <f t="shared" si="4"/>
        <v>#N/A</v>
      </c>
      <c r="L56" s="84" t="e">
        <f t="shared" si="5"/>
        <v>#N/A</v>
      </c>
      <c r="N56" s="66"/>
    </row>
    <row r="57" spans="2:14" x14ac:dyDescent="0.15">
      <c r="B57" s="87">
        <v>12.1</v>
      </c>
      <c r="C57" s="87"/>
      <c r="D57" s="87"/>
      <c r="E57" s="87"/>
      <c r="F57" s="87"/>
      <c r="G57" s="44" t="e">
        <f t="shared" si="0"/>
        <v>#N/A</v>
      </c>
      <c r="H57" s="44" t="e">
        <f t="shared" si="1"/>
        <v>#N/A</v>
      </c>
      <c r="I57" s="44" t="e">
        <f t="shared" si="2"/>
        <v>#N/A</v>
      </c>
      <c r="J57" s="44" t="e">
        <f t="shared" si="3"/>
        <v>#N/A</v>
      </c>
      <c r="K57" s="44" t="e">
        <f t="shared" si="4"/>
        <v>#N/A</v>
      </c>
      <c r="L57" s="88" t="e">
        <f t="shared" si="5"/>
        <v>#N/A</v>
      </c>
      <c r="N57" s="66"/>
    </row>
    <row r="58" spans="2:14" x14ac:dyDescent="0.15">
      <c r="B58" s="83">
        <v>14.1</v>
      </c>
      <c r="C58" s="83"/>
      <c r="D58" s="83"/>
      <c r="E58" s="83"/>
      <c r="F58" s="83"/>
      <c r="G58" s="43" t="e">
        <f t="shared" si="0"/>
        <v>#N/A</v>
      </c>
      <c r="H58" s="43" t="e">
        <f t="shared" si="1"/>
        <v>#N/A</v>
      </c>
      <c r="I58" s="43" t="e">
        <f t="shared" si="2"/>
        <v>#N/A</v>
      </c>
      <c r="J58" s="43" t="e">
        <f t="shared" si="3"/>
        <v>#N/A</v>
      </c>
      <c r="K58" s="43" t="e">
        <f t="shared" si="4"/>
        <v>#N/A</v>
      </c>
      <c r="L58" s="84" t="e">
        <f t="shared" si="5"/>
        <v>#N/A</v>
      </c>
      <c r="N58" s="66"/>
    </row>
    <row r="59" spans="2:14" x14ac:dyDescent="0.15">
      <c r="B59" s="87">
        <v>14.2</v>
      </c>
      <c r="C59" s="87"/>
      <c r="D59" s="87"/>
      <c r="E59" s="87"/>
      <c r="F59" s="87"/>
      <c r="G59" s="44" t="e">
        <f t="shared" si="0"/>
        <v>#N/A</v>
      </c>
      <c r="H59" s="44" t="e">
        <f t="shared" si="1"/>
        <v>#N/A</v>
      </c>
      <c r="I59" s="44" t="e">
        <f t="shared" si="2"/>
        <v>#N/A</v>
      </c>
      <c r="J59" s="44" t="e">
        <f t="shared" si="3"/>
        <v>#N/A</v>
      </c>
      <c r="K59" s="44" t="e">
        <f t="shared" si="4"/>
        <v>#N/A</v>
      </c>
      <c r="L59" s="88" t="e">
        <f t="shared" si="5"/>
        <v>#N/A</v>
      </c>
      <c r="N59" s="66"/>
    </row>
    <row r="60" spans="2:14" x14ac:dyDescent="0.15">
      <c r="B60" s="83">
        <v>14.3</v>
      </c>
      <c r="C60" s="83"/>
      <c r="D60" s="83"/>
      <c r="E60" s="83"/>
      <c r="F60" s="83"/>
      <c r="G60" s="43" t="e">
        <f t="shared" si="0"/>
        <v>#N/A</v>
      </c>
      <c r="H60" s="43" t="e">
        <f t="shared" si="1"/>
        <v>#N/A</v>
      </c>
      <c r="I60" s="43" t="e">
        <f t="shared" si="2"/>
        <v>#N/A</v>
      </c>
      <c r="J60" s="43" t="e">
        <f t="shared" si="3"/>
        <v>#N/A</v>
      </c>
      <c r="K60" s="43" t="e">
        <f t="shared" si="4"/>
        <v>#N/A</v>
      </c>
      <c r="L60" s="84" t="e">
        <f t="shared" si="5"/>
        <v>#N/A</v>
      </c>
      <c r="N60" s="66"/>
    </row>
    <row r="61" spans="2:14" x14ac:dyDescent="0.15">
      <c r="B61" s="87">
        <v>14.4</v>
      </c>
      <c r="C61" s="87"/>
      <c r="D61" s="87"/>
      <c r="E61" s="87"/>
      <c r="F61" s="87"/>
      <c r="G61" s="44" t="e">
        <f t="shared" si="0"/>
        <v>#N/A</v>
      </c>
      <c r="H61" s="44" t="e">
        <f t="shared" si="1"/>
        <v>#N/A</v>
      </c>
      <c r="I61" s="44" t="e">
        <f t="shared" si="2"/>
        <v>#N/A</v>
      </c>
      <c r="J61" s="44" t="e">
        <f t="shared" si="3"/>
        <v>#N/A</v>
      </c>
      <c r="K61" s="44" t="e">
        <f t="shared" si="4"/>
        <v>#N/A</v>
      </c>
      <c r="L61" s="88" t="e">
        <f t="shared" si="5"/>
        <v>#N/A</v>
      </c>
      <c r="N61" s="66"/>
    </row>
    <row r="62" spans="2:14" x14ac:dyDescent="0.15">
      <c r="B62" s="83">
        <v>14.5</v>
      </c>
      <c r="C62" s="83"/>
      <c r="D62" s="83"/>
      <c r="E62" s="83"/>
      <c r="F62" s="83"/>
      <c r="G62" s="43" t="e">
        <f t="shared" si="0"/>
        <v>#N/A</v>
      </c>
      <c r="H62" s="43" t="e">
        <f t="shared" si="1"/>
        <v>#N/A</v>
      </c>
      <c r="I62" s="43" t="e">
        <f t="shared" si="2"/>
        <v>#N/A</v>
      </c>
      <c r="J62" s="43" t="e">
        <f t="shared" si="3"/>
        <v>#N/A</v>
      </c>
      <c r="K62" s="43" t="e">
        <f t="shared" si="4"/>
        <v>#N/A</v>
      </c>
      <c r="L62" s="84" t="e">
        <f t="shared" si="5"/>
        <v>#N/A</v>
      </c>
      <c r="N62" s="66"/>
    </row>
    <row r="63" spans="2:14" x14ac:dyDescent="0.15">
      <c r="B63" s="87">
        <v>14.6</v>
      </c>
      <c r="C63" s="87"/>
      <c r="D63" s="87"/>
      <c r="E63" s="87"/>
      <c r="F63" s="87"/>
      <c r="G63" s="44" t="e">
        <f t="shared" si="0"/>
        <v>#N/A</v>
      </c>
      <c r="H63" s="44" t="e">
        <f t="shared" si="1"/>
        <v>#N/A</v>
      </c>
      <c r="I63" s="44" t="e">
        <f t="shared" si="2"/>
        <v>#N/A</v>
      </c>
      <c r="J63" s="44" t="e">
        <f t="shared" si="3"/>
        <v>#N/A</v>
      </c>
      <c r="K63" s="44" t="e">
        <f t="shared" si="4"/>
        <v>#N/A</v>
      </c>
      <c r="L63" s="88" t="e">
        <f t="shared" si="5"/>
        <v>#N/A</v>
      </c>
      <c r="N63" s="66"/>
    </row>
    <row r="64" spans="2:14" x14ac:dyDescent="0.15">
      <c r="B64" s="83">
        <v>14.7</v>
      </c>
      <c r="C64" s="83"/>
      <c r="D64" s="83"/>
      <c r="E64" s="83"/>
      <c r="F64" s="83"/>
      <c r="G64" s="43" t="e">
        <f t="shared" si="0"/>
        <v>#N/A</v>
      </c>
      <c r="H64" s="43" t="e">
        <f t="shared" si="1"/>
        <v>#N/A</v>
      </c>
      <c r="I64" s="43" t="e">
        <f t="shared" si="2"/>
        <v>#N/A</v>
      </c>
      <c r="J64" s="43" t="e">
        <f t="shared" si="3"/>
        <v>#N/A</v>
      </c>
      <c r="K64" s="43" t="e">
        <f t="shared" si="4"/>
        <v>#N/A</v>
      </c>
      <c r="L64" s="84" t="e">
        <f t="shared" si="5"/>
        <v>#N/A</v>
      </c>
      <c r="N64" s="66"/>
    </row>
    <row r="65" spans="2:14" x14ac:dyDescent="0.15">
      <c r="B65" s="87">
        <v>14.8</v>
      </c>
      <c r="C65" s="87"/>
      <c r="D65" s="87"/>
      <c r="E65" s="87"/>
      <c r="F65" s="87"/>
      <c r="G65" s="44" t="e">
        <f t="shared" si="0"/>
        <v>#N/A</v>
      </c>
      <c r="H65" s="44" t="e">
        <f t="shared" si="1"/>
        <v>#N/A</v>
      </c>
      <c r="I65" s="44" t="e">
        <f t="shared" si="2"/>
        <v>#N/A</v>
      </c>
      <c r="J65" s="44" t="e">
        <f t="shared" si="3"/>
        <v>#N/A</v>
      </c>
      <c r="K65" s="44" t="e">
        <f t="shared" si="4"/>
        <v>#N/A</v>
      </c>
      <c r="L65" s="88" t="e">
        <f t="shared" si="5"/>
        <v>#N/A</v>
      </c>
      <c r="N65" s="66"/>
    </row>
    <row r="66" spans="2:14" x14ac:dyDescent="0.15">
      <c r="B66" s="83">
        <v>15.1</v>
      </c>
      <c r="C66" s="83"/>
      <c r="D66" s="83"/>
      <c r="E66" s="83"/>
      <c r="F66" s="83"/>
      <c r="G66" s="43" t="e">
        <f t="shared" si="0"/>
        <v>#N/A</v>
      </c>
      <c r="H66" s="43" t="e">
        <f t="shared" si="1"/>
        <v>#N/A</v>
      </c>
      <c r="I66" s="43" t="e">
        <f t="shared" si="2"/>
        <v>#N/A</v>
      </c>
      <c r="J66" s="43" t="e">
        <f t="shared" si="3"/>
        <v>#N/A</v>
      </c>
      <c r="K66" s="43" t="e">
        <f t="shared" si="4"/>
        <v>#N/A</v>
      </c>
      <c r="L66" s="84" t="e">
        <f t="shared" si="5"/>
        <v>#N/A</v>
      </c>
      <c r="N66" s="66"/>
    </row>
    <row r="67" spans="2:14" x14ac:dyDescent="0.15">
      <c r="B67" s="87">
        <v>17.100000000000001</v>
      </c>
      <c r="C67" s="87"/>
      <c r="D67" s="87"/>
      <c r="E67" s="87"/>
      <c r="F67" s="87"/>
      <c r="G67" s="44" t="e">
        <f t="shared" si="0"/>
        <v>#N/A</v>
      </c>
      <c r="H67" s="44" t="e">
        <f t="shared" si="1"/>
        <v>#N/A</v>
      </c>
      <c r="I67" s="44" t="e">
        <f t="shared" si="2"/>
        <v>#N/A</v>
      </c>
      <c r="J67" s="44" t="e">
        <f t="shared" si="3"/>
        <v>#N/A</v>
      </c>
      <c r="K67" s="44" t="e">
        <f t="shared" si="4"/>
        <v>#N/A</v>
      </c>
      <c r="L67" s="88" t="e">
        <f t="shared" si="5"/>
        <v>#N/A</v>
      </c>
      <c r="N67" s="66"/>
    </row>
    <row r="68" spans="2:14" x14ac:dyDescent="0.15">
      <c r="B68" s="83">
        <v>17.2</v>
      </c>
      <c r="C68" s="83"/>
      <c r="D68" s="83"/>
      <c r="E68" s="83"/>
      <c r="F68" s="83"/>
      <c r="G68" s="43" t="e">
        <f t="shared" si="0"/>
        <v>#N/A</v>
      </c>
      <c r="H68" s="43" t="e">
        <f t="shared" si="1"/>
        <v>#N/A</v>
      </c>
      <c r="I68" s="43" t="e">
        <f t="shared" si="2"/>
        <v>#N/A</v>
      </c>
      <c r="J68" s="43" t="e">
        <f t="shared" si="3"/>
        <v>#N/A</v>
      </c>
      <c r="K68" s="43" t="e">
        <f t="shared" si="4"/>
        <v>#N/A</v>
      </c>
      <c r="L68" s="84" t="e">
        <f t="shared" si="5"/>
        <v>#N/A</v>
      </c>
      <c r="N68" s="66"/>
    </row>
    <row r="69" spans="2:14" ht="14" thickBot="1" x14ac:dyDescent="0.2">
      <c r="B69" s="89">
        <v>17.3</v>
      </c>
      <c r="C69" s="89"/>
      <c r="D69" s="89"/>
      <c r="E69" s="89"/>
      <c r="F69" s="89"/>
      <c r="G69" s="45" t="e">
        <f t="shared" si="0"/>
        <v>#N/A</v>
      </c>
      <c r="H69" s="45" t="e">
        <f t="shared" si="1"/>
        <v>#N/A</v>
      </c>
      <c r="I69" s="45" t="e">
        <f t="shared" si="2"/>
        <v>#N/A</v>
      </c>
      <c r="J69" s="45" t="e">
        <f t="shared" si="3"/>
        <v>#N/A</v>
      </c>
      <c r="K69" s="45" t="e">
        <f t="shared" si="4"/>
        <v>#N/A</v>
      </c>
      <c r="L69" s="90" t="e">
        <f t="shared" si="5"/>
        <v>#N/A</v>
      </c>
      <c r="N69" s="66"/>
    </row>
  </sheetData>
  <sheetProtection sheet="1" objects="1" scenarios="1"/>
  <mergeCells count="7">
    <mergeCell ref="B1:L1"/>
    <mergeCell ref="I4:L9"/>
    <mergeCell ref="N17:N19"/>
    <mergeCell ref="L12:L13"/>
    <mergeCell ref="C12:F12"/>
    <mergeCell ref="G12:J12"/>
    <mergeCell ref="K12:K13"/>
  </mergeCell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962D-6070-41F7-9ECF-16D84F731A45}">
  <sheetPr>
    <tabColor rgb="FFFF0000"/>
  </sheetPr>
  <dimension ref="B2:AF88"/>
  <sheetViews>
    <sheetView showGridLines="0" zoomScaleNormal="100" workbookViewId="0"/>
  </sheetViews>
  <sheetFormatPr baseColWidth="10" defaultColWidth="9.1640625" defaultRowHeight="13" x14ac:dyDescent="0.15"/>
  <cols>
    <col min="1" max="1" width="9.1640625" style="2"/>
    <col min="2" max="2" width="21.5" style="2" bestFit="1" customWidth="1"/>
    <col min="3" max="3" width="20.6640625" style="14" customWidth="1"/>
    <col min="4" max="6" width="20.6640625" style="2" customWidth="1"/>
    <col min="7" max="12" width="12" style="2" customWidth="1"/>
    <col min="13" max="13" width="12.1640625" style="2" customWidth="1"/>
    <col min="14" max="14" width="20.5" style="2" customWidth="1"/>
    <col min="15" max="15" width="14.6640625" style="2" customWidth="1"/>
    <col min="16" max="16" width="22.5" style="2" customWidth="1"/>
    <col min="17" max="17" width="72.6640625" style="2" customWidth="1"/>
    <col min="18" max="18" width="22.5" style="2" customWidth="1"/>
    <col min="19" max="19" width="18.1640625" style="2" customWidth="1"/>
    <col min="20" max="20" width="20.5" style="2" customWidth="1"/>
    <col min="21" max="26" width="15.5" style="2" customWidth="1"/>
    <col min="27" max="27" width="17.5" style="2" customWidth="1"/>
    <col min="28" max="28" width="14.33203125" style="2" customWidth="1"/>
    <col min="29" max="29" width="20.1640625" style="2" customWidth="1"/>
    <col min="30" max="32" width="13.6640625" style="2" customWidth="1"/>
    <col min="33" max="16384" width="9.1640625" style="2"/>
  </cols>
  <sheetData>
    <row r="2" spans="2:14" x14ac:dyDescent="0.15">
      <c r="B2" s="184" t="s">
        <v>270</v>
      </c>
      <c r="C2" s="1" t="s">
        <v>111</v>
      </c>
      <c r="D2" s="187" t="s">
        <v>372</v>
      </c>
      <c r="E2" s="187"/>
    </row>
    <row r="3" spans="2:14" x14ac:dyDescent="0.15">
      <c r="B3" s="185"/>
      <c r="C3" s="1" t="s">
        <v>26</v>
      </c>
      <c r="D3" s="187" t="s">
        <v>373</v>
      </c>
      <c r="E3" s="187"/>
    </row>
    <row r="4" spans="2:14" x14ac:dyDescent="0.15">
      <c r="B4" s="186"/>
      <c r="C4" s="1" t="s">
        <v>27</v>
      </c>
      <c r="D4" s="188">
        <v>45870</v>
      </c>
      <c r="E4" s="187"/>
    </row>
    <row r="6" spans="2:14" x14ac:dyDescent="0.15">
      <c r="B6" s="3"/>
      <c r="C6" s="4"/>
      <c r="D6" s="4"/>
      <c r="E6" s="4"/>
      <c r="F6" s="4"/>
      <c r="G6" s="4"/>
      <c r="H6" s="4"/>
      <c r="I6" s="4"/>
      <c r="J6" s="4"/>
      <c r="K6" s="4"/>
      <c r="L6" s="4"/>
      <c r="M6" s="4"/>
      <c r="N6" s="4"/>
    </row>
    <row r="8" spans="2:14" x14ac:dyDescent="0.15">
      <c r="B8" s="5" t="s">
        <v>21</v>
      </c>
      <c r="C8" s="189"/>
      <c r="D8" s="189"/>
      <c r="E8" s="189"/>
      <c r="F8" s="189"/>
      <c r="H8" s="193"/>
      <c r="I8" s="193"/>
    </row>
    <row r="9" spans="2:14" x14ac:dyDescent="0.15">
      <c r="C9" s="2"/>
      <c r="H9" s="193"/>
      <c r="I9" s="193"/>
    </row>
    <row r="10" spans="2:14" ht="14" x14ac:dyDescent="0.15">
      <c r="B10" s="6" t="s">
        <v>5</v>
      </c>
      <c r="C10" s="7" t="s">
        <v>6</v>
      </c>
      <c r="D10" s="7" t="s">
        <v>112</v>
      </c>
      <c r="E10" s="37" t="s">
        <v>113</v>
      </c>
      <c r="F10" s="7" t="s">
        <v>25</v>
      </c>
      <c r="H10" s="193"/>
      <c r="I10" s="193"/>
    </row>
    <row r="11" spans="2:14" ht="28" x14ac:dyDescent="0.15">
      <c r="B11" s="8" t="s">
        <v>4</v>
      </c>
      <c r="C11" s="32"/>
      <c r="D11" s="32"/>
      <c r="E11" s="33" t="s">
        <v>40</v>
      </c>
      <c r="F11" s="32"/>
      <c r="H11" s="193"/>
      <c r="I11" s="193"/>
    </row>
    <row r="12" spans="2:14" ht="28" x14ac:dyDescent="0.15">
      <c r="B12" s="9" t="s">
        <v>34</v>
      </c>
      <c r="C12" s="10" t="s">
        <v>29</v>
      </c>
      <c r="D12" s="10" t="s">
        <v>31</v>
      </c>
      <c r="E12" s="11">
        <v>20000</v>
      </c>
      <c r="F12" s="10" t="s">
        <v>37</v>
      </c>
      <c r="H12" s="193"/>
      <c r="I12" s="193"/>
    </row>
    <row r="13" spans="2:14" ht="56" x14ac:dyDescent="0.15">
      <c r="B13" s="9" t="s">
        <v>35</v>
      </c>
      <c r="C13" s="10" t="s">
        <v>30</v>
      </c>
      <c r="D13" s="10" t="s">
        <v>32</v>
      </c>
      <c r="E13" s="11">
        <v>250000</v>
      </c>
      <c r="F13" s="10" t="s">
        <v>38</v>
      </c>
      <c r="H13" s="193"/>
      <c r="I13" s="193"/>
    </row>
    <row r="14" spans="2:14" ht="42" x14ac:dyDescent="0.15">
      <c r="B14" s="9" t="s">
        <v>36</v>
      </c>
      <c r="C14" s="10" t="s">
        <v>28</v>
      </c>
      <c r="D14" s="10" t="s">
        <v>33</v>
      </c>
      <c r="E14" s="12"/>
      <c r="F14" s="10" t="s">
        <v>39</v>
      </c>
      <c r="H14" s="193"/>
      <c r="I14" s="193"/>
    </row>
    <row r="16" spans="2:14" x14ac:dyDescent="0.15">
      <c r="B16" s="3"/>
      <c r="C16" s="4"/>
      <c r="D16" s="4"/>
      <c r="E16" s="4"/>
      <c r="F16" s="4"/>
      <c r="G16" s="4"/>
      <c r="H16" s="4"/>
      <c r="I16" s="4"/>
      <c r="J16" s="4"/>
      <c r="K16" s="4"/>
      <c r="L16" s="4"/>
      <c r="M16" s="4"/>
      <c r="N16" s="4"/>
    </row>
    <row r="18" spans="2:32" ht="58.5" customHeight="1" x14ac:dyDescent="0.15">
      <c r="B18" s="5" t="s">
        <v>42</v>
      </c>
      <c r="C18" s="194" t="s">
        <v>304</v>
      </c>
      <c r="D18" s="195"/>
      <c r="E18" s="196"/>
      <c r="H18" s="197"/>
    </row>
    <row r="19" spans="2:32" x14ac:dyDescent="0.15">
      <c r="B19" s="13"/>
      <c r="C19" s="10"/>
      <c r="D19" s="10"/>
      <c r="E19" s="10"/>
      <c r="H19" s="197"/>
    </row>
    <row r="20" spans="2:32" ht="28" x14ac:dyDescent="0.15">
      <c r="B20" s="6" t="s">
        <v>24</v>
      </c>
      <c r="C20" s="7" t="s">
        <v>19</v>
      </c>
      <c r="D20" s="7" t="s">
        <v>114</v>
      </c>
      <c r="E20" s="7" t="s">
        <v>20</v>
      </c>
      <c r="F20" s="198"/>
      <c r="G20" s="198"/>
      <c r="H20" s="197"/>
    </row>
    <row r="21" spans="2:32" x14ac:dyDescent="0.15">
      <c r="B21" s="9" t="s">
        <v>300</v>
      </c>
      <c r="C21" s="34">
        <v>2</v>
      </c>
      <c r="D21" s="34">
        <v>3</v>
      </c>
      <c r="E21" s="34">
        <v>3</v>
      </c>
      <c r="F21" s="198"/>
      <c r="G21" s="198"/>
      <c r="H21" s="197"/>
    </row>
    <row r="22" spans="2:32" x14ac:dyDescent="0.15">
      <c r="B22" s="9" t="s">
        <v>107</v>
      </c>
      <c r="C22" s="34">
        <v>3</v>
      </c>
      <c r="D22" s="34">
        <v>2</v>
      </c>
      <c r="E22" s="34">
        <v>3</v>
      </c>
      <c r="F22" s="198"/>
      <c r="G22" s="198"/>
      <c r="H22" s="197"/>
    </row>
    <row r="23" spans="2:32" x14ac:dyDescent="0.15">
      <c r="B23" s="9" t="s">
        <v>108</v>
      </c>
      <c r="C23" s="34">
        <v>2</v>
      </c>
      <c r="D23" s="34">
        <v>2</v>
      </c>
      <c r="E23" s="34">
        <v>3</v>
      </c>
      <c r="F23" s="198"/>
      <c r="G23" s="198"/>
      <c r="H23" s="197"/>
    </row>
    <row r="24" spans="2:32" x14ac:dyDescent="0.15">
      <c r="B24" s="9" t="s">
        <v>109</v>
      </c>
      <c r="C24" s="34">
        <v>2</v>
      </c>
      <c r="D24" s="34">
        <v>2</v>
      </c>
      <c r="E24" s="34">
        <v>3</v>
      </c>
      <c r="F24" s="198"/>
      <c r="G24" s="198"/>
      <c r="H24" s="197"/>
    </row>
    <row r="25" spans="2:32" x14ac:dyDescent="0.15">
      <c r="B25" s="9" t="s">
        <v>110</v>
      </c>
      <c r="C25" s="34">
        <v>2</v>
      </c>
      <c r="D25" s="34">
        <v>2</v>
      </c>
      <c r="E25" s="34">
        <v>2</v>
      </c>
      <c r="F25" s="198"/>
      <c r="G25" s="198"/>
      <c r="H25" s="197"/>
    </row>
    <row r="26" spans="2:32" x14ac:dyDescent="0.15">
      <c r="B26" s="9" t="s">
        <v>302</v>
      </c>
      <c r="C26" s="34">
        <v>1</v>
      </c>
      <c r="D26" s="34">
        <v>2</v>
      </c>
      <c r="E26" s="34">
        <v>2</v>
      </c>
      <c r="F26" s="198"/>
      <c r="G26" s="198"/>
      <c r="H26" s="197"/>
    </row>
    <row r="28" spans="2:32" x14ac:dyDescent="0.15">
      <c r="B28" s="3"/>
      <c r="C28" s="4"/>
      <c r="D28" s="4"/>
      <c r="E28" s="4"/>
      <c r="F28" s="4"/>
      <c r="G28" s="4"/>
      <c r="H28" s="4"/>
      <c r="I28" s="4"/>
      <c r="J28" s="4"/>
      <c r="K28" s="4"/>
      <c r="L28" s="4"/>
      <c r="M28" s="4"/>
      <c r="N28" s="4"/>
      <c r="O28" s="4"/>
      <c r="P28" s="4"/>
      <c r="Q28" s="4"/>
      <c r="R28" s="4"/>
      <c r="S28" s="4"/>
      <c r="T28" s="4"/>
      <c r="U28" s="4"/>
      <c r="V28" s="4"/>
      <c r="W28" s="4"/>
      <c r="X28" s="4"/>
      <c r="Y28" s="4"/>
      <c r="Z28" s="4"/>
      <c r="AA28" s="4"/>
      <c r="AB28" s="4"/>
    </row>
    <row r="30" spans="2:32" ht="26.25" customHeight="1" x14ac:dyDescent="0.15">
      <c r="B30" s="29" t="s">
        <v>41</v>
      </c>
      <c r="C30" s="199" t="s">
        <v>166</v>
      </c>
      <c r="D30" s="200"/>
      <c r="E30" s="200"/>
      <c r="F30" s="200"/>
      <c r="G30" s="200"/>
      <c r="H30" s="200"/>
      <c r="I30" s="200"/>
      <c r="J30" s="200"/>
      <c r="K30" s="200"/>
      <c r="L30" s="200"/>
      <c r="M30" s="201"/>
      <c r="N30" s="29" t="s">
        <v>41</v>
      </c>
      <c r="O30" s="199" t="s">
        <v>164</v>
      </c>
      <c r="P30" s="200"/>
      <c r="Q30" s="200"/>
      <c r="R30" s="200"/>
      <c r="S30" s="200"/>
      <c r="T30" s="200"/>
      <c r="U30" s="200"/>
      <c r="V30" s="200"/>
      <c r="W30" s="200"/>
      <c r="X30" s="200"/>
      <c r="Y30" s="200"/>
      <c r="Z30" s="200"/>
      <c r="AA30" s="200"/>
      <c r="AB30" s="201"/>
      <c r="AD30" s="190" t="s">
        <v>271</v>
      </c>
      <c r="AE30" s="191"/>
      <c r="AF30" s="192"/>
    </row>
    <row r="32" spans="2:32" s="17" customFormat="1" ht="56" x14ac:dyDescent="0.15">
      <c r="B32" s="15" t="s">
        <v>125</v>
      </c>
      <c r="C32" s="15" t="s">
        <v>126</v>
      </c>
      <c r="D32" s="15" t="s">
        <v>292</v>
      </c>
      <c r="E32" s="15" t="s">
        <v>24</v>
      </c>
      <c r="F32" s="7" t="s">
        <v>178</v>
      </c>
      <c r="G32" s="15" t="s">
        <v>22</v>
      </c>
      <c r="H32" s="15" t="s">
        <v>268</v>
      </c>
      <c r="I32" s="15" t="s">
        <v>0</v>
      </c>
      <c r="J32" s="15" t="s">
        <v>115</v>
      </c>
      <c r="K32" s="15" t="s">
        <v>1</v>
      </c>
      <c r="L32" s="15" t="s">
        <v>2</v>
      </c>
      <c r="M32" s="15" t="s">
        <v>3</v>
      </c>
      <c r="N32" s="7" t="s">
        <v>182</v>
      </c>
      <c r="O32" s="16" t="s">
        <v>43</v>
      </c>
      <c r="P32" s="16" t="s">
        <v>47</v>
      </c>
      <c r="Q32" s="16" t="s">
        <v>48</v>
      </c>
      <c r="R32" s="37" t="s">
        <v>127</v>
      </c>
      <c r="S32" s="7" t="s">
        <v>179</v>
      </c>
      <c r="T32" s="16" t="s">
        <v>269</v>
      </c>
      <c r="U32" s="16" t="s">
        <v>49</v>
      </c>
      <c r="V32" s="16" t="s">
        <v>116</v>
      </c>
      <c r="W32" s="16" t="s">
        <v>50</v>
      </c>
      <c r="X32" s="16" t="s">
        <v>52</v>
      </c>
      <c r="Y32" s="16" t="s">
        <v>165</v>
      </c>
      <c r="Z32" s="37" t="s">
        <v>51</v>
      </c>
      <c r="AA32" s="37" t="s">
        <v>121</v>
      </c>
      <c r="AB32" s="37" t="s">
        <v>44</v>
      </c>
      <c r="AD32" s="18" t="s">
        <v>117</v>
      </c>
      <c r="AE32" s="18" t="s">
        <v>45</v>
      </c>
      <c r="AF32" s="18" t="s">
        <v>46</v>
      </c>
    </row>
    <row r="33" spans="2:32" ht="154" x14ac:dyDescent="0.15">
      <c r="B33" s="19">
        <v>1.1000000000000001</v>
      </c>
      <c r="C33" s="20" t="s">
        <v>55</v>
      </c>
      <c r="D33" s="16" t="s">
        <v>293</v>
      </c>
      <c r="E33" s="150" t="s">
        <v>108</v>
      </c>
      <c r="F33" s="22">
        <v>3</v>
      </c>
      <c r="G33" s="36">
        <f>IFERROR(VLOOKUP(tblRiskRegister152[[#This Row],[Asset Class]],tblVCDBIndex[#Data],4,FALSE),"")</f>
        <v>4</v>
      </c>
      <c r="H33" s="36">
        <f>IFERROR(VLOOKUP(10*tblRiskRegister152[[#This Row],[Safeguard Maturity Score]]+tblRiskRegister152[[#This Row],[VCDB Index]],tblHITIndexWeightTable[#Data],4,FALSE),"")</f>
        <v>3</v>
      </c>
      <c r="I33" s="36">
        <f>VLOOKUP(tblRiskRegister152[[#This Row],[Asset Class]],tblImpactIndex175[],2,FALSE)</f>
        <v>2</v>
      </c>
      <c r="J33" s="36">
        <f>VLOOKUP(tblRiskRegister152[[#This Row],[Asset Class]],tblImpactIndex175[],3,FALSE)</f>
        <v>2</v>
      </c>
      <c r="K33" s="36">
        <f>VLOOKUP(tblRiskRegister152[[#This Row],[Asset Class]],tblImpactIndex175[],4,FALSE)</f>
        <v>3</v>
      </c>
      <c r="L33" s="36">
        <f>IFERROR(MAX(tblRiskRegister152[[#This Row],[Impact to Mission]:[Impact to Obligations]])*tblRiskRegister152[[#This Row],[Expectancy Score]],"")</f>
        <v>9</v>
      </c>
      <c r="M33" s="36">
        <f>tblRiskRegister152[[#This Row],[Risk Score]]</f>
        <v>9</v>
      </c>
      <c r="N33" s="31" t="s">
        <v>363</v>
      </c>
      <c r="O33" s="19">
        <v>1.1000000000000001</v>
      </c>
      <c r="P33" s="20" t="s">
        <v>55</v>
      </c>
      <c r="Q33" s="20" t="s">
        <v>128</v>
      </c>
      <c r="R33" s="21" t="s">
        <v>370</v>
      </c>
      <c r="S33" s="22">
        <v>5</v>
      </c>
      <c r="T33" s="35">
        <f>IFERROR(VLOOKUP(10*tblRiskRegister152[[#This Row],[Risk Treatment Safeguard Maturity Score]]+tblRiskRegister152[[#This Row],[VCDB Index]],tblHITIndexWeightTable[#Data],4,FALSE),"")</f>
        <v>1</v>
      </c>
      <c r="U33" s="35">
        <f>VLOOKUP(tblRiskRegister152[[#This Row],[Asset Class]],tblImpactIndex175[],2,FALSE)</f>
        <v>2</v>
      </c>
      <c r="V33" s="35">
        <f>VLOOKUP(tblRiskRegister152[[#This Row],[Asset Class]],tblImpactIndex175[],3,FALSE)</f>
        <v>2</v>
      </c>
      <c r="W33" s="35">
        <f>VLOOKUP(tblRiskRegister152[[#This Row],[Asset Class]],tblImpactIndex175[],4,FALSE)</f>
        <v>3</v>
      </c>
      <c r="X33" s="35">
        <f>IFERROR(MAX(tblRiskRegister152[[#This Row],[Risk Treatment Safeguard Impact to Mission]:[Risk Treatment Safeguard Impact to Obligations]])*tblRiskRegister152[[#This Row],[Risk Treatment
Safeguard Expectancy Score]],"")</f>
        <v>3</v>
      </c>
      <c r="Y33" s="35" t="str">
        <f>IF(tblRiskRegister152[[#This Row],[Risk Score]]&gt;5,IF(tblRiskRegister152[[#This Row],[Risk Treatment Safeguard Risk Score]]&lt;6, IF(tblRiskRegister152[[#This Row],[Risk Treatment Safeguard Risk Score]]&lt;=tblRiskRegister152[[#This Row],[Risk Score]],"Yes","No"),"No"),"Yes")</f>
        <v>Yes</v>
      </c>
      <c r="Z33" s="23">
        <v>5000</v>
      </c>
      <c r="AA33" s="23" t="s">
        <v>371</v>
      </c>
      <c r="AB33" s="24">
        <v>2025</v>
      </c>
      <c r="AD33" s="25">
        <f>SUMIF(tblRiskRegister152[[#All],[Implementation Year]],"="&amp;tblCostImpacts163[[#This Row],[Year]],tblRiskRegister152[[#All],[Risk Treatment Safeguard Cost]])</f>
        <v>5000</v>
      </c>
      <c r="AE33" s="13">
        <v>2025</v>
      </c>
      <c r="AF33" s="13" t="str">
        <f>IF(tblCostImpacts163[[#This Row],[Impact to Financial Objectives]]&lt;=$E$12,"Yes","No")</f>
        <v>Yes</v>
      </c>
    </row>
    <row r="34" spans="2:32" ht="42" x14ac:dyDescent="0.15">
      <c r="B34" s="19">
        <v>1.2</v>
      </c>
      <c r="C34" s="20" t="s">
        <v>15</v>
      </c>
      <c r="D34" s="16" t="s">
        <v>294</v>
      </c>
      <c r="E34" s="150" t="s">
        <v>108</v>
      </c>
      <c r="F34" s="22">
        <v>3</v>
      </c>
      <c r="G34" s="36">
        <f>IFERROR(VLOOKUP(tblRiskRegister152[[#This Row],[Asset Class]],tblVCDBIndex[#Data],4,FALSE),"")</f>
        <v>4</v>
      </c>
      <c r="H34" s="36">
        <f>IFERROR(VLOOKUP(10*tblRiskRegister152[[#This Row],[Safeguard Maturity Score]]+tblRiskRegister152[[#This Row],[VCDB Index]],tblHITIndexWeightTable[#Data],4,FALSE),"")</f>
        <v>3</v>
      </c>
      <c r="I34" s="36">
        <f>VLOOKUP(tblRiskRegister152[[#This Row],[Asset Class]],tblImpactIndex175[],2,FALSE)</f>
        <v>2</v>
      </c>
      <c r="J34" s="36">
        <f>VLOOKUP(tblRiskRegister152[[#This Row],[Asset Class]],tblImpactIndex175[],3,FALSE)</f>
        <v>2</v>
      </c>
      <c r="K34" s="36">
        <f>VLOOKUP(tblRiskRegister152[[#This Row],[Asset Class]],tblImpactIndex175[],4,FALSE)</f>
        <v>3</v>
      </c>
      <c r="L34" s="36">
        <f>IFERROR(MAX(tblRiskRegister152[[#This Row],[Impact to Mission]:[Impact to Obligations]])*tblRiskRegister152[[#This Row],[Expectancy Score]],"")</f>
        <v>9</v>
      </c>
      <c r="M34" s="36">
        <f>tblRiskRegister152[[#This Row],[Risk Score]]</f>
        <v>9</v>
      </c>
      <c r="N34" s="31" t="s">
        <v>363</v>
      </c>
      <c r="O34" s="19">
        <v>1.2</v>
      </c>
      <c r="P34" s="20" t="s">
        <v>15</v>
      </c>
      <c r="Q34" s="20" t="s">
        <v>129</v>
      </c>
      <c r="R34" s="21" t="s">
        <v>370</v>
      </c>
      <c r="S34" s="22">
        <v>5</v>
      </c>
      <c r="T34" s="35">
        <f>IFERROR(VLOOKUP(10*tblRiskRegister152[[#This Row],[Risk Treatment Safeguard Maturity Score]]+tblRiskRegister152[[#This Row],[VCDB Index]],tblHITIndexWeightTable[#Data],4,FALSE),"")</f>
        <v>1</v>
      </c>
      <c r="U34" s="35">
        <f>VLOOKUP(tblRiskRegister152[[#This Row],[Asset Class]],tblImpactIndex175[],2,FALSE)</f>
        <v>2</v>
      </c>
      <c r="V34" s="35">
        <f>VLOOKUP(tblRiskRegister152[[#This Row],[Asset Class]],tblImpactIndex175[],3,FALSE)</f>
        <v>2</v>
      </c>
      <c r="W34" s="35">
        <f>VLOOKUP(tblRiskRegister152[[#This Row],[Asset Class]],tblImpactIndex175[],4,FALSE)</f>
        <v>3</v>
      </c>
      <c r="X34" s="35">
        <f>IFERROR(MAX(tblRiskRegister152[[#This Row],[Risk Treatment Safeguard Impact to Mission]:[Risk Treatment Safeguard Impact to Obligations]])*tblRiskRegister152[[#This Row],[Risk Treatment
Safeguard Expectancy Score]],"")</f>
        <v>3</v>
      </c>
      <c r="Y34" s="35" t="str">
        <f>IF(tblRiskRegister152[[#This Row],[Risk Score]]&gt;5,IF(tblRiskRegister152[[#This Row],[Risk Treatment Safeguard Risk Score]]&lt;6, IF(tblRiskRegister152[[#This Row],[Risk Treatment Safeguard Risk Score]]&lt;=tblRiskRegister152[[#This Row],[Risk Score]],"Yes","No"),"No"),"Yes")</f>
        <v>Yes</v>
      </c>
      <c r="Z34" s="23"/>
      <c r="AA34" s="23" t="s">
        <v>369</v>
      </c>
      <c r="AB34" s="24">
        <v>2025</v>
      </c>
      <c r="AD34" s="25">
        <f>SUMIF(tblRiskRegister152[[#All],[Implementation Year]],"="&amp;tblCostImpacts163[[#This Row],[Year]],tblRiskRegister152[[#All],[Risk Treatment Safeguard Cost]])</f>
        <v>0</v>
      </c>
      <c r="AE34" s="13">
        <v>2026</v>
      </c>
      <c r="AF34" s="13" t="str">
        <f>IF(tblCostImpacts163[[#This Row],[Impact to Financial Objectives]]&lt;=$E$12,"Yes","No")</f>
        <v>Yes</v>
      </c>
    </row>
    <row r="35" spans="2:32" ht="84" x14ac:dyDescent="0.15">
      <c r="B35" s="19">
        <v>2.1</v>
      </c>
      <c r="C35" s="20" t="s">
        <v>56</v>
      </c>
      <c r="D35" s="16" t="s">
        <v>293</v>
      </c>
      <c r="E35" s="150" t="s">
        <v>300</v>
      </c>
      <c r="F35" s="22">
        <v>2</v>
      </c>
      <c r="G35" s="36">
        <f>IFERROR(VLOOKUP(tblRiskRegister152[[#This Row],[Asset Class]],tblVCDBIndex[#Data],4,FALSE),"")</f>
        <v>2</v>
      </c>
      <c r="H35" s="36">
        <f>IFERROR(VLOOKUP(10*tblRiskRegister152[[#This Row],[Safeguard Maturity Score]]+tblRiskRegister152[[#This Row],[VCDB Index]],tblHITIndexWeightTable[#Data],4,FALSE),"")</f>
        <v>2</v>
      </c>
      <c r="I35" s="36">
        <f>VLOOKUP(tblRiskRegister152[[#This Row],[Asset Class]],tblImpactIndex175[],2,FALSE)</f>
        <v>2</v>
      </c>
      <c r="J35" s="36">
        <f>VLOOKUP(tblRiskRegister152[[#This Row],[Asset Class]],tblImpactIndex175[],3,FALSE)</f>
        <v>3</v>
      </c>
      <c r="K35" s="36">
        <f>VLOOKUP(tblRiskRegister152[[#This Row],[Asset Class]],tblImpactIndex175[],4,FALSE)</f>
        <v>3</v>
      </c>
      <c r="L35" s="36">
        <f>IFERROR(MAX(tblRiskRegister152[[#This Row],[Impact to Mission]:[Impact to Obligations]])*tblRiskRegister152[[#This Row],[Expectancy Score]],"")</f>
        <v>6</v>
      </c>
      <c r="M35" s="36">
        <f>tblRiskRegister152[[#This Row],[Risk Score]]</f>
        <v>6</v>
      </c>
      <c r="N35" s="31" t="s">
        <v>363</v>
      </c>
      <c r="O35" s="19">
        <v>2.1</v>
      </c>
      <c r="P35" s="20" t="s">
        <v>56</v>
      </c>
      <c r="Q35" s="20" t="s">
        <v>314</v>
      </c>
      <c r="R35" s="21" t="s">
        <v>368</v>
      </c>
      <c r="S35" s="22">
        <v>4</v>
      </c>
      <c r="T35" s="35">
        <f>IFERROR(VLOOKUP(10*tblRiskRegister152[[#This Row],[Risk Treatment Safeguard Maturity Score]]+tblRiskRegister152[[#This Row],[VCDB Index]],tblHITIndexWeightTable[#Data],4,FALSE),"")</f>
        <v>1</v>
      </c>
      <c r="U35" s="35">
        <f>VLOOKUP(tblRiskRegister152[[#This Row],[Asset Class]],tblImpactIndex175[],2,FALSE)</f>
        <v>2</v>
      </c>
      <c r="V35" s="35">
        <f>VLOOKUP(tblRiskRegister152[[#This Row],[Asset Class]],tblImpactIndex175[],3,FALSE)</f>
        <v>3</v>
      </c>
      <c r="W35" s="35">
        <f>VLOOKUP(tblRiskRegister152[[#This Row],[Asset Class]],tblImpactIndex175[],4,FALSE)</f>
        <v>3</v>
      </c>
      <c r="X35" s="35">
        <f>IFERROR(MAX(tblRiskRegister152[[#This Row],[Risk Treatment Safeguard Impact to Mission]:[Risk Treatment Safeguard Impact to Obligations]])*tblRiskRegister152[[#This Row],[Risk Treatment
Safeguard Expectancy Score]],"")</f>
        <v>3</v>
      </c>
      <c r="Y35" s="35" t="str">
        <f>IF(tblRiskRegister152[[#This Row],[Risk Score]]&gt;5,IF(tblRiskRegister152[[#This Row],[Risk Treatment Safeguard Risk Score]]&lt;6, IF(tblRiskRegister152[[#This Row],[Risk Treatment Safeguard Risk Score]]&lt;=tblRiskRegister152[[#This Row],[Risk Score]],"Yes","No"),"No"),"Yes")</f>
        <v>Yes</v>
      </c>
      <c r="Z35" s="23"/>
      <c r="AA35" s="23" t="s">
        <v>361</v>
      </c>
      <c r="AB35" s="24">
        <v>2025</v>
      </c>
      <c r="AD35" s="25">
        <f>SUMIF(tblRiskRegister152[[#All],[Implementation Year]],"="&amp;tblCostImpacts163[[#This Row],[Year]],tblRiskRegister152[[#All],[Risk Treatment Safeguard Cost]])</f>
        <v>0</v>
      </c>
      <c r="AE35" s="13">
        <v>2027</v>
      </c>
      <c r="AF35" s="13" t="str">
        <f>IF(tblCostImpacts163[[#This Row],[Impact to Financial Objectives]]&lt;=$E$12,"Yes","No")</f>
        <v>Yes</v>
      </c>
    </row>
    <row r="36" spans="2:32" ht="84" x14ac:dyDescent="0.15">
      <c r="B36" s="19">
        <v>2.2000000000000002</v>
      </c>
      <c r="C36" s="20" t="s">
        <v>57</v>
      </c>
      <c r="D36" s="16" t="s">
        <v>293</v>
      </c>
      <c r="E36" s="150" t="s">
        <v>300</v>
      </c>
      <c r="F36" s="22">
        <v>4</v>
      </c>
      <c r="G36" s="36">
        <f>IFERROR(VLOOKUP(tblRiskRegister152[[#This Row],[Asset Class]],tblVCDBIndex[#Data],4,FALSE),"")</f>
        <v>2</v>
      </c>
      <c r="H36" s="36">
        <f>IFERROR(VLOOKUP(10*tblRiskRegister152[[#This Row],[Safeguard Maturity Score]]+tblRiskRegister152[[#This Row],[VCDB Index]],tblHITIndexWeightTable[#Data],4,FALSE),"")</f>
        <v>1</v>
      </c>
      <c r="I36" s="36">
        <f>VLOOKUP(tblRiskRegister152[[#This Row],[Asset Class]],tblImpactIndex175[],2,FALSE)</f>
        <v>2</v>
      </c>
      <c r="J36" s="36">
        <f>VLOOKUP(tblRiskRegister152[[#This Row],[Asset Class]],tblImpactIndex175[],3,FALSE)</f>
        <v>3</v>
      </c>
      <c r="K36" s="36">
        <f>VLOOKUP(tblRiskRegister152[[#This Row],[Asset Class]],tblImpactIndex175[],4,FALSE)</f>
        <v>3</v>
      </c>
      <c r="L36" s="36">
        <f>IFERROR(MAX(tblRiskRegister152[[#This Row],[Impact to Mission]:[Impact to Obligations]])*tblRiskRegister152[[#This Row],[Expectancy Score]],"")</f>
        <v>3</v>
      </c>
      <c r="M36" s="36">
        <f>tblRiskRegister152[[#This Row],[Risk Score]]</f>
        <v>3</v>
      </c>
      <c r="N36" s="31" t="s">
        <v>365</v>
      </c>
      <c r="O36" s="19">
        <v>2.2000000000000002</v>
      </c>
      <c r="P36" s="20" t="s">
        <v>57</v>
      </c>
      <c r="Q36" s="20" t="s">
        <v>130</v>
      </c>
      <c r="R36" s="21"/>
      <c r="S36" s="22"/>
      <c r="T36" s="35" t="str">
        <f>IFERROR(VLOOKUP(10*tblRiskRegister152[[#This Row],[Risk Treatment Safeguard Maturity Score]]+tblRiskRegister152[[#This Row],[VCDB Index]],tblHITIndexWeightTable[#Data],4,FALSE),"")</f>
        <v/>
      </c>
      <c r="U36" s="35">
        <f>VLOOKUP(tblRiskRegister152[[#This Row],[Asset Class]],tblImpactIndex175[],2,FALSE)</f>
        <v>2</v>
      </c>
      <c r="V36" s="35">
        <f>VLOOKUP(tblRiskRegister152[[#This Row],[Asset Class]],tblImpactIndex175[],3,FALSE)</f>
        <v>3</v>
      </c>
      <c r="W36" s="35">
        <f>VLOOKUP(tblRiskRegister152[[#This Row],[Asset Class]],tblImpactIndex175[],4,FALSE)</f>
        <v>3</v>
      </c>
      <c r="X36" s="35" t="str">
        <f>IFERROR(MAX(tblRiskRegister152[[#This Row],[Risk Treatment Safeguard Impact to Mission]:[Risk Treatment Safeguard Impact to Obligations]])*tblRiskRegister152[[#This Row],[Risk Treatment
Safeguard Expectancy Score]],"")</f>
        <v/>
      </c>
      <c r="Y36" s="35" t="str">
        <f>IF(tblRiskRegister152[[#This Row],[Risk Score]]&gt;5,IF(tblRiskRegister152[[#This Row],[Risk Treatment Safeguard Risk Score]]&lt;6, IF(tblRiskRegister152[[#This Row],[Risk Treatment Safeguard Risk Score]]&lt;=tblRiskRegister152[[#This Row],[Risk Score]],"Yes","No"),"No"),"Yes")</f>
        <v>Yes</v>
      </c>
      <c r="Z36" s="23"/>
      <c r="AA36" s="23"/>
      <c r="AB36" s="24"/>
      <c r="AD36" s="25">
        <f>SUMIF(tblRiskRegister152[[#All],[Implementation Year]],"="&amp;tblCostImpacts163[[#This Row],[Year]],tblRiskRegister152[[#All],[Risk Treatment Safeguard Cost]])</f>
        <v>0</v>
      </c>
      <c r="AE36" s="13">
        <v>2028</v>
      </c>
      <c r="AF36" s="13" t="str">
        <f>IF(tblCostImpacts163[[#This Row],[Impact to Financial Objectives]]&lt;=$E$12,"Yes","No")</f>
        <v>Yes</v>
      </c>
    </row>
    <row r="37" spans="2:32" ht="42" x14ac:dyDescent="0.15">
      <c r="B37" s="19">
        <v>2.2999999999999998</v>
      </c>
      <c r="C37" s="20" t="s">
        <v>58</v>
      </c>
      <c r="D37" s="16" t="s">
        <v>294</v>
      </c>
      <c r="E37" s="150" t="s">
        <v>300</v>
      </c>
      <c r="F37" s="22">
        <v>1</v>
      </c>
      <c r="G37" s="36">
        <f>IFERROR(VLOOKUP(tblRiskRegister152[[#This Row],[Asset Class]],tblVCDBIndex[#Data],4,FALSE),"")</f>
        <v>2</v>
      </c>
      <c r="H37" s="36">
        <f>IFERROR(VLOOKUP(10*tblRiskRegister152[[#This Row],[Safeguard Maturity Score]]+tblRiskRegister152[[#This Row],[VCDB Index]],tblHITIndexWeightTable[#Data],4,FALSE),"")</f>
        <v>3</v>
      </c>
      <c r="I37" s="36">
        <f>VLOOKUP(tblRiskRegister152[[#This Row],[Asset Class]],tblImpactIndex175[],2,FALSE)</f>
        <v>2</v>
      </c>
      <c r="J37" s="36">
        <f>VLOOKUP(tblRiskRegister152[[#This Row],[Asset Class]],tblImpactIndex175[],3,FALSE)</f>
        <v>3</v>
      </c>
      <c r="K37" s="36">
        <f>VLOOKUP(tblRiskRegister152[[#This Row],[Asset Class]],tblImpactIndex175[],4,FALSE)</f>
        <v>3</v>
      </c>
      <c r="L37" s="36">
        <f>IFERROR(MAX(tblRiskRegister152[[#This Row],[Impact to Mission]:[Impact to Obligations]])*tblRiskRegister152[[#This Row],[Expectancy Score]],"")</f>
        <v>9</v>
      </c>
      <c r="M37" s="36">
        <f>tblRiskRegister152[[#This Row],[Risk Score]]</f>
        <v>9</v>
      </c>
      <c r="N37" s="31" t="s">
        <v>363</v>
      </c>
      <c r="O37" s="19">
        <v>2.2999999999999998</v>
      </c>
      <c r="P37" s="20" t="s">
        <v>58</v>
      </c>
      <c r="Q37" s="20" t="s">
        <v>131</v>
      </c>
      <c r="R37" s="21" t="s">
        <v>367</v>
      </c>
      <c r="S37" s="22">
        <v>4</v>
      </c>
      <c r="T37" s="35">
        <f>IFERROR(VLOOKUP(10*tblRiskRegister152[[#This Row],[Risk Treatment Safeguard Maturity Score]]+tblRiskRegister152[[#This Row],[VCDB Index]],tblHITIndexWeightTable[#Data],4,FALSE),"")</f>
        <v>1</v>
      </c>
      <c r="U37" s="35">
        <f>VLOOKUP(tblRiskRegister152[[#This Row],[Asset Class]],tblImpactIndex175[],2,FALSE)</f>
        <v>2</v>
      </c>
      <c r="V37" s="35">
        <f>VLOOKUP(tblRiskRegister152[[#This Row],[Asset Class]],tblImpactIndex175[],3,FALSE)</f>
        <v>3</v>
      </c>
      <c r="W37" s="35">
        <f>VLOOKUP(tblRiskRegister152[[#This Row],[Asset Class]],tblImpactIndex175[],4,FALSE)</f>
        <v>3</v>
      </c>
      <c r="X37" s="35">
        <f>IFERROR(MAX(tblRiskRegister152[[#This Row],[Risk Treatment Safeguard Impact to Mission]:[Risk Treatment Safeguard Impact to Obligations]])*tblRiskRegister152[[#This Row],[Risk Treatment
Safeguard Expectancy Score]],"")</f>
        <v>3</v>
      </c>
      <c r="Y37" s="35" t="str">
        <f>IF(tblRiskRegister152[[#This Row],[Risk Score]]&gt;5,IF(tblRiskRegister152[[#This Row],[Risk Treatment Safeguard Risk Score]]&lt;6, IF(tblRiskRegister152[[#This Row],[Risk Treatment Safeguard Risk Score]]&lt;=tblRiskRegister152[[#This Row],[Risk Score]],"Yes","No"),"No"),"Yes")</f>
        <v>Yes</v>
      </c>
      <c r="Z37" s="23"/>
      <c r="AA37" s="23" t="s">
        <v>366</v>
      </c>
      <c r="AB37" s="24">
        <v>2026</v>
      </c>
      <c r="AD37" s="25">
        <f>SUMIF(tblRiskRegister152[[#All],[Implementation Year]],"="&amp;tblCostImpacts163[[#This Row],[Year]],tblRiskRegister152[[#All],[Risk Treatment Safeguard Cost]])</f>
        <v>0</v>
      </c>
      <c r="AE37" s="13">
        <v>2029</v>
      </c>
      <c r="AF37" s="13" t="str">
        <f>IF(tblCostImpacts163[[#This Row],[Impact to Financial Objectives]]&lt;=$E$12,"Yes","No")</f>
        <v>Yes</v>
      </c>
    </row>
    <row r="38" spans="2:32" ht="70" x14ac:dyDescent="0.15">
      <c r="B38" s="19">
        <v>3.1</v>
      </c>
      <c r="C38" s="20" t="s">
        <v>59</v>
      </c>
      <c r="D38" s="148" t="s">
        <v>301</v>
      </c>
      <c r="E38" s="150" t="s">
        <v>107</v>
      </c>
      <c r="F38" s="22">
        <v>4</v>
      </c>
      <c r="G38" s="36">
        <f>IFERROR(VLOOKUP(tblRiskRegister152[[#This Row],[Asset Class]],tblVCDBIndex[#Data],4,FALSE),"")</f>
        <v>2</v>
      </c>
      <c r="H38" s="36">
        <f>IFERROR(VLOOKUP(10*tblRiskRegister152[[#This Row],[Safeguard Maturity Score]]+tblRiskRegister152[[#This Row],[VCDB Index]],tblHITIndexWeightTable[#Data],4,FALSE),"")</f>
        <v>1</v>
      </c>
      <c r="I38" s="36">
        <f>VLOOKUP(tblRiskRegister152[[#This Row],[Asset Class]],tblImpactIndex175[],2,FALSE)</f>
        <v>3</v>
      </c>
      <c r="J38" s="36">
        <f>VLOOKUP(tblRiskRegister152[[#This Row],[Asset Class]],tblImpactIndex175[],3,FALSE)</f>
        <v>2</v>
      </c>
      <c r="K38" s="36">
        <f>VLOOKUP(tblRiskRegister152[[#This Row],[Asset Class]],tblImpactIndex175[],4,FALSE)</f>
        <v>3</v>
      </c>
      <c r="L38" s="36">
        <f>IFERROR(MAX(tblRiskRegister152[[#This Row],[Impact to Mission]:[Impact to Obligations]])*tblRiskRegister152[[#This Row],[Expectancy Score]],"")</f>
        <v>3</v>
      </c>
      <c r="M38" s="36">
        <f>tblRiskRegister152[[#This Row],[Risk Score]]</f>
        <v>3</v>
      </c>
      <c r="N38" s="31" t="s">
        <v>365</v>
      </c>
      <c r="O38" s="19">
        <v>3.1</v>
      </c>
      <c r="P38" s="20" t="s">
        <v>59</v>
      </c>
      <c r="Q38" s="20" t="s">
        <v>315</v>
      </c>
      <c r="R38" s="21"/>
      <c r="S38" s="22"/>
      <c r="T38" s="35" t="str">
        <f>IFERROR(VLOOKUP(10*tblRiskRegister152[[#This Row],[Risk Treatment Safeguard Maturity Score]]+tblRiskRegister152[[#This Row],[VCDB Index]],tblHITIndexWeightTable[#Data],4,FALSE),"")</f>
        <v/>
      </c>
      <c r="U38" s="35">
        <f>VLOOKUP(tblRiskRegister152[[#This Row],[Asset Class]],tblImpactIndex175[],2,FALSE)</f>
        <v>3</v>
      </c>
      <c r="V38" s="35">
        <f>VLOOKUP(tblRiskRegister152[[#This Row],[Asset Class]],tblImpactIndex175[],3,FALSE)</f>
        <v>2</v>
      </c>
      <c r="W38" s="35">
        <f>VLOOKUP(tblRiskRegister152[[#This Row],[Asset Class]],tblImpactIndex175[],4,FALSE)</f>
        <v>3</v>
      </c>
      <c r="X38" s="35" t="str">
        <f>IFERROR(MAX(tblRiskRegister152[[#This Row],[Risk Treatment Safeguard Impact to Mission]:[Risk Treatment Safeguard Impact to Obligations]])*tblRiskRegister152[[#This Row],[Risk Treatment
Safeguard Expectancy Score]],"")</f>
        <v/>
      </c>
      <c r="Y38" s="35" t="str">
        <f>IF(tblRiskRegister152[[#This Row],[Risk Score]]&gt;5,IF(tblRiskRegister152[[#This Row],[Risk Treatment Safeguard Risk Score]]&lt;6, IF(tblRiskRegister152[[#This Row],[Risk Treatment Safeguard Risk Score]]&lt;=tblRiskRegister152[[#This Row],[Risk Score]],"Yes","No"),"No"),"Yes")</f>
        <v>Yes</v>
      </c>
      <c r="Z38" s="23"/>
      <c r="AA38" s="23"/>
      <c r="AB38" s="24"/>
      <c r="AD38" s="25">
        <f>SUMIF(tblRiskRegister152[[#All],[Implementation Year]],"="&amp;tblCostImpacts163[[#This Row],[Year]],tblRiskRegister152[[#All],[Risk Treatment Safeguard Cost]])</f>
        <v>0</v>
      </c>
      <c r="AE38" s="13">
        <v>2030</v>
      </c>
      <c r="AF38" s="13" t="str">
        <f>IF(tblCostImpacts163[[#This Row],[Impact to Financial Objectives]]&lt;=$E$12,"Yes","No")</f>
        <v>Yes</v>
      </c>
    </row>
    <row r="39" spans="2:32" ht="70" x14ac:dyDescent="0.15">
      <c r="B39" s="19">
        <v>3.2</v>
      </c>
      <c r="C39" s="20" t="s">
        <v>60</v>
      </c>
      <c r="D39" s="16" t="s">
        <v>293</v>
      </c>
      <c r="E39" s="150" t="s">
        <v>107</v>
      </c>
      <c r="F39" s="22">
        <v>1</v>
      </c>
      <c r="G39" s="36">
        <f>IFERROR(VLOOKUP(tblRiskRegister152[[#This Row],[Asset Class]],tblVCDBIndex[#Data],4,FALSE),"")</f>
        <v>2</v>
      </c>
      <c r="H39" s="36">
        <f>IFERROR(VLOOKUP(10*tblRiskRegister152[[#This Row],[Safeguard Maturity Score]]+tblRiskRegister152[[#This Row],[VCDB Index]],tblHITIndexWeightTable[#Data],4,FALSE),"")</f>
        <v>3</v>
      </c>
      <c r="I39" s="36">
        <f>VLOOKUP(tblRiskRegister152[[#This Row],[Asset Class]],tblImpactIndex175[],2,FALSE)</f>
        <v>3</v>
      </c>
      <c r="J39" s="36">
        <f>VLOOKUP(tblRiskRegister152[[#This Row],[Asset Class]],tblImpactIndex175[],3,FALSE)</f>
        <v>2</v>
      </c>
      <c r="K39" s="36">
        <f>VLOOKUP(tblRiskRegister152[[#This Row],[Asset Class]],tblImpactIndex175[],4,FALSE)</f>
        <v>3</v>
      </c>
      <c r="L39" s="36">
        <f>IFERROR(MAX(tblRiskRegister152[[#This Row],[Impact to Mission]:[Impact to Obligations]])*tblRiskRegister152[[#This Row],[Expectancy Score]],"")</f>
        <v>9</v>
      </c>
      <c r="M39" s="36">
        <f>tblRiskRegister152[[#This Row],[Risk Score]]</f>
        <v>9</v>
      </c>
      <c r="N39" s="31" t="s">
        <v>363</v>
      </c>
      <c r="O39" s="19">
        <v>3.2</v>
      </c>
      <c r="P39" s="20" t="s">
        <v>60</v>
      </c>
      <c r="Q39" s="20" t="s">
        <v>330</v>
      </c>
      <c r="R39" s="21" t="s">
        <v>364</v>
      </c>
      <c r="S39" s="22">
        <v>4</v>
      </c>
      <c r="T39" s="35">
        <f>IFERROR(VLOOKUP(10*tblRiskRegister152[[#This Row],[Risk Treatment Safeguard Maturity Score]]+tblRiskRegister152[[#This Row],[VCDB Index]],tblHITIndexWeightTable[#Data],4,FALSE),"")</f>
        <v>1</v>
      </c>
      <c r="U39" s="35">
        <f>VLOOKUP(tblRiskRegister152[[#This Row],[Asset Class]],tblImpactIndex175[],2,FALSE)</f>
        <v>3</v>
      </c>
      <c r="V39" s="35">
        <f>VLOOKUP(tblRiskRegister152[[#This Row],[Asset Class]],tblImpactIndex175[],3,FALSE)</f>
        <v>2</v>
      </c>
      <c r="W39" s="35">
        <f>VLOOKUP(tblRiskRegister152[[#This Row],[Asset Class]],tblImpactIndex175[],4,FALSE)</f>
        <v>3</v>
      </c>
      <c r="X39" s="35">
        <f>IFERROR(MAX(tblRiskRegister152[[#This Row],[Risk Treatment Safeguard Impact to Mission]:[Risk Treatment Safeguard Impact to Obligations]])*tblRiskRegister152[[#This Row],[Risk Treatment
Safeguard Expectancy Score]],"")</f>
        <v>3</v>
      </c>
      <c r="Y39" s="35" t="str">
        <f>IF(tblRiskRegister152[[#This Row],[Risk Score]]&gt;5,IF(tblRiskRegister152[[#This Row],[Risk Treatment Safeguard Risk Score]]&lt;6, IF(tblRiskRegister152[[#This Row],[Risk Treatment Safeguard Risk Score]]&lt;=tblRiskRegister152[[#This Row],[Risk Score]],"Yes","No"),"No"),"Yes")</f>
        <v>Yes</v>
      </c>
      <c r="Z39" s="23"/>
      <c r="AA39" s="23" t="s">
        <v>361</v>
      </c>
      <c r="AB39" s="24">
        <v>2026</v>
      </c>
      <c r="AD39" s="25">
        <f>SUMIF(tblRiskRegister152[[#All],[Implementation Year]],"="&amp;tblCostImpacts163[[#This Row],[Year]],tblRiskRegister152[[#All],[Risk Treatment Safeguard Cost]])</f>
        <v>0</v>
      </c>
      <c r="AE39" s="13">
        <v>2031</v>
      </c>
      <c r="AF39" s="13" t="str">
        <f>IF(tblCostImpacts163[[#This Row],[Impact to Financial Objectives]]&lt;=$E$12,"Yes","No")</f>
        <v>Yes</v>
      </c>
    </row>
    <row r="40" spans="2:32" ht="70" x14ac:dyDescent="0.15">
      <c r="B40" s="19">
        <v>3.3</v>
      </c>
      <c r="C40" s="20" t="s">
        <v>61</v>
      </c>
      <c r="D40" s="16" t="s">
        <v>295</v>
      </c>
      <c r="E40" s="150" t="s">
        <v>107</v>
      </c>
      <c r="F40" s="22">
        <v>3</v>
      </c>
      <c r="G40" s="36">
        <f>IFERROR(VLOOKUP(tblRiskRegister152[[#This Row],[Asset Class]],tblVCDBIndex[#Data],4,FALSE),"")</f>
        <v>2</v>
      </c>
      <c r="H40" s="36">
        <f>IFERROR(VLOOKUP(10*tblRiskRegister152[[#This Row],[Safeguard Maturity Score]]+tblRiskRegister152[[#This Row],[VCDB Index]],tblHITIndexWeightTable[#Data],4,FALSE),"")</f>
        <v>2</v>
      </c>
      <c r="I40" s="36">
        <f>VLOOKUP(tblRiskRegister152[[#This Row],[Asset Class]],tblImpactIndex175[],2,FALSE)</f>
        <v>3</v>
      </c>
      <c r="J40" s="36">
        <f>VLOOKUP(tblRiskRegister152[[#This Row],[Asset Class]],tblImpactIndex175[],3,FALSE)</f>
        <v>2</v>
      </c>
      <c r="K40" s="36">
        <f>VLOOKUP(tblRiskRegister152[[#This Row],[Asset Class]],tblImpactIndex175[],4,FALSE)</f>
        <v>3</v>
      </c>
      <c r="L40" s="36">
        <f>IFERROR(MAX(tblRiskRegister152[[#This Row],[Impact to Mission]:[Impact to Obligations]])*tblRiskRegister152[[#This Row],[Expectancy Score]],"")</f>
        <v>6</v>
      </c>
      <c r="M40" s="36">
        <f>tblRiskRegister152[[#This Row],[Risk Score]]</f>
        <v>6</v>
      </c>
      <c r="N40" s="31" t="s">
        <v>363</v>
      </c>
      <c r="O40" s="19">
        <v>3.3</v>
      </c>
      <c r="P40" s="20" t="s">
        <v>61</v>
      </c>
      <c r="Q40" s="20" t="s">
        <v>132</v>
      </c>
      <c r="R40" s="21" t="s">
        <v>362</v>
      </c>
      <c r="S40" s="22">
        <v>4</v>
      </c>
      <c r="T40" s="35">
        <f>IFERROR(VLOOKUP(10*tblRiskRegister152[[#This Row],[Risk Treatment Safeguard Maturity Score]]+tblRiskRegister152[[#This Row],[VCDB Index]],tblHITIndexWeightTable[#Data],4,FALSE),"")</f>
        <v>1</v>
      </c>
      <c r="U40" s="35">
        <f>VLOOKUP(tblRiskRegister152[[#This Row],[Asset Class]],tblImpactIndex175[],2,FALSE)</f>
        <v>3</v>
      </c>
      <c r="V40" s="35">
        <f>VLOOKUP(tblRiskRegister152[[#This Row],[Asset Class]],tblImpactIndex175[],3,FALSE)</f>
        <v>2</v>
      </c>
      <c r="W40" s="35">
        <f>VLOOKUP(tblRiskRegister152[[#This Row],[Asset Class]],tblImpactIndex175[],4,FALSE)</f>
        <v>3</v>
      </c>
      <c r="X40" s="35">
        <f>IFERROR(MAX(tblRiskRegister152[[#This Row],[Risk Treatment Safeguard Impact to Mission]:[Risk Treatment Safeguard Impact to Obligations]])*tblRiskRegister152[[#This Row],[Risk Treatment
Safeguard Expectancy Score]],"")</f>
        <v>3</v>
      </c>
      <c r="Y40" s="35" t="str">
        <f>IF(tblRiskRegister152[[#This Row],[Risk Score]]&gt;5,IF(tblRiskRegister152[[#This Row],[Risk Treatment Safeguard Risk Score]]&lt;6, IF(tblRiskRegister152[[#This Row],[Risk Treatment Safeguard Risk Score]]&lt;=tblRiskRegister152[[#This Row],[Risk Score]],"Yes","No"),"No"),"Yes")</f>
        <v>Yes</v>
      </c>
      <c r="Z40" s="23"/>
      <c r="AA40" s="23" t="s">
        <v>361</v>
      </c>
      <c r="AB40" s="24">
        <v>2026</v>
      </c>
      <c r="AD40" s="25">
        <f>SUMIF(tblRiskRegister152[[#All],[Implementation Year]],"="&amp;tblCostImpacts163[[#This Row],[Year]],tblRiskRegister152[[#All],[Risk Treatment Safeguard Cost]])</f>
        <v>0</v>
      </c>
      <c r="AE40" s="13">
        <v>2032</v>
      </c>
      <c r="AF40" s="13" t="str">
        <f>IF(tblCostImpacts163[[#This Row],[Impact to Financial Objectives]]&lt;=$E$12,"Yes","No")</f>
        <v>Yes</v>
      </c>
    </row>
    <row r="41" spans="2:32" ht="28" x14ac:dyDescent="0.15">
      <c r="B41" s="19">
        <v>3.4</v>
      </c>
      <c r="C41" s="20" t="s">
        <v>62</v>
      </c>
      <c r="D41" s="16" t="s">
        <v>295</v>
      </c>
      <c r="E41" s="150" t="s">
        <v>107</v>
      </c>
      <c r="F41" s="22"/>
      <c r="G41" s="36">
        <f>IFERROR(VLOOKUP(tblRiskRegister152[[#This Row],[Asset Class]],tblVCDBIndex[#Data],4,FALSE),"")</f>
        <v>2</v>
      </c>
      <c r="H41" s="36" t="str">
        <f>IFERROR(VLOOKUP(10*tblRiskRegister152[[#This Row],[Safeguard Maturity Score]]+tblRiskRegister152[[#This Row],[VCDB Index]],tblHITIndexWeightTable[#Data],4,FALSE),"")</f>
        <v/>
      </c>
      <c r="I41" s="36">
        <f>VLOOKUP(tblRiskRegister152[[#This Row],[Asset Class]],tblImpactIndex175[],2,FALSE)</f>
        <v>3</v>
      </c>
      <c r="J41" s="36">
        <f>VLOOKUP(tblRiskRegister152[[#This Row],[Asset Class]],tblImpactIndex175[],3,FALSE)</f>
        <v>2</v>
      </c>
      <c r="K41" s="36">
        <f>VLOOKUP(tblRiskRegister152[[#This Row],[Asset Class]],tblImpactIndex175[],4,FALSE)</f>
        <v>3</v>
      </c>
      <c r="L41" s="36" t="str">
        <f>IFERROR(MAX(tblRiskRegister152[[#This Row],[Impact to Mission]:[Impact to Obligations]])*tblRiskRegister152[[#This Row],[Expectancy Score]],"")</f>
        <v/>
      </c>
      <c r="M41" s="36" t="str">
        <f>tblRiskRegister152[[#This Row],[Risk Score]]</f>
        <v/>
      </c>
      <c r="N41" s="31"/>
      <c r="O41" s="19">
        <v>3.4</v>
      </c>
      <c r="P41" s="20" t="s">
        <v>62</v>
      </c>
      <c r="Q41" s="20" t="s">
        <v>316</v>
      </c>
      <c r="R41" s="21"/>
      <c r="S41" s="22"/>
      <c r="T41" s="35" t="str">
        <f>IFERROR(VLOOKUP(10*tblRiskRegister152[[#This Row],[Risk Treatment Safeguard Maturity Score]]+tblRiskRegister152[[#This Row],[VCDB Index]],tblHITIndexWeightTable[#Data],4,FALSE),"")</f>
        <v/>
      </c>
      <c r="U41" s="35">
        <f>VLOOKUP(tblRiskRegister152[[#This Row],[Asset Class]],tblImpactIndex175[],2,FALSE)</f>
        <v>3</v>
      </c>
      <c r="V41" s="35">
        <f>VLOOKUP(tblRiskRegister152[[#This Row],[Asset Class]],tblImpactIndex175[],3,FALSE)</f>
        <v>2</v>
      </c>
      <c r="W41" s="35">
        <f>VLOOKUP(tblRiskRegister152[[#This Row],[Asset Class]],tblImpactIndex175[],4,FALSE)</f>
        <v>3</v>
      </c>
      <c r="X41" s="35" t="str">
        <f>IFERROR(MAX(tblRiskRegister152[[#This Row],[Risk Treatment Safeguard Impact to Mission]:[Risk Treatment Safeguard Impact to Obligations]])*tblRiskRegister152[[#This Row],[Risk Treatment
Safeguard Expectancy Score]],"")</f>
        <v/>
      </c>
      <c r="Y41" s="35" t="str">
        <f>IF(tblRiskRegister152[[#This Row],[Risk Score]]&gt;5,IF(tblRiskRegister152[[#This Row],[Risk Treatment Safeguard Risk Score]]&lt;6, IF(tblRiskRegister152[[#This Row],[Risk Treatment Safeguard Risk Score]]&lt;=tblRiskRegister152[[#This Row],[Risk Score]],"Yes","No"),"No"),"Yes")</f>
        <v>No</v>
      </c>
      <c r="Z41" s="23"/>
      <c r="AA41" s="23"/>
      <c r="AB41" s="24"/>
      <c r="AD41" s="25">
        <f>SUMIF(tblRiskRegister152[[#All],[Implementation Year]],"="&amp;tblCostImpacts163[[#This Row],[Year]],tblRiskRegister152[[#All],[Risk Treatment Safeguard Cost]])</f>
        <v>0</v>
      </c>
      <c r="AE41" s="13">
        <v>2033</v>
      </c>
      <c r="AF41" s="13" t="str">
        <f>IF(tblCostImpacts163[[#This Row],[Impact to Financial Objectives]]&lt;=$E$12,"Yes","No")</f>
        <v>Yes</v>
      </c>
    </row>
    <row r="42" spans="2:32" ht="42" x14ac:dyDescent="0.15">
      <c r="B42" s="19">
        <v>3.5</v>
      </c>
      <c r="C42" s="20" t="s">
        <v>63</v>
      </c>
      <c r="D42" s="16" t="s">
        <v>295</v>
      </c>
      <c r="E42" s="150" t="s">
        <v>107</v>
      </c>
      <c r="F42" s="22"/>
      <c r="G42" s="36">
        <f>IFERROR(VLOOKUP(tblRiskRegister152[[#This Row],[Asset Class]],tblVCDBIndex[#Data],4,FALSE),"")</f>
        <v>2</v>
      </c>
      <c r="H42" s="36" t="str">
        <f>IFERROR(VLOOKUP(10*tblRiskRegister152[[#This Row],[Safeguard Maturity Score]]+tblRiskRegister152[[#This Row],[VCDB Index]],tblHITIndexWeightTable[#Data],4,FALSE),"")</f>
        <v/>
      </c>
      <c r="I42" s="36">
        <f>VLOOKUP(tblRiskRegister152[[#This Row],[Asset Class]],tblImpactIndex175[],2,FALSE)</f>
        <v>3</v>
      </c>
      <c r="J42" s="36">
        <f>VLOOKUP(tblRiskRegister152[[#This Row],[Asset Class]],tblImpactIndex175[],3,FALSE)</f>
        <v>2</v>
      </c>
      <c r="K42" s="36">
        <f>VLOOKUP(tblRiskRegister152[[#This Row],[Asset Class]],tblImpactIndex175[],4,FALSE)</f>
        <v>3</v>
      </c>
      <c r="L42" s="36" t="str">
        <f>IFERROR(MAX(tblRiskRegister152[[#This Row],[Impact to Mission]:[Impact to Obligations]])*tblRiskRegister152[[#This Row],[Expectancy Score]],"")</f>
        <v/>
      </c>
      <c r="M42" s="36" t="str">
        <f>tblRiskRegister152[[#This Row],[Risk Score]]</f>
        <v/>
      </c>
      <c r="N42" s="31"/>
      <c r="O42" s="19">
        <v>3.5</v>
      </c>
      <c r="P42" s="20" t="s">
        <v>63</v>
      </c>
      <c r="Q42" s="20" t="s">
        <v>317</v>
      </c>
      <c r="R42" s="21"/>
      <c r="S42" s="22"/>
      <c r="T42" s="35" t="str">
        <f>IFERROR(VLOOKUP(10*tblRiskRegister152[[#This Row],[Risk Treatment Safeguard Maturity Score]]+tblRiskRegister152[[#This Row],[VCDB Index]],tblHITIndexWeightTable[#Data],4,FALSE),"")</f>
        <v/>
      </c>
      <c r="U42" s="35">
        <f>VLOOKUP(tblRiskRegister152[[#This Row],[Asset Class]],tblImpactIndex175[],2,FALSE)</f>
        <v>3</v>
      </c>
      <c r="V42" s="35">
        <f>VLOOKUP(tblRiskRegister152[[#This Row],[Asset Class]],tblImpactIndex175[],3,FALSE)</f>
        <v>2</v>
      </c>
      <c r="W42" s="35">
        <f>VLOOKUP(tblRiskRegister152[[#This Row],[Asset Class]],tblImpactIndex175[],4,FALSE)</f>
        <v>3</v>
      </c>
      <c r="X42" s="35" t="str">
        <f>IFERROR(MAX(tblRiskRegister152[[#This Row],[Risk Treatment Safeguard Impact to Mission]:[Risk Treatment Safeguard Impact to Obligations]])*tblRiskRegister152[[#This Row],[Risk Treatment
Safeguard Expectancy Score]],"")</f>
        <v/>
      </c>
      <c r="Y42" s="35" t="str">
        <f>IF(tblRiskRegister152[[#This Row],[Risk Score]]&gt;5,IF(tblRiskRegister152[[#This Row],[Risk Treatment Safeguard Risk Score]]&lt;6, IF(tblRiskRegister152[[#This Row],[Risk Treatment Safeguard Risk Score]]&lt;=tblRiskRegister152[[#This Row],[Risk Score]],"Yes","No"),"No"),"Yes")</f>
        <v>No</v>
      </c>
      <c r="Z42" s="23"/>
      <c r="AA42" s="23"/>
      <c r="AB42" s="24"/>
      <c r="AD42" s="25">
        <f>SUMIF(tblRiskRegister152[[#All],[Implementation Year]],"="&amp;tblCostImpacts163[[#This Row],[Year]],tblRiskRegister152[[#All],[Risk Treatment Safeguard Cost]])</f>
        <v>0</v>
      </c>
      <c r="AE42" s="13">
        <v>2034</v>
      </c>
      <c r="AF42" s="13" t="str">
        <f>IF(tblCostImpacts163[[#This Row],[Impact to Financial Objectives]]&lt;=$E$12,"Yes","No")</f>
        <v>Yes</v>
      </c>
    </row>
    <row r="43" spans="2:32" ht="28" x14ac:dyDescent="0.15">
      <c r="B43" s="19">
        <v>3.6</v>
      </c>
      <c r="C43" s="20" t="s">
        <v>64</v>
      </c>
      <c r="D43" s="16" t="s">
        <v>295</v>
      </c>
      <c r="E43" s="150" t="s">
        <v>107</v>
      </c>
      <c r="F43" s="22"/>
      <c r="G43" s="36">
        <f>IFERROR(VLOOKUP(tblRiskRegister152[[#This Row],[Asset Class]],tblVCDBIndex[#Data],4,FALSE),"")</f>
        <v>2</v>
      </c>
      <c r="H43" s="36" t="str">
        <f>IFERROR(VLOOKUP(10*tblRiskRegister152[[#This Row],[Safeguard Maturity Score]]+tblRiskRegister152[[#This Row],[VCDB Index]],tblHITIndexWeightTable[#Data],4,FALSE),"")</f>
        <v/>
      </c>
      <c r="I43" s="36">
        <f>VLOOKUP(tblRiskRegister152[[#This Row],[Asset Class]],tblImpactIndex175[],2,FALSE)</f>
        <v>3</v>
      </c>
      <c r="J43" s="36">
        <f>VLOOKUP(tblRiskRegister152[[#This Row],[Asset Class]],tblImpactIndex175[],3,FALSE)</f>
        <v>2</v>
      </c>
      <c r="K43" s="36">
        <f>VLOOKUP(tblRiskRegister152[[#This Row],[Asset Class]],tblImpactIndex175[],4,FALSE)</f>
        <v>3</v>
      </c>
      <c r="L43" s="36" t="str">
        <f>IFERROR(MAX(tblRiskRegister152[[#This Row],[Impact to Mission]:[Impact to Obligations]])*tblRiskRegister152[[#This Row],[Expectancy Score]],"")</f>
        <v/>
      </c>
      <c r="M43" s="36" t="str">
        <f>tblRiskRegister152[[#This Row],[Risk Score]]</f>
        <v/>
      </c>
      <c r="N43" s="31"/>
      <c r="O43" s="19">
        <v>3.6</v>
      </c>
      <c r="P43" s="20" t="s">
        <v>64</v>
      </c>
      <c r="Q43" s="20" t="s">
        <v>163</v>
      </c>
      <c r="R43" s="21"/>
      <c r="S43" s="22"/>
      <c r="T43" s="35" t="str">
        <f>IFERROR(VLOOKUP(10*tblRiskRegister152[[#This Row],[Risk Treatment Safeguard Maturity Score]]+tblRiskRegister152[[#This Row],[VCDB Index]],tblHITIndexWeightTable[#Data],4,FALSE),"")</f>
        <v/>
      </c>
      <c r="U43" s="35">
        <f>VLOOKUP(tblRiskRegister152[[#This Row],[Asset Class]],tblImpactIndex175[],2,FALSE)</f>
        <v>3</v>
      </c>
      <c r="V43" s="35">
        <f>VLOOKUP(tblRiskRegister152[[#This Row],[Asset Class]],tblImpactIndex175[],3,FALSE)</f>
        <v>2</v>
      </c>
      <c r="W43" s="35">
        <f>VLOOKUP(tblRiskRegister152[[#This Row],[Asset Class]],tblImpactIndex175[],4,FALSE)</f>
        <v>3</v>
      </c>
      <c r="X43" s="35" t="str">
        <f>IFERROR(MAX(tblRiskRegister152[[#This Row],[Risk Treatment Safeguard Impact to Mission]:[Risk Treatment Safeguard Impact to Obligations]])*tblRiskRegister152[[#This Row],[Risk Treatment
Safeguard Expectancy Score]],"")</f>
        <v/>
      </c>
      <c r="Y43" s="35" t="str">
        <f>IF(tblRiskRegister152[[#This Row],[Risk Score]]&gt;5,IF(tblRiskRegister152[[#This Row],[Risk Treatment Safeguard Risk Score]]&lt;6, IF(tblRiskRegister152[[#This Row],[Risk Treatment Safeguard Risk Score]]&lt;=tblRiskRegister152[[#This Row],[Risk Score]],"Yes","No"),"No"),"Yes")</f>
        <v>No</v>
      </c>
      <c r="Z43" s="23"/>
      <c r="AA43" s="23"/>
      <c r="AB43" s="24"/>
    </row>
    <row r="44" spans="2:32" ht="56" x14ac:dyDescent="0.15">
      <c r="B44" s="19">
        <v>4.0999999999999996</v>
      </c>
      <c r="C44" s="20" t="s">
        <v>65</v>
      </c>
      <c r="D44" s="148" t="s">
        <v>301</v>
      </c>
      <c r="E44" s="150" t="s">
        <v>302</v>
      </c>
      <c r="F44" s="22"/>
      <c r="G44" s="36">
        <f>IFERROR(VLOOKUP(tblRiskRegister152[[#This Row],[Asset Class]],tblVCDBIndex[#Data],4,FALSE),"")</f>
        <v>2</v>
      </c>
      <c r="H44" s="36" t="str">
        <f>IFERROR(VLOOKUP(10*tblRiskRegister152[[#This Row],[Safeguard Maturity Score]]+tblRiskRegister152[[#This Row],[VCDB Index]],tblHITIndexWeightTable[#Data],4,FALSE),"")</f>
        <v/>
      </c>
      <c r="I44" s="36">
        <f>VLOOKUP(tblRiskRegister152[[#This Row],[Asset Class]],tblImpactIndex175[],2,FALSE)</f>
        <v>1</v>
      </c>
      <c r="J44" s="36">
        <f>VLOOKUP(tblRiskRegister152[[#This Row],[Asset Class]],tblImpactIndex175[],3,FALSE)</f>
        <v>2</v>
      </c>
      <c r="K44" s="36">
        <f>VLOOKUP(tblRiskRegister152[[#This Row],[Asset Class]],tblImpactIndex175[],4,FALSE)</f>
        <v>2</v>
      </c>
      <c r="L44" s="36" t="str">
        <f>IFERROR(MAX(tblRiskRegister152[[#This Row],[Impact to Mission]:[Impact to Obligations]])*tblRiskRegister152[[#This Row],[Expectancy Score]],"")</f>
        <v/>
      </c>
      <c r="M44" s="36" t="str">
        <f>tblRiskRegister152[[#This Row],[Risk Score]]</f>
        <v/>
      </c>
      <c r="N44" s="31"/>
      <c r="O44" s="19">
        <v>4.0999999999999996</v>
      </c>
      <c r="P44" s="20" t="s">
        <v>65</v>
      </c>
      <c r="Q44" s="20" t="s">
        <v>331</v>
      </c>
      <c r="R44" s="21"/>
      <c r="S44" s="22"/>
      <c r="T44" s="35" t="str">
        <f>IFERROR(VLOOKUP(10*tblRiskRegister152[[#This Row],[Risk Treatment Safeguard Maturity Score]]+tblRiskRegister152[[#This Row],[VCDB Index]],tblHITIndexWeightTable[#Data],4,FALSE),"")</f>
        <v/>
      </c>
      <c r="U44" s="35">
        <f>VLOOKUP(tblRiskRegister152[[#This Row],[Asset Class]],tblImpactIndex175[],2,FALSE)</f>
        <v>1</v>
      </c>
      <c r="V44" s="35">
        <f>VLOOKUP(tblRiskRegister152[[#This Row],[Asset Class]],tblImpactIndex175[],3,FALSE)</f>
        <v>2</v>
      </c>
      <c r="W44" s="35">
        <f>VLOOKUP(tblRiskRegister152[[#This Row],[Asset Class]],tblImpactIndex175[],4,FALSE)</f>
        <v>2</v>
      </c>
      <c r="X44" s="35" t="str">
        <f>IFERROR(MAX(tblRiskRegister152[[#This Row],[Risk Treatment Safeguard Impact to Mission]:[Risk Treatment Safeguard Impact to Obligations]])*tblRiskRegister152[[#This Row],[Risk Treatment
Safeguard Expectancy Score]],"")</f>
        <v/>
      </c>
      <c r="Y44" s="35" t="str">
        <f>IF(tblRiskRegister152[[#This Row],[Risk Score]]&gt;5,IF(tblRiskRegister152[[#This Row],[Risk Treatment Safeguard Risk Score]]&lt;6, IF(tblRiskRegister152[[#This Row],[Risk Treatment Safeguard Risk Score]]&lt;=tblRiskRegister152[[#This Row],[Risk Score]],"Yes","No"),"No"),"Yes")</f>
        <v>No</v>
      </c>
      <c r="Z44" s="23"/>
      <c r="AA44" s="23"/>
      <c r="AB44" s="24"/>
    </row>
    <row r="45" spans="2:32" ht="56" x14ac:dyDescent="0.15">
      <c r="B45" s="19">
        <v>4.2</v>
      </c>
      <c r="C45" s="20" t="s">
        <v>66</v>
      </c>
      <c r="D45" s="148" t="s">
        <v>301</v>
      </c>
      <c r="E45" s="150" t="s">
        <v>302</v>
      </c>
      <c r="F45" s="22"/>
      <c r="G45" s="36">
        <f>IFERROR(VLOOKUP(tblRiskRegister152[[#This Row],[Asset Class]],tblVCDBIndex[#Data],4,FALSE),"")</f>
        <v>2</v>
      </c>
      <c r="H45" s="36" t="str">
        <f>IFERROR(VLOOKUP(10*tblRiskRegister152[[#This Row],[Safeguard Maturity Score]]+tblRiskRegister152[[#This Row],[VCDB Index]],tblHITIndexWeightTable[#Data],4,FALSE),"")</f>
        <v/>
      </c>
      <c r="I45" s="36">
        <f>VLOOKUP(tblRiskRegister152[[#This Row],[Asset Class]],tblImpactIndex175[],2,FALSE)</f>
        <v>1</v>
      </c>
      <c r="J45" s="36">
        <f>VLOOKUP(tblRiskRegister152[[#This Row],[Asset Class]],tblImpactIndex175[],3,FALSE)</f>
        <v>2</v>
      </c>
      <c r="K45" s="36">
        <f>VLOOKUP(tblRiskRegister152[[#This Row],[Asset Class]],tblImpactIndex175[],4,FALSE)</f>
        <v>2</v>
      </c>
      <c r="L45" s="36" t="str">
        <f>IFERROR(MAX(tblRiskRegister152[[#This Row],[Impact to Mission]:[Impact to Obligations]])*tblRiskRegister152[[#This Row],[Expectancy Score]],"")</f>
        <v/>
      </c>
      <c r="M45" s="36" t="str">
        <f>tblRiskRegister152[[#This Row],[Risk Score]]</f>
        <v/>
      </c>
      <c r="N45" s="31"/>
      <c r="O45" s="19">
        <v>4.2</v>
      </c>
      <c r="P45" s="20" t="s">
        <v>66</v>
      </c>
      <c r="Q45" s="20" t="s">
        <v>318</v>
      </c>
      <c r="R45" s="21"/>
      <c r="S45" s="22"/>
      <c r="T45" s="35" t="str">
        <f>IFERROR(VLOOKUP(10*tblRiskRegister152[[#This Row],[Risk Treatment Safeguard Maturity Score]]+tblRiskRegister152[[#This Row],[VCDB Index]],tblHITIndexWeightTable[#Data],4,FALSE),"")</f>
        <v/>
      </c>
      <c r="U45" s="35">
        <f>VLOOKUP(tblRiskRegister152[[#This Row],[Asset Class]],tblImpactIndex175[],2,FALSE)</f>
        <v>1</v>
      </c>
      <c r="V45" s="35">
        <f>VLOOKUP(tblRiskRegister152[[#This Row],[Asset Class]],tblImpactIndex175[],3,FALSE)</f>
        <v>2</v>
      </c>
      <c r="W45" s="35">
        <f>VLOOKUP(tblRiskRegister152[[#This Row],[Asset Class]],tblImpactIndex175[],4,FALSE)</f>
        <v>2</v>
      </c>
      <c r="X45" s="35" t="str">
        <f>IFERROR(MAX(tblRiskRegister152[[#This Row],[Risk Treatment Safeguard Impact to Mission]:[Risk Treatment Safeguard Impact to Obligations]])*tblRiskRegister152[[#This Row],[Risk Treatment
Safeguard Expectancy Score]],"")</f>
        <v/>
      </c>
      <c r="Y45" s="35" t="str">
        <f>IF(tblRiskRegister152[[#This Row],[Risk Score]]&gt;5,IF(tblRiskRegister152[[#This Row],[Risk Treatment Safeguard Risk Score]]&lt;6, IF(tblRiskRegister152[[#This Row],[Risk Treatment Safeguard Risk Score]]&lt;=tblRiskRegister152[[#This Row],[Risk Score]],"Yes","No"),"No"),"Yes")</f>
        <v>No</v>
      </c>
      <c r="Z45" s="23"/>
      <c r="AA45" s="23"/>
      <c r="AB45" s="24"/>
    </row>
    <row r="46" spans="2:32" ht="42" x14ac:dyDescent="0.15">
      <c r="B46" s="19">
        <v>4.3</v>
      </c>
      <c r="C46" s="20" t="s">
        <v>67</v>
      </c>
      <c r="D46" s="16" t="s">
        <v>295</v>
      </c>
      <c r="E46" s="150" t="s">
        <v>108</v>
      </c>
      <c r="F46" s="22"/>
      <c r="G46" s="36">
        <f>IFERROR(VLOOKUP(tblRiskRegister152[[#This Row],[Asset Class]],tblVCDBIndex[#Data],4,FALSE),"")</f>
        <v>4</v>
      </c>
      <c r="H46" s="36" t="str">
        <f>IFERROR(VLOOKUP(10*tblRiskRegister152[[#This Row],[Safeguard Maturity Score]]+tblRiskRegister152[[#This Row],[VCDB Index]],tblHITIndexWeightTable[#Data],4,FALSE),"")</f>
        <v/>
      </c>
      <c r="I46" s="36">
        <f>VLOOKUP(tblRiskRegister152[[#This Row],[Asset Class]],tblImpactIndex175[],2,FALSE)</f>
        <v>2</v>
      </c>
      <c r="J46" s="36">
        <f>VLOOKUP(tblRiskRegister152[[#This Row],[Asset Class]],tblImpactIndex175[],3,FALSE)</f>
        <v>2</v>
      </c>
      <c r="K46" s="36">
        <f>VLOOKUP(tblRiskRegister152[[#This Row],[Asset Class]],tblImpactIndex175[],4,FALSE)</f>
        <v>3</v>
      </c>
      <c r="L46" s="36" t="str">
        <f>IFERROR(MAX(tblRiskRegister152[[#This Row],[Impact to Mission]:[Impact to Obligations]])*tblRiskRegister152[[#This Row],[Expectancy Score]],"")</f>
        <v/>
      </c>
      <c r="M46" s="36" t="str">
        <f>tblRiskRegister152[[#This Row],[Risk Score]]</f>
        <v/>
      </c>
      <c r="N46" s="31"/>
      <c r="O46" s="19">
        <v>4.3</v>
      </c>
      <c r="P46" s="20" t="s">
        <v>67</v>
      </c>
      <c r="Q46" s="20" t="s">
        <v>133</v>
      </c>
      <c r="R46" s="21"/>
      <c r="S46" s="22"/>
      <c r="T46" s="35" t="str">
        <f>IFERROR(VLOOKUP(10*tblRiskRegister152[[#This Row],[Risk Treatment Safeguard Maturity Score]]+tblRiskRegister152[[#This Row],[VCDB Index]],tblHITIndexWeightTable[#Data],4,FALSE),"")</f>
        <v/>
      </c>
      <c r="U46" s="35">
        <f>VLOOKUP(tblRiskRegister152[[#This Row],[Asset Class]],tblImpactIndex175[],2,FALSE)</f>
        <v>2</v>
      </c>
      <c r="V46" s="35">
        <f>VLOOKUP(tblRiskRegister152[[#This Row],[Asset Class]],tblImpactIndex175[],3,FALSE)</f>
        <v>2</v>
      </c>
      <c r="W46" s="35">
        <f>VLOOKUP(tblRiskRegister152[[#This Row],[Asset Class]],tblImpactIndex175[],4,FALSE)</f>
        <v>3</v>
      </c>
      <c r="X46" s="35" t="str">
        <f>IFERROR(MAX(tblRiskRegister152[[#This Row],[Risk Treatment Safeguard Impact to Mission]:[Risk Treatment Safeguard Impact to Obligations]])*tblRiskRegister152[[#This Row],[Risk Treatment
Safeguard Expectancy Score]],"")</f>
        <v/>
      </c>
      <c r="Y46" s="35" t="str">
        <f>IF(tblRiskRegister152[[#This Row],[Risk Score]]&gt;5,IF(tblRiskRegister152[[#This Row],[Risk Treatment Safeguard Risk Score]]&lt;6, IF(tblRiskRegister152[[#This Row],[Risk Treatment Safeguard Risk Score]]&lt;=tblRiskRegister152[[#This Row],[Risk Score]],"Yes","No"),"No"),"Yes")</f>
        <v>No</v>
      </c>
      <c r="Z46" s="23"/>
      <c r="AA46" s="23"/>
      <c r="AB46" s="24"/>
    </row>
    <row r="47" spans="2:32" ht="28" x14ac:dyDescent="0.15">
      <c r="B47" s="19">
        <v>4.4000000000000004</v>
      </c>
      <c r="C47" s="20" t="s">
        <v>68</v>
      </c>
      <c r="D47" s="16" t="s">
        <v>295</v>
      </c>
      <c r="E47" s="150" t="s">
        <v>108</v>
      </c>
      <c r="F47" s="22"/>
      <c r="G47" s="36">
        <f>IFERROR(VLOOKUP(tblRiskRegister152[[#This Row],[Asset Class]],tblVCDBIndex[#Data],4,FALSE),"")</f>
        <v>4</v>
      </c>
      <c r="H47" s="36" t="str">
        <f>IFERROR(VLOOKUP(10*tblRiskRegister152[[#This Row],[Safeguard Maturity Score]]+tblRiskRegister152[[#This Row],[VCDB Index]],tblHITIndexWeightTable[#Data],4,FALSE),"")</f>
        <v/>
      </c>
      <c r="I47" s="36">
        <f>VLOOKUP(tblRiskRegister152[[#This Row],[Asset Class]],tblImpactIndex175[],2,FALSE)</f>
        <v>2</v>
      </c>
      <c r="J47" s="36">
        <f>VLOOKUP(tblRiskRegister152[[#This Row],[Asset Class]],tblImpactIndex175[],3,FALSE)</f>
        <v>2</v>
      </c>
      <c r="K47" s="36">
        <f>VLOOKUP(tblRiskRegister152[[#This Row],[Asset Class]],tblImpactIndex175[],4,FALSE)</f>
        <v>3</v>
      </c>
      <c r="L47" s="36" t="str">
        <f>IFERROR(MAX(tblRiskRegister152[[#This Row],[Impact to Mission]:[Impact to Obligations]])*tblRiskRegister152[[#This Row],[Expectancy Score]],"")</f>
        <v/>
      </c>
      <c r="M47" s="36" t="str">
        <f>tblRiskRegister152[[#This Row],[Risk Score]]</f>
        <v/>
      </c>
      <c r="N47" s="31"/>
      <c r="O47" s="19">
        <v>4.4000000000000004</v>
      </c>
      <c r="P47" s="20" t="s">
        <v>68</v>
      </c>
      <c r="Q47" s="20" t="s">
        <v>134</v>
      </c>
      <c r="R47" s="21"/>
      <c r="S47" s="22"/>
      <c r="T47" s="35" t="str">
        <f>IFERROR(VLOOKUP(10*tblRiskRegister152[[#This Row],[Risk Treatment Safeguard Maturity Score]]+tblRiskRegister152[[#This Row],[VCDB Index]],tblHITIndexWeightTable[#Data],4,FALSE),"")</f>
        <v/>
      </c>
      <c r="U47" s="35">
        <f>VLOOKUP(tblRiskRegister152[[#This Row],[Asset Class]],tblImpactIndex175[],2,FALSE)</f>
        <v>2</v>
      </c>
      <c r="V47" s="35">
        <f>VLOOKUP(tblRiskRegister152[[#This Row],[Asset Class]],tblImpactIndex175[],3,FALSE)</f>
        <v>2</v>
      </c>
      <c r="W47" s="35">
        <f>VLOOKUP(tblRiskRegister152[[#This Row],[Asset Class]],tblImpactIndex175[],4,FALSE)</f>
        <v>3</v>
      </c>
      <c r="X47" s="35" t="str">
        <f>IFERROR(MAX(tblRiskRegister152[[#This Row],[Risk Treatment Safeguard Impact to Mission]:[Risk Treatment Safeguard Impact to Obligations]])*tblRiskRegister152[[#This Row],[Risk Treatment
Safeguard Expectancy Score]],"")</f>
        <v/>
      </c>
      <c r="Y47" s="35" t="str">
        <f>IF(tblRiskRegister152[[#This Row],[Risk Score]]&gt;5,IF(tblRiskRegister152[[#This Row],[Risk Treatment Safeguard Risk Score]]&lt;6, IF(tblRiskRegister152[[#This Row],[Risk Treatment Safeguard Risk Score]]&lt;=tblRiskRegister152[[#This Row],[Risk Score]],"Yes","No"),"No"),"Yes")</f>
        <v>No</v>
      </c>
      <c r="Z47" s="23"/>
      <c r="AA47" s="23"/>
      <c r="AB47" s="24"/>
    </row>
    <row r="48" spans="2:32" ht="42" x14ac:dyDescent="0.15">
      <c r="B48" s="19">
        <v>4.5</v>
      </c>
      <c r="C48" s="20" t="s">
        <v>69</v>
      </c>
      <c r="D48" s="16" t="s">
        <v>295</v>
      </c>
      <c r="E48" s="150" t="s">
        <v>108</v>
      </c>
      <c r="F48" s="22"/>
      <c r="G48" s="36">
        <f>IFERROR(VLOOKUP(tblRiskRegister152[[#This Row],[Asset Class]],tblVCDBIndex[#Data],4,FALSE),"")</f>
        <v>4</v>
      </c>
      <c r="H48" s="36" t="str">
        <f>IFERROR(VLOOKUP(10*tblRiskRegister152[[#This Row],[Safeguard Maturity Score]]+tblRiskRegister152[[#This Row],[VCDB Index]],tblHITIndexWeightTable[#Data],4,FALSE),"")</f>
        <v/>
      </c>
      <c r="I48" s="36">
        <f>VLOOKUP(tblRiskRegister152[[#This Row],[Asset Class]],tblImpactIndex175[],2,FALSE)</f>
        <v>2</v>
      </c>
      <c r="J48" s="36">
        <f>VLOOKUP(tblRiskRegister152[[#This Row],[Asset Class]],tblImpactIndex175[],3,FALSE)</f>
        <v>2</v>
      </c>
      <c r="K48" s="36">
        <f>VLOOKUP(tblRiskRegister152[[#This Row],[Asset Class]],tblImpactIndex175[],4,FALSE)</f>
        <v>3</v>
      </c>
      <c r="L48" s="36" t="str">
        <f>IFERROR(MAX(tblRiskRegister152[[#This Row],[Impact to Mission]:[Impact to Obligations]])*tblRiskRegister152[[#This Row],[Expectancy Score]],"")</f>
        <v/>
      </c>
      <c r="M48" s="36" t="str">
        <f>tblRiskRegister152[[#This Row],[Risk Score]]</f>
        <v/>
      </c>
      <c r="N48" s="31"/>
      <c r="O48" s="19">
        <v>4.5</v>
      </c>
      <c r="P48" s="20" t="s">
        <v>69</v>
      </c>
      <c r="Q48" s="20" t="s">
        <v>135</v>
      </c>
      <c r="R48" s="21"/>
      <c r="S48" s="22"/>
      <c r="T48" s="35" t="str">
        <f>IFERROR(VLOOKUP(10*tblRiskRegister152[[#This Row],[Risk Treatment Safeguard Maturity Score]]+tblRiskRegister152[[#This Row],[VCDB Index]],tblHITIndexWeightTable[#Data],4,FALSE),"")</f>
        <v/>
      </c>
      <c r="U48" s="35">
        <f>VLOOKUP(tblRiskRegister152[[#This Row],[Asset Class]],tblImpactIndex175[],2,FALSE)</f>
        <v>2</v>
      </c>
      <c r="V48" s="35">
        <f>VLOOKUP(tblRiskRegister152[[#This Row],[Asset Class]],tblImpactIndex175[],3,FALSE)</f>
        <v>2</v>
      </c>
      <c r="W48" s="35">
        <f>VLOOKUP(tblRiskRegister152[[#This Row],[Asset Class]],tblImpactIndex175[],4,FALSE)</f>
        <v>3</v>
      </c>
      <c r="X48" s="35" t="str">
        <f>IFERROR(MAX(tblRiskRegister152[[#This Row],[Risk Treatment Safeguard Impact to Mission]:[Risk Treatment Safeguard Impact to Obligations]])*tblRiskRegister152[[#This Row],[Risk Treatment
Safeguard Expectancy Score]],"")</f>
        <v/>
      </c>
      <c r="Y48" s="35" t="str">
        <f>IF(tblRiskRegister152[[#This Row],[Risk Score]]&gt;5,IF(tblRiskRegister152[[#This Row],[Risk Treatment Safeguard Risk Score]]&lt;6, IF(tblRiskRegister152[[#This Row],[Risk Treatment Safeguard Risk Score]]&lt;=tblRiskRegister152[[#This Row],[Risk Score]],"Yes","No"),"No"),"Yes")</f>
        <v>No</v>
      </c>
      <c r="Z48" s="23"/>
      <c r="AA48" s="23"/>
      <c r="AB48" s="24"/>
    </row>
    <row r="49" spans="2:28" ht="70" x14ac:dyDescent="0.15">
      <c r="B49" s="19">
        <v>4.5999999999999996</v>
      </c>
      <c r="C49" s="20" t="s">
        <v>70</v>
      </c>
      <c r="D49" s="16" t="s">
        <v>295</v>
      </c>
      <c r="E49" s="150" t="s">
        <v>108</v>
      </c>
      <c r="F49" s="22"/>
      <c r="G49" s="36">
        <f>IFERROR(VLOOKUP(tblRiskRegister152[[#This Row],[Asset Class]],tblVCDBIndex[#Data],4,FALSE),"")</f>
        <v>4</v>
      </c>
      <c r="H49" s="36" t="str">
        <f>IFERROR(VLOOKUP(10*tblRiskRegister152[[#This Row],[Safeguard Maturity Score]]+tblRiskRegister152[[#This Row],[VCDB Index]],tblHITIndexWeightTable[#Data],4,FALSE),"")</f>
        <v/>
      </c>
      <c r="I49" s="36">
        <f>VLOOKUP(tblRiskRegister152[[#This Row],[Asset Class]],tblImpactIndex175[],2,FALSE)</f>
        <v>2</v>
      </c>
      <c r="J49" s="36">
        <f>VLOOKUP(tblRiskRegister152[[#This Row],[Asset Class]],tblImpactIndex175[],3,FALSE)</f>
        <v>2</v>
      </c>
      <c r="K49" s="36">
        <f>VLOOKUP(tblRiskRegister152[[#This Row],[Asset Class]],tblImpactIndex175[],4,FALSE)</f>
        <v>3</v>
      </c>
      <c r="L49" s="36" t="str">
        <f>IFERROR(MAX(tblRiskRegister152[[#This Row],[Impact to Mission]:[Impact to Obligations]])*tblRiskRegister152[[#This Row],[Expectancy Score]],"")</f>
        <v/>
      </c>
      <c r="M49" s="36" t="str">
        <f>tblRiskRegister152[[#This Row],[Risk Score]]</f>
        <v/>
      </c>
      <c r="N49" s="31"/>
      <c r="O49" s="19">
        <v>4.5999999999999996</v>
      </c>
      <c r="P49" s="20" t="s">
        <v>70</v>
      </c>
      <c r="Q49" s="20" t="s">
        <v>319</v>
      </c>
      <c r="R49" s="21"/>
      <c r="S49" s="22"/>
      <c r="T49" s="35" t="str">
        <f>IFERROR(VLOOKUP(10*tblRiskRegister152[[#This Row],[Risk Treatment Safeguard Maturity Score]]+tblRiskRegister152[[#This Row],[VCDB Index]],tblHITIndexWeightTable[#Data],4,FALSE),"")</f>
        <v/>
      </c>
      <c r="U49" s="35">
        <f>VLOOKUP(tblRiskRegister152[[#This Row],[Asset Class]],tblImpactIndex175[],2,FALSE)</f>
        <v>2</v>
      </c>
      <c r="V49" s="35">
        <f>VLOOKUP(tblRiskRegister152[[#This Row],[Asset Class]],tblImpactIndex175[],3,FALSE)</f>
        <v>2</v>
      </c>
      <c r="W49" s="35">
        <f>VLOOKUP(tblRiskRegister152[[#This Row],[Asset Class]],tblImpactIndex175[],4,FALSE)</f>
        <v>3</v>
      </c>
      <c r="X49" s="35" t="str">
        <f>IFERROR(MAX(tblRiskRegister152[[#This Row],[Risk Treatment Safeguard Impact to Mission]:[Risk Treatment Safeguard Impact to Obligations]])*tblRiskRegister152[[#This Row],[Risk Treatment
Safeguard Expectancy Score]],"")</f>
        <v/>
      </c>
      <c r="Y49" s="35" t="str">
        <f>IF(tblRiskRegister152[[#This Row],[Risk Score]]&gt;5,IF(tblRiskRegister152[[#This Row],[Risk Treatment Safeguard Risk Score]]&lt;6, IF(tblRiskRegister152[[#This Row],[Risk Treatment Safeguard Risk Score]]&lt;=tblRiskRegister152[[#This Row],[Risk Score]],"Yes","No"),"No"),"Yes")</f>
        <v>No</v>
      </c>
      <c r="Z49" s="23"/>
      <c r="AA49" s="23"/>
      <c r="AB49" s="24"/>
    </row>
    <row r="50" spans="2:28" ht="42" x14ac:dyDescent="0.15">
      <c r="B50" s="19">
        <v>4.7</v>
      </c>
      <c r="C50" s="20" t="s">
        <v>71</v>
      </c>
      <c r="D50" s="16" t="s">
        <v>295</v>
      </c>
      <c r="E50" s="150" t="s">
        <v>110</v>
      </c>
      <c r="F50" s="22"/>
      <c r="G50" s="36">
        <f>IFERROR(VLOOKUP(tblRiskRegister152[[#This Row],[Asset Class]],tblVCDBIndex[#Data],4,FALSE),"")</f>
        <v>2</v>
      </c>
      <c r="H50" s="36" t="str">
        <f>IFERROR(VLOOKUP(10*tblRiskRegister152[[#This Row],[Safeguard Maturity Score]]+tblRiskRegister152[[#This Row],[VCDB Index]],tblHITIndexWeightTable[#Data],4,FALSE),"")</f>
        <v/>
      </c>
      <c r="I50" s="36">
        <f>VLOOKUP(tblRiskRegister152[[#This Row],[Asset Class]],tblImpactIndex175[],2,FALSE)</f>
        <v>2</v>
      </c>
      <c r="J50" s="36">
        <f>VLOOKUP(tblRiskRegister152[[#This Row],[Asset Class]],tblImpactIndex175[],3,FALSE)</f>
        <v>2</v>
      </c>
      <c r="K50" s="36">
        <f>VLOOKUP(tblRiskRegister152[[#This Row],[Asset Class]],tblImpactIndex175[],4,FALSE)</f>
        <v>2</v>
      </c>
      <c r="L50" s="36" t="str">
        <f>IFERROR(MAX(tblRiskRegister152[[#This Row],[Impact to Mission]:[Impact to Obligations]])*tblRiskRegister152[[#This Row],[Expectancy Score]],"")</f>
        <v/>
      </c>
      <c r="M50" s="36" t="str">
        <f>tblRiskRegister152[[#This Row],[Risk Score]]</f>
        <v/>
      </c>
      <c r="N50" s="31"/>
      <c r="O50" s="19">
        <v>4.7</v>
      </c>
      <c r="P50" s="20" t="s">
        <v>71</v>
      </c>
      <c r="Q50" s="20" t="s">
        <v>136</v>
      </c>
      <c r="R50" s="21"/>
      <c r="S50" s="22"/>
      <c r="T50" s="35" t="str">
        <f>IFERROR(VLOOKUP(10*tblRiskRegister152[[#This Row],[Risk Treatment Safeguard Maturity Score]]+tblRiskRegister152[[#This Row],[VCDB Index]],tblHITIndexWeightTable[#Data],4,FALSE),"")</f>
        <v/>
      </c>
      <c r="U50" s="35">
        <f>VLOOKUP(tblRiskRegister152[[#This Row],[Asset Class]],tblImpactIndex175[],2,FALSE)</f>
        <v>2</v>
      </c>
      <c r="V50" s="35">
        <f>VLOOKUP(tblRiskRegister152[[#This Row],[Asset Class]],tblImpactIndex175[],3,FALSE)</f>
        <v>2</v>
      </c>
      <c r="W50" s="35">
        <f>VLOOKUP(tblRiskRegister152[[#This Row],[Asset Class]],tblImpactIndex175[],4,FALSE)</f>
        <v>2</v>
      </c>
      <c r="X50" s="35" t="str">
        <f>IFERROR(MAX(tblRiskRegister152[[#This Row],[Risk Treatment Safeguard Impact to Mission]:[Risk Treatment Safeguard Impact to Obligations]])*tblRiskRegister152[[#This Row],[Risk Treatment
Safeguard Expectancy Score]],"")</f>
        <v/>
      </c>
      <c r="Y50" s="35" t="str">
        <f>IF(tblRiskRegister152[[#This Row],[Risk Score]]&gt;5,IF(tblRiskRegister152[[#This Row],[Risk Treatment Safeguard Risk Score]]&lt;6, IF(tblRiskRegister152[[#This Row],[Risk Treatment Safeguard Risk Score]]&lt;=tblRiskRegister152[[#This Row],[Risk Score]],"Yes","No"),"No"),"Yes")</f>
        <v>No</v>
      </c>
      <c r="Z50" s="23"/>
      <c r="AA50" s="23"/>
      <c r="AB50" s="24"/>
    </row>
    <row r="51" spans="2:28" ht="70" x14ac:dyDescent="0.15">
      <c r="B51" s="19">
        <v>5.0999999999999996</v>
      </c>
      <c r="C51" s="20" t="s">
        <v>72</v>
      </c>
      <c r="D51" s="16" t="s">
        <v>293</v>
      </c>
      <c r="E51" s="150" t="s">
        <v>110</v>
      </c>
      <c r="F51" s="22"/>
      <c r="G51" s="36">
        <f>IFERROR(VLOOKUP(tblRiskRegister152[[#This Row],[Asset Class]],tblVCDBIndex[#Data],4,FALSE),"")</f>
        <v>2</v>
      </c>
      <c r="H51" s="36" t="str">
        <f>IFERROR(VLOOKUP(10*tblRiskRegister152[[#This Row],[Safeguard Maturity Score]]+tblRiskRegister152[[#This Row],[VCDB Index]],tblHITIndexWeightTable[#Data],4,FALSE),"")</f>
        <v/>
      </c>
      <c r="I51" s="36">
        <f>VLOOKUP(tblRiskRegister152[[#This Row],[Asset Class]],tblImpactIndex175[],2,FALSE)</f>
        <v>2</v>
      </c>
      <c r="J51" s="36">
        <f>VLOOKUP(tblRiskRegister152[[#This Row],[Asset Class]],tblImpactIndex175[],3,FALSE)</f>
        <v>2</v>
      </c>
      <c r="K51" s="36">
        <f>VLOOKUP(tblRiskRegister152[[#This Row],[Asset Class]],tblImpactIndex175[],4,FALSE)</f>
        <v>2</v>
      </c>
      <c r="L51" s="36" t="str">
        <f>IFERROR(MAX(tblRiskRegister152[[#This Row],[Impact to Mission]:[Impact to Obligations]])*tblRiskRegister152[[#This Row],[Expectancy Score]],"")</f>
        <v/>
      </c>
      <c r="M51" s="36" t="str">
        <f>tblRiskRegister152[[#This Row],[Risk Score]]</f>
        <v/>
      </c>
      <c r="N51" s="31"/>
      <c r="O51" s="19">
        <v>5.0999999999999996</v>
      </c>
      <c r="P51" s="20" t="s">
        <v>72</v>
      </c>
      <c r="Q51" s="20" t="s">
        <v>320</v>
      </c>
      <c r="R51" s="21"/>
      <c r="S51" s="22"/>
      <c r="T51" s="35" t="str">
        <f>IFERROR(VLOOKUP(10*tblRiskRegister152[[#This Row],[Risk Treatment Safeguard Maturity Score]]+tblRiskRegister152[[#This Row],[VCDB Index]],tblHITIndexWeightTable[#Data],4,FALSE),"")</f>
        <v/>
      </c>
      <c r="U51" s="35">
        <f>VLOOKUP(tblRiskRegister152[[#This Row],[Asset Class]],tblImpactIndex175[],2,FALSE)</f>
        <v>2</v>
      </c>
      <c r="V51" s="35">
        <f>VLOOKUP(tblRiskRegister152[[#This Row],[Asset Class]],tblImpactIndex175[],3,FALSE)</f>
        <v>2</v>
      </c>
      <c r="W51" s="35">
        <f>VLOOKUP(tblRiskRegister152[[#This Row],[Asset Class]],tblImpactIndex175[],4,FALSE)</f>
        <v>2</v>
      </c>
      <c r="X51" s="35" t="str">
        <f>IFERROR(MAX(tblRiskRegister152[[#This Row],[Risk Treatment Safeguard Impact to Mission]:[Risk Treatment Safeguard Impact to Obligations]])*tblRiskRegister152[[#This Row],[Risk Treatment
Safeguard Expectancy Score]],"")</f>
        <v/>
      </c>
      <c r="Y51" s="35" t="str">
        <f>IF(tblRiskRegister152[[#This Row],[Risk Score]]&gt;5,IF(tblRiskRegister152[[#This Row],[Risk Treatment Safeguard Risk Score]]&lt;6, IF(tblRiskRegister152[[#This Row],[Risk Treatment Safeguard Risk Score]]&lt;=tblRiskRegister152[[#This Row],[Risk Score]],"Yes","No"),"No"),"Yes")</f>
        <v>No</v>
      </c>
      <c r="Z51" s="23"/>
      <c r="AA51" s="23"/>
      <c r="AB51" s="24"/>
    </row>
    <row r="52" spans="2:28" ht="42" x14ac:dyDescent="0.15">
      <c r="B52" s="19">
        <v>5.2</v>
      </c>
      <c r="C52" s="20" t="s">
        <v>16</v>
      </c>
      <c r="D52" s="16" t="s">
        <v>295</v>
      </c>
      <c r="E52" s="150" t="s">
        <v>110</v>
      </c>
      <c r="F52" s="22"/>
      <c r="G52" s="36">
        <f>IFERROR(VLOOKUP(tblRiskRegister152[[#This Row],[Asset Class]],tblVCDBIndex[#Data],4,FALSE),"")</f>
        <v>2</v>
      </c>
      <c r="H52" s="36" t="str">
        <f>IFERROR(VLOOKUP(10*tblRiskRegister152[[#This Row],[Safeguard Maturity Score]]+tblRiskRegister152[[#This Row],[VCDB Index]],tblHITIndexWeightTable[#Data],4,FALSE),"")</f>
        <v/>
      </c>
      <c r="I52" s="36">
        <f>VLOOKUP(tblRiskRegister152[[#This Row],[Asset Class]],tblImpactIndex175[],2,FALSE)</f>
        <v>2</v>
      </c>
      <c r="J52" s="36">
        <f>VLOOKUP(tblRiskRegister152[[#This Row],[Asset Class]],tblImpactIndex175[],3,FALSE)</f>
        <v>2</v>
      </c>
      <c r="K52" s="36">
        <f>VLOOKUP(tblRiskRegister152[[#This Row],[Asset Class]],tblImpactIndex175[],4,FALSE)</f>
        <v>2</v>
      </c>
      <c r="L52" s="36" t="str">
        <f>IFERROR(MAX(tblRiskRegister152[[#This Row],[Impact to Mission]:[Impact to Obligations]])*tblRiskRegister152[[#This Row],[Expectancy Score]],"")</f>
        <v/>
      </c>
      <c r="M52" s="36" t="str">
        <f>tblRiskRegister152[[#This Row],[Risk Score]]</f>
        <v/>
      </c>
      <c r="N52" s="31"/>
      <c r="O52" s="19">
        <v>5.2</v>
      </c>
      <c r="P52" s="20" t="s">
        <v>16</v>
      </c>
      <c r="Q52" s="20" t="s">
        <v>321</v>
      </c>
      <c r="R52" s="21"/>
      <c r="S52" s="22"/>
      <c r="T52" s="35" t="str">
        <f>IFERROR(VLOOKUP(10*tblRiskRegister152[[#This Row],[Risk Treatment Safeguard Maturity Score]]+tblRiskRegister152[[#This Row],[VCDB Index]],tblHITIndexWeightTable[#Data],4,FALSE),"")</f>
        <v/>
      </c>
      <c r="U52" s="35">
        <f>VLOOKUP(tblRiskRegister152[[#This Row],[Asset Class]],tblImpactIndex175[],2,FALSE)</f>
        <v>2</v>
      </c>
      <c r="V52" s="35">
        <f>VLOOKUP(tblRiskRegister152[[#This Row],[Asset Class]],tblImpactIndex175[],3,FALSE)</f>
        <v>2</v>
      </c>
      <c r="W52" s="35">
        <f>VLOOKUP(tblRiskRegister152[[#This Row],[Asset Class]],tblImpactIndex175[],4,FALSE)</f>
        <v>2</v>
      </c>
      <c r="X52" s="35" t="str">
        <f>IFERROR(MAX(tblRiskRegister152[[#This Row],[Risk Treatment Safeguard Impact to Mission]:[Risk Treatment Safeguard Impact to Obligations]])*tblRiskRegister152[[#This Row],[Risk Treatment
Safeguard Expectancy Score]],"")</f>
        <v/>
      </c>
      <c r="Y52" s="35" t="str">
        <f>IF(tblRiskRegister152[[#This Row],[Risk Score]]&gt;5,IF(tblRiskRegister152[[#This Row],[Risk Treatment Safeguard Risk Score]]&lt;6, IF(tblRiskRegister152[[#This Row],[Risk Treatment Safeguard Risk Score]]&lt;=tblRiskRegister152[[#This Row],[Risk Score]],"Yes","No"),"No"),"Yes")</f>
        <v>No</v>
      </c>
      <c r="Z52" s="23"/>
      <c r="AA52" s="23"/>
      <c r="AB52" s="24"/>
    </row>
    <row r="53" spans="2:28" ht="28" x14ac:dyDescent="0.15">
      <c r="B53" s="19">
        <v>5.3</v>
      </c>
      <c r="C53" s="20" t="s">
        <v>18</v>
      </c>
      <c r="D53" s="16" t="s">
        <v>295</v>
      </c>
      <c r="E53" s="150" t="s">
        <v>110</v>
      </c>
      <c r="F53" s="22"/>
      <c r="G53" s="36">
        <f>IFERROR(VLOOKUP(tblRiskRegister152[[#This Row],[Asset Class]],tblVCDBIndex[#Data],4,FALSE),"")</f>
        <v>2</v>
      </c>
      <c r="H53" s="36" t="str">
        <f>IFERROR(VLOOKUP(10*tblRiskRegister152[[#This Row],[Safeguard Maturity Score]]+tblRiskRegister152[[#This Row],[VCDB Index]],tblHITIndexWeightTable[#Data],4,FALSE),"")</f>
        <v/>
      </c>
      <c r="I53" s="36">
        <f>VLOOKUP(tblRiskRegister152[[#This Row],[Asset Class]],tblImpactIndex175[],2,FALSE)</f>
        <v>2</v>
      </c>
      <c r="J53" s="36">
        <f>VLOOKUP(tblRiskRegister152[[#This Row],[Asset Class]],tblImpactIndex175[],3,FALSE)</f>
        <v>2</v>
      </c>
      <c r="K53" s="36">
        <f>VLOOKUP(tblRiskRegister152[[#This Row],[Asset Class]],tblImpactIndex175[],4,FALSE)</f>
        <v>2</v>
      </c>
      <c r="L53" s="36" t="str">
        <f>IFERROR(MAX(tblRiskRegister152[[#This Row],[Impact to Mission]:[Impact to Obligations]])*tblRiskRegister152[[#This Row],[Expectancy Score]],"")</f>
        <v/>
      </c>
      <c r="M53" s="36" t="str">
        <f>tblRiskRegister152[[#This Row],[Risk Score]]</f>
        <v/>
      </c>
      <c r="N53" s="31"/>
      <c r="O53" s="19">
        <v>5.3</v>
      </c>
      <c r="P53" s="20" t="s">
        <v>18</v>
      </c>
      <c r="Q53" s="20" t="s">
        <v>137</v>
      </c>
      <c r="R53" s="21"/>
      <c r="S53" s="22"/>
      <c r="T53" s="35" t="str">
        <f>IFERROR(VLOOKUP(10*tblRiskRegister152[[#This Row],[Risk Treatment Safeguard Maturity Score]]+tblRiskRegister152[[#This Row],[VCDB Index]],tblHITIndexWeightTable[#Data],4,FALSE),"")</f>
        <v/>
      </c>
      <c r="U53" s="35">
        <f>VLOOKUP(tblRiskRegister152[[#This Row],[Asset Class]],tblImpactIndex175[],2,FALSE)</f>
        <v>2</v>
      </c>
      <c r="V53" s="35">
        <f>VLOOKUP(tblRiskRegister152[[#This Row],[Asset Class]],tblImpactIndex175[],3,FALSE)</f>
        <v>2</v>
      </c>
      <c r="W53" s="35">
        <f>VLOOKUP(tblRiskRegister152[[#This Row],[Asset Class]],tblImpactIndex175[],4,FALSE)</f>
        <v>2</v>
      </c>
      <c r="X53" s="35" t="str">
        <f>IFERROR(MAX(tblRiskRegister152[[#This Row],[Risk Treatment Safeguard Impact to Mission]:[Risk Treatment Safeguard Impact to Obligations]])*tblRiskRegister152[[#This Row],[Risk Treatment
Safeguard Expectancy Score]],"")</f>
        <v/>
      </c>
      <c r="Y53" s="35" t="str">
        <f>IF(tblRiskRegister152[[#This Row],[Risk Score]]&gt;5,IF(tblRiskRegister152[[#This Row],[Risk Treatment Safeguard Risk Score]]&lt;6, IF(tblRiskRegister152[[#This Row],[Risk Treatment Safeguard Risk Score]]&lt;=tblRiskRegister152[[#This Row],[Risk Score]],"Yes","No"),"No"),"Yes")</f>
        <v>No</v>
      </c>
      <c r="Z53" s="23"/>
      <c r="AA53" s="23"/>
      <c r="AB53" s="24"/>
    </row>
    <row r="54" spans="2:28" ht="42" x14ac:dyDescent="0.15">
      <c r="B54" s="19">
        <v>5.4</v>
      </c>
      <c r="C54" s="20" t="s">
        <v>73</v>
      </c>
      <c r="D54" s="16" t="s">
        <v>295</v>
      </c>
      <c r="E54" s="150" t="s">
        <v>110</v>
      </c>
      <c r="F54" s="22"/>
      <c r="G54" s="36">
        <f>IFERROR(VLOOKUP(tblRiskRegister152[[#This Row],[Asset Class]],tblVCDBIndex[#Data],4,FALSE),"")</f>
        <v>2</v>
      </c>
      <c r="H54" s="36" t="str">
        <f>IFERROR(VLOOKUP(10*tblRiskRegister152[[#This Row],[Safeguard Maturity Score]]+tblRiskRegister152[[#This Row],[VCDB Index]],tblHITIndexWeightTable[#Data],4,FALSE),"")</f>
        <v/>
      </c>
      <c r="I54" s="36">
        <f>VLOOKUP(tblRiskRegister152[[#This Row],[Asset Class]],tblImpactIndex175[],2,FALSE)</f>
        <v>2</v>
      </c>
      <c r="J54" s="36">
        <f>VLOOKUP(tblRiskRegister152[[#This Row],[Asset Class]],tblImpactIndex175[],3,FALSE)</f>
        <v>2</v>
      </c>
      <c r="K54" s="36">
        <f>VLOOKUP(tblRiskRegister152[[#This Row],[Asset Class]],tblImpactIndex175[],4,FALSE)</f>
        <v>2</v>
      </c>
      <c r="L54" s="36" t="str">
        <f>IFERROR(MAX(tblRiskRegister152[[#This Row],[Impact to Mission]:[Impact to Obligations]])*tblRiskRegister152[[#This Row],[Expectancy Score]],"")</f>
        <v/>
      </c>
      <c r="M54" s="36" t="str">
        <f>tblRiskRegister152[[#This Row],[Risk Score]]</f>
        <v/>
      </c>
      <c r="N54" s="31"/>
      <c r="O54" s="19">
        <v>5.4</v>
      </c>
      <c r="P54" s="20" t="s">
        <v>73</v>
      </c>
      <c r="Q54" s="20" t="s">
        <v>138</v>
      </c>
      <c r="R54" s="21"/>
      <c r="S54" s="22"/>
      <c r="T54" s="35" t="str">
        <f>IFERROR(VLOOKUP(10*tblRiskRegister152[[#This Row],[Risk Treatment Safeguard Maturity Score]]+tblRiskRegister152[[#This Row],[VCDB Index]],tblHITIndexWeightTable[#Data],4,FALSE),"")</f>
        <v/>
      </c>
      <c r="U54" s="35">
        <f>VLOOKUP(tblRiskRegister152[[#This Row],[Asset Class]],tblImpactIndex175[],2,FALSE)</f>
        <v>2</v>
      </c>
      <c r="V54" s="35">
        <f>VLOOKUP(tblRiskRegister152[[#This Row],[Asset Class]],tblImpactIndex175[],3,FALSE)</f>
        <v>2</v>
      </c>
      <c r="W54" s="35">
        <f>VLOOKUP(tblRiskRegister152[[#This Row],[Asset Class]],tblImpactIndex175[],4,FALSE)</f>
        <v>2</v>
      </c>
      <c r="X54" s="35" t="str">
        <f>IFERROR(MAX(tblRiskRegister152[[#This Row],[Risk Treatment Safeguard Impact to Mission]:[Risk Treatment Safeguard Impact to Obligations]])*tblRiskRegister152[[#This Row],[Risk Treatment
Safeguard Expectancy Score]],"")</f>
        <v/>
      </c>
      <c r="Y54" s="35" t="str">
        <f>IF(tblRiskRegister152[[#This Row],[Risk Score]]&gt;5,IF(tblRiskRegister152[[#This Row],[Risk Treatment Safeguard Risk Score]]&lt;6, IF(tblRiskRegister152[[#This Row],[Risk Treatment Safeguard Risk Score]]&lt;=tblRiskRegister152[[#This Row],[Risk Score]],"Yes","No"),"No"),"Yes")</f>
        <v>No</v>
      </c>
      <c r="Z54" s="23"/>
      <c r="AA54" s="23"/>
      <c r="AB54" s="24"/>
    </row>
    <row r="55" spans="2:28" ht="28" x14ac:dyDescent="0.15">
      <c r="B55" s="19">
        <v>6.1</v>
      </c>
      <c r="C55" s="20" t="s">
        <v>74</v>
      </c>
      <c r="D55" s="148" t="s">
        <v>301</v>
      </c>
      <c r="E55" s="150" t="s">
        <v>302</v>
      </c>
      <c r="F55" s="22"/>
      <c r="G55" s="36">
        <f>IFERROR(VLOOKUP(tblRiskRegister152[[#This Row],[Asset Class]],tblVCDBIndex[#Data],4,FALSE),"")</f>
        <v>2</v>
      </c>
      <c r="H55" s="36" t="str">
        <f>IFERROR(VLOOKUP(10*tblRiskRegister152[[#This Row],[Safeguard Maturity Score]]+tblRiskRegister152[[#This Row],[VCDB Index]],tblHITIndexWeightTable[#Data],4,FALSE),"")</f>
        <v/>
      </c>
      <c r="I55" s="36">
        <f>VLOOKUP(tblRiskRegister152[[#This Row],[Asset Class]],tblImpactIndex175[],2,FALSE)</f>
        <v>1</v>
      </c>
      <c r="J55" s="36">
        <f>VLOOKUP(tblRiskRegister152[[#This Row],[Asset Class]],tblImpactIndex175[],3,FALSE)</f>
        <v>2</v>
      </c>
      <c r="K55" s="36">
        <f>VLOOKUP(tblRiskRegister152[[#This Row],[Asset Class]],tblImpactIndex175[],4,FALSE)</f>
        <v>2</v>
      </c>
      <c r="L55" s="36" t="str">
        <f>IFERROR(MAX(tblRiskRegister152[[#This Row],[Impact to Mission]:[Impact to Obligations]])*tblRiskRegister152[[#This Row],[Expectancy Score]],"")</f>
        <v/>
      </c>
      <c r="M55" s="36" t="str">
        <f>tblRiskRegister152[[#This Row],[Risk Score]]</f>
        <v/>
      </c>
      <c r="N55" s="31"/>
      <c r="O55" s="19">
        <v>6.1</v>
      </c>
      <c r="P55" s="20" t="s">
        <v>74</v>
      </c>
      <c r="Q55" s="20" t="s">
        <v>322</v>
      </c>
      <c r="R55" s="21"/>
      <c r="S55" s="22"/>
      <c r="T55" s="35" t="str">
        <f>IFERROR(VLOOKUP(10*tblRiskRegister152[[#This Row],[Risk Treatment Safeguard Maturity Score]]+tblRiskRegister152[[#This Row],[VCDB Index]],tblHITIndexWeightTable[#Data],4,FALSE),"")</f>
        <v/>
      </c>
      <c r="U55" s="35">
        <f>VLOOKUP(tblRiskRegister152[[#This Row],[Asset Class]],tblImpactIndex175[],2,FALSE)</f>
        <v>1</v>
      </c>
      <c r="V55" s="35">
        <f>VLOOKUP(tblRiskRegister152[[#This Row],[Asset Class]],tblImpactIndex175[],3,FALSE)</f>
        <v>2</v>
      </c>
      <c r="W55" s="35">
        <f>VLOOKUP(tblRiskRegister152[[#This Row],[Asset Class]],tblImpactIndex175[],4,FALSE)</f>
        <v>2</v>
      </c>
      <c r="X55" s="35" t="str">
        <f>IFERROR(MAX(tblRiskRegister152[[#This Row],[Risk Treatment Safeguard Impact to Mission]:[Risk Treatment Safeguard Impact to Obligations]])*tblRiskRegister152[[#This Row],[Risk Treatment
Safeguard Expectancy Score]],"")</f>
        <v/>
      </c>
      <c r="Y55" s="35" t="str">
        <f>IF(tblRiskRegister152[[#This Row],[Risk Score]]&gt;5,IF(tblRiskRegister152[[#This Row],[Risk Treatment Safeguard Risk Score]]&lt;6, IF(tblRiskRegister152[[#This Row],[Risk Treatment Safeguard Risk Score]]&lt;=tblRiskRegister152[[#This Row],[Risk Score]],"Yes","No"),"No"),"Yes")</f>
        <v>No</v>
      </c>
      <c r="Z55" s="23"/>
      <c r="AA55" s="23"/>
      <c r="AB55" s="24"/>
    </row>
    <row r="56" spans="2:28" ht="56" x14ac:dyDescent="0.15">
      <c r="B56" s="19">
        <v>6.2</v>
      </c>
      <c r="C56" s="20" t="s">
        <v>75</v>
      </c>
      <c r="D56" s="148" t="s">
        <v>301</v>
      </c>
      <c r="E56" s="150" t="s">
        <v>302</v>
      </c>
      <c r="F56" s="22"/>
      <c r="G56" s="36">
        <f>IFERROR(VLOOKUP(tblRiskRegister152[[#This Row],[Asset Class]],tblVCDBIndex[#Data],4,FALSE),"")</f>
        <v>2</v>
      </c>
      <c r="H56" s="36" t="str">
        <f>IFERROR(VLOOKUP(10*tblRiskRegister152[[#This Row],[Safeguard Maturity Score]]+tblRiskRegister152[[#This Row],[VCDB Index]],tblHITIndexWeightTable[#Data],4,FALSE),"")</f>
        <v/>
      </c>
      <c r="I56" s="36">
        <f>VLOOKUP(tblRiskRegister152[[#This Row],[Asset Class]],tblImpactIndex175[],2,FALSE)</f>
        <v>1</v>
      </c>
      <c r="J56" s="36">
        <f>VLOOKUP(tblRiskRegister152[[#This Row],[Asset Class]],tblImpactIndex175[],3,FALSE)</f>
        <v>2</v>
      </c>
      <c r="K56" s="36">
        <f>VLOOKUP(tblRiskRegister152[[#This Row],[Asset Class]],tblImpactIndex175[],4,FALSE)</f>
        <v>2</v>
      </c>
      <c r="L56" s="36" t="str">
        <f>IFERROR(MAX(tblRiskRegister152[[#This Row],[Impact to Mission]:[Impact to Obligations]])*tblRiskRegister152[[#This Row],[Expectancy Score]],"")</f>
        <v/>
      </c>
      <c r="M56" s="36" t="str">
        <f>tblRiskRegister152[[#This Row],[Risk Score]]</f>
        <v/>
      </c>
      <c r="N56" s="31"/>
      <c r="O56" s="19">
        <v>6.2</v>
      </c>
      <c r="P56" s="20" t="s">
        <v>75</v>
      </c>
      <c r="Q56" s="20" t="s">
        <v>139</v>
      </c>
      <c r="R56" s="21"/>
      <c r="S56" s="22"/>
      <c r="T56" s="35" t="str">
        <f>IFERROR(VLOOKUP(10*tblRiskRegister152[[#This Row],[Risk Treatment Safeguard Maturity Score]]+tblRiskRegister152[[#This Row],[VCDB Index]],tblHITIndexWeightTable[#Data],4,FALSE),"")</f>
        <v/>
      </c>
      <c r="U56" s="35">
        <f>VLOOKUP(tblRiskRegister152[[#This Row],[Asset Class]],tblImpactIndex175[],2,FALSE)</f>
        <v>1</v>
      </c>
      <c r="V56" s="35">
        <f>VLOOKUP(tblRiskRegister152[[#This Row],[Asset Class]],tblImpactIndex175[],3,FALSE)</f>
        <v>2</v>
      </c>
      <c r="W56" s="35">
        <f>VLOOKUP(tblRiskRegister152[[#This Row],[Asset Class]],tblImpactIndex175[],4,FALSE)</f>
        <v>2</v>
      </c>
      <c r="X56" s="35" t="str">
        <f>IFERROR(MAX(tblRiskRegister152[[#This Row],[Risk Treatment Safeguard Impact to Mission]:[Risk Treatment Safeguard Impact to Obligations]])*tblRiskRegister152[[#This Row],[Risk Treatment
Safeguard Expectancy Score]],"")</f>
        <v/>
      </c>
      <c r="Y56" s="35" t="str">
        <f>IF(tblRiskRegister152[[#This Row],[Risk Score]]&gt;5,IF(tblRiskRegister152[[#This Row],[Risk Treatment Safeguard Risk Score]]&lt;6, IF(tblRiskRegister152[[#This Row],[Risk Treatment Safeguard Risk Score]]&lt;=tblRiskRegister152[[#This Row],[Risk Score]],"Yes","No"),"No"),"Yes")</f>
        <v>No</v>
      </c>
      <c r="Z56" s="23"/>
      <c r="AA56" s="23"/>
      <c r="AB56" s="24"/>
    </row>
    <row r="57" spans="2:28" ht="42" x14ac:dyDescent="0.15">
      <c r="B57" s="19">
        <v>6.3</v>
      </c>
      <c r="C57" s="20" t="s">
        <v>76</v>
      </c>
      <c r="D57" s="16" t="s">
        <v>295</v>
      </c>
      <c r="E57" s="150" t="s">
        <v>110</v>
      </c>
      <c r="F57" s="22"/>
      <c r="G57" s="36">
        <f>IFERROR(VLOOKUP(tblRiskRegister152[[#This Row],[Asset Class]],tblVCDBIndex[#Data],4,FALSE),"")</f>
        <v>2</v>
      </c>
      <c r="H57" s="36" t="str">
        <f>IFERROR(VLOOKUP(10*tblRiskRegister152[[#This Row],[Safeguard Maturity Score]]+tblRiskRegister152[[#This Row],[VCDB Index]],tblHITIndexWeightTable[#Data],4,FALSE),"")</f>
        <v/>
      </c>
      <c r="I57" s="36">
        <f>VLOOKUP(tblRiskRegister152[[#This Row],[Asset Class]],tblImpactIndex175[],2,FALSE)</f>
        <v>2</v>
      </c>
      <c r="J57" s="36">
        <f>VLOOKUP(tblRiskRegister152[[#This Row],[Asset Class]],tblImpactIndex175[],3,FALSE)</f>
        <v>2</v>
      </c>
      <c r="K57" s="36">
        <f>VLOOKUP(tblRiskRegister152[[#This Row],[Asset Class]],tblImpactIndex175[],4,FALSE)</f>
        <v>2</v>
      </c>
      <c r="L57" s="36" t="str">
        <f>IFERROR(MAX(tblRiskRegister152[[#This Row],[Impact to Mission]:[Impact to Obligations]])*tblRiskRegister152[[#This Row],[Expectancy Score]],"")</f>
        <v/>
      </c>
      <c r="M57" s="36" t="str">
        <f>tblRiskRegister152[[#This Row],[Risk Score]]</f>
        <v/>
      </c>
      <c r="N57" s="31"/>
      <c r="O57" s="19">
        <v>6.3</v>
      </c>
      <c r="P57" s="20" t="s">
        <v>76</v>
      </c>
      <c r="Q57" s="20" t="s">
        <v>140</v>
      </c>
      <c r="R57" s="21"/>
      <c r="S57" s="22"/>
      <c r="T57" s="35" t="str">
        <f>IFERROR(VLOOKUP(10*tblRiskRegister152[[#This Row],[Risk Treatment Safeguard Maturity Score]]+tblRiskRegister152[[#This Row],[VCDB Index]],tblHITIndexWeightTable[#Data],4,FALSE),"")</f>
        <v/>
      </c>
      <c r="U57" s="35">
        <f>VLOOKUP(tblRiskRegister152[[#This Row],[Asset Class]],tblImpactIndex175[],2,FALSE)</f>
        <v>2</v>
      </c>
      <c r="V57" s="35">
        <f>VLOOKUP(tblRiskRegister152[[#This Row],[Asset Class]],tblImpactIndex175[],3,FALSE)</f>
        <v>2</v>
      </c>
      <c r="W57" s="35">
        <f>VLOOKUP(tblRiskRegister152[[#This Row],[Asset Class]],tblImpactIndex175[],4,FALSE)</f>
        <v>2</v>
      </c>
      <c r="X57" s="35" t="str">
        <f>IFERROR(MAX(tblRiskRegister152[[#This Row],[Risk Treatment Safeguard Impact to Mission]:[Risk Treatment Safeguard Impact to Obligations]])*tblRiskRegister152[[#This Row],[Risk Treatment
Safeguard Expectancy Score]],"")</f>
        <v/>
      </c>
      <c r="Y57" s="35" t="str">
        <f>IF(tblRiskRegister152[[#This Row],[Risk Score]]&gt;5,IF(tblRiskRegister152[[#This Row],[Risk Treatment Safeguard Risk Score]]&lt;6, IF(tblRiskRegister152[[#This Row],[Risk Treatment Safeguard Risk Score]]&lt;=tblRiskRegister152[[#This Row],[Risk Score]],"Yes","No"),"No"),"Yes")</f>
        <v>No</v>
      </c>
      <c r="Z57" s="23"/>
      <c r="AA57" s="23"/>
      <c r="AB57" s="24"/>
    </row>
    <row r="58" spans="2:28" ht="28" x14ac:dyDescent="0.15">
      <c r="B58" s="19">
        <v>6.4</v>
      </c>
      <c r="C58" s="20" t="s">
        <v>77</v>
      </c>
      <c r="D58" s="16" t="s">
        <v>295</v>
      </c>
      <c r="E58" s="150" t="s">
        <v>110</v>
      </c>
      <c r="F58" s="22"/>
      <c r="G58" s="36">
        <f>IFERROR(VLOOKUP(tblRiskRegister152[[#This Row],[Asset Class]],tblVCDBIndex[#Data],4,FALSE),"")</f>
        <v>2</v>
      </c>
      <c r="H58" s="36" t="str">
        <f>IFERROR(VLOOKUP(10*tblRiskRegister152[[#This Row],[Safeguard Maturity Score]]+tblRiskRegister152[[#This Row],[VCDB Index]],tblHITIndexWeightTable[#Data],4,FALSE),"")</f>
        <v/>
      </c>
      <c r="I58" s="36">
        <f>VLOOKUP(tblRiskRegister152[[#This Row],[Asset Class]],tblImpactIndex175[],2,FALSE)</f>
        <v>2</v>
      </c>
      <c r="J58" s="36">
        <f>VLOOKUP(tblRiskRegister152[[#This Row],[Asset Class]],tblImpactIndex175[],3,FALSE)</f>
        <v>2</v>
      </c>
      <c r="K58" s="36">
        <f>VLOOKUP(tblRiskRegister152[[#This Row],[Asset Class]],tblImpactIndex175[],4,FALSE)</f>
        <v>2</v>
      </c>
      <c r="L58" s="36" t="str">
        <f>IFERROR(MAX(tblRiskRegister152[[#This Row],[Impact to Mission]:[Impact to Obligations]])*tblRiskRegister152[[#This Row],[Expectancy Score]],"")</f>
        <v/>
      </c>
      <c r="M58" s="36" t="str">
        <f>tblRiskRegister152[[#This Row],[Risk Score]]</f>
        <v/>
      </c>
      <c r="N58" s="31"/>
      <c r="O58" s="19">
        <v>6.4</v>
      </c>
      <c r="P58" s="20" t="s">
        <v>77</v>
      </c>
      <c r="Q58" s="20" t="s">
        <v>141</v>
      </c>
      <c r="R58" s="21"/>
      <c r="S58" s="22"/>
      <c r="T58" s="35" t="str">
        <f>IFERROR(VLOOKUP(10*tblRiskRegister152[[#This Row],[Risk Treatment Safeguard Maturity Score]]+tblRiskRegister152[[#This Row],[VCDB Index]],tblHITIndexWeightTable[#Data],4,FALSE),"")</f>
        <v/>
      </c>
      <c r="U58" s="35">
        <f>VLOOKUP(tblRiskRegister152[[#This Row],[Asset Class]],tblImpactIndex175[],2,FALSE)</f>
        <v>2</v>
      </c>
      <c r="V58" s="35">
        <f>VLOOKUP(tblRiskRegister152[[#This Row],[Asset Class]],tblImpactIndex175[],3,FALSE)</f>
        <v>2</v>
      </c>
      <c r="W58" s="35">
        <f>VLOOKUP(tblRiskRegister152[[#This Row],[Asset Class]],tblImpactIndex175[],4,FALSE)</f>
        <v>2</v>
      </c>
      <c r="X58" s="35" t="str">
        <f>IFERROR(MAX(tblRiskRegister152[[#This Row],[Risk Treatment Safeguard Impact to Mission]:[Risk Treatment Safeguard Impact to Obligations]])*tblRiskRegister152[[#This Row],[Risk Treatment
Safeguard Expectancy Score]],"")</f>
        <v/>
      </c>
      <c r="Y58" s="35" t="str">
        <f>IF(tblRiskRegister152[[#This Row],[Risk Score]]&gt;5,IF(tblRiskRegister152[[#This Row],[Risk Treatment Safeguard Risk Score]]&lt;6, IF(tblRiskRegister152[[#This Row],[Risk Treatment Safeguard Risk Score]]&lt;=tblRiskRegister152[[#This Row],[Risk Score]],"Yes","No"),"No"),"Yes")</f>
        <v>No</v>
      </c>
      <c r="Z58" s="23"/>
      <c r="AA58" s="23"/>
      <c r="AB58" s="24"/>
    </row>
    <row r="59" spans="2:28" ht="28" x14ac:dyDescent="0.15">
      <c r="B59" s="19">
        <v>6.5</v>
      </c>
      <c r="C59" s="20" t="s">
        <v>78</v>
      </c>
      <c r="D59" s="16" t="s">
        <v>295</v>
      </c>
      <c r="E59" s="150" t="s">
        <v>110</v>
      </c>
      <c r="F59" s="22"/>
      <c r="G59" s="36">
        <f>IFERROR(VLOOKUP(tblRiskRegister152[[#This Row],[Asset Class]],tblVCDBIndex[#Data],4,FALSE),"")</f>
        <v>2</v>
      </c>
      <c r="H59" s="36" t="str">
        <f>IFERROR(VLOOKUP(10*tblRiskRegister152[[#This Row],[Safeguard Maturity Score]]+tblRiskRegister152[[#This Row],[VCDB Index]],tblHITIndexWeightTable[#Data],4,FALSE),"")</f>
        <v/>
      </c>
      <c r="I59" s="36">
        <f>VLOOKUP(tblRiskRegister152[[#This Row],[Asset Class]],tblImpactIndex175[],2,FALSE)</f>
        <v>2</v>
      </c>
      <c r="J59" s="36">
        <f>VLOOKUP(tblRiskRegister152[[#This Row],[Asset Class]],tblImpactIndex175[],3,FALSE)</f>
        <v>2</v>
      </c>
      <c r="K59" s="36">
        <f>VLOOKUP(tblRiskRegister152[[#This Row],[Asset Class]],tblImpactIndex175[],4,FALSE)</f>
        <v>2</v>
      </c>
      <c r="L59" s="36" t="str">
        <f>IFERROR(MAX(tblRiskRegister152[[#This Row],[Impact to Mission]:[Impact to Obligations]])*tblRiskRegister152[[#This Row],[Expectancy Score]],"")</f>
        <v/>
      </c>
      <c r="M59" s="36" t="str">
        <f>tblRiskRegister152[[#This Row],[Risk Score]]</f>
        <v/>
      </c>
      <c r="N59" s="31"/>
      <c r="O59" s="19">
        <v>6.5</v>
      </c>
      <c r="P59" s="20" t="s">
        <v>78</v>
      </c>
      <c r="Q59" s="20" t="s">
        <v>323</v>
      </c>
      <c r="R59" s="21"/>
      <c r="S59" s="22"/>
      <c r="T59" s="35" t="str">
        <f>IFERROR(VLOOKUP(10*tblRiskRegister152[[#This Row],[Risk Treatment Safeguard Maturity Score]]+tblRiskRegister152[[#This Row],[VCDB Index]],tblHITIndexWeightTable[#Data],4,FALSE),"")</f>
        <v/>
      </c>
      <c r="U59" s="35">
        <f>VLOOKUP(tblRiskRegister152[[#This Row],[Asset Class]],tblImpactIndex175[],2,FALSE)</f>
        <v>2</v>
      </c>
      <c r="V59" s="35">
        <f>VLOOKUP(tblRiskRegister152[[#This Row],[Asset Class]],tblImpactIndex175[],3,FALSE)</f>
        <v>2</v>
      </c>
      <c r="W59" s="35">
        <f>VLOOKUP(tblRiskRegister152[[#This Row],[Asset Class]],tblImpactIndex175[],4,FALSE)</f>
        <v>2</v>
      </c>
      <c r="X59" s="35" t="str">
        <f>IFERROR(MAX(tblRiskRegister152[[#This Row],[Risk Treatment Safeguard Impact to Mission]:[Risk Treatment Safeguard Impact to Obligations]])*tblRiskRegister152[[#This Row],[Risk Treatment
Safeguard Expectancy Score]],"")</f>
        <v/>
      </c>
      <c r="Y59" s="35" t="str">
        <f>IF(tblRiskRegister152[[#This Row],[Risk Score]]&gt;5,IF(tblRiskRegister152[[#This Row],[Risk Treatment Safeguard Risk Score]]&lt;6, IF(tblRiskRegister152[[#This Row],[Risk Treatment Safeguard Risk Score]]&lt;=tblRiskRegister152[[#This Row],[Risk Score]],"Yes","No"),"No"),"Yes")</f>
        <v>No</v>
      </c>
      <c r="Z59" s="23"/>
      <c r="AA59" s="23"/>
      <c r="AB59" s="24"/>
    </row>
    <row r="60" spans="2:28" ht="42" x14ac:dyDescent="0.15">
      <c r="B60" s="19">
        <v>7.1</v>
      </c>
      <c r="C60" s="20" t="s">
        <v>79</v>
      </c>
      <c r="D60" s="148" t="s">
        <v>301</v>
      </c>
      <c r="E60" s="150" t="s">
        <v>302</v>
      </c>
      <c r="F60" s="22"/>
      <c r="G60" s="36">
        <f>IFERROR(VLOOKUP(tblRiskRegister152[[#This Row],[Asset Class]],tblVCDBIndex[#Data],4,FALSE),"")</f>
        <v>2</v>
      </c>
      <c r="H60" s="36" t="str">
        <f>IFERROR(VLOOKUP(10*tblRiskRegister152[[#This Row],[Safeguard Maturity Score]]+tblRiskRegister152[[#This Row],[VCDB Index]],tblHITIndexWeightTable[#Data],4,FALSE),"")</f>
        <v/>
      </c>
      <c r="I60" s="36">
        <f>VLOOKUP(tblRiskRegister152[[#This Row],[Asset Class]],tblImpactIndex175[],2,FALSE)</f>
        <v>1</v>
      </c>
      <c r="J60" s="36">
        <f>VLOOKUP(tblRiskRegister152[[#This Row],[Asset Class]],tblImpactIndex175[],3,FALSE)</f>
        <v>2</v>
      </c>
      <c r="K60" s="36">
        <f>VLOOKUP(tblRiskRegister152[[#This Row],[Asset Class]],tblImpactIndex175[],4,FALSE)</f>
        <v>2</v>
      </c>
      <c r="L60" s="36" t="str">
        <f>IFERROR(MAX(tblRiskRegister152[[#This Row],[Impact to Mission]:[Impact to Obligations]])*tblRiskRegister152[[#This Row],[Expectancy Score]],"")</f>
        <v/>
      </c>
      <c r="M60" s="36" t="str">
        <f>tblRiskRegister152[[#This Row],[Risk Score]]</f>
        <v/>
      </c>
      <c r="N60" s="31"/>
      <c r="O60" s="19">
        <v>7.1</v>
      </c>
      <c r="P60" s="20" t="s">
        <v>79</v>
      </c>
      <c r="Q60" s="20" t="s">
        <v>142</v>
      </c>
      <c r="R60" s="21"/>
      <c r="S60" s="22"/>
      <c r="T60" s="35" t="str">
        <f>IFERROR(VLOOKUP(10*tblRiskRegister152[[#This Row],[Risk Treatment Safeguard Maturity Score]]+tblRiskRegister152[[#This Row],[VCDB Index]],tblHITIndexWeightTable[#Data],4,FALSE),"")</f>
        <v/>
      </c>
      <c r="U60" s="35">
        <f>VLOOKUP(tblRiskRegister152[[#This Row],[Asset Class]],tblImpactIndex175[],2,FALSE)</f>
        <v>1</v>
      </c>
      <c r="V60" s="35">
        <f>VLOOKUP(tblRiskRegister152[[#This Row],[Asset Class]],tblImpactIndex175[],3,FALSE)</f>
        <v>2</v>
      </c>
      <c r="W60" s="35">
        <f>VLOOKUP(tblRiskRegister152[[#This Row],[Asset Class]],tblImpactIndex175[],4,FALSE)</f>
        <v>2</v>
      </c>
      <c r="X60" s="35" t="str">
        <f>IFERROR(MAX(tblRiskRegister152[[#This Row],[Risk Treatment Safeguard Impact to Mission]:[Risk Treatment Safeguard Impact to Obligations]])*tblRiskRegister152[[#This Row],[Risk Treatment
Safeguard Expectancy Score]],"")</f>
        <v/>
      </c>
      <c r="Y60" s="35" t="str">
        <f>IF(tblRiskRegister152[[#This Row],[Risk Score]]&gt;5,IF(tblRiskRegister152[[#This Row],[Risk Treatment Safeguard Risk Score]]&lt;6, IF(tblRiskRegister152[[#This Row],[Risk Treatment Safeguard Risk Score]]&lt;=tblRiskRegister152[[#This Row],[Risk Score]],"Yes","No"),"No"),"Yes")</f>
        <v>No</v>
      </c>
      <c r="Z60" s="23"/>
      <c r="AA60" s="23"/>
      <c r="AB60" s="24"/>
    </row>
    <row r="61" spans="2:28" ht="28" x14ac:dyDescent="0.15">
      <c r="B61" s="19">
        <v>7.2</v>
      </c>
      <c r="C61" s="20" t="s">
        <v>80</v>
      </c>
      <c r="D61" s="148" t="s">
        <v>301</v>
      </c>
      <c r="E61" s="150" t="s">
        <v>302</v>
      </c>
      <c r="F61" s="22"/>
      <c r="G61" s="36">
        <f>IFERROR(VLOOKUP(tblRiskRegister152[[#This Row],[Asset Class]],tblVCDBIndex[#Data],4,FALSE),"")</f>
        <v>2</v>
      </c>
      <c r="H61" s="36" t="str">
        <f>IFERROR(VLOOKUP(10*tblRiskRegister152[[#This Row],[Safeguard Maturity Score]]+tblRiskRegister152[[#This Row],[VCDB Index]],tblHITIndexWeightTable[#Data],4,FALSE),"")</f>
        <v/>
      </c>
      <c r="I61" s="36">
        <f>VLOOKUP(tblRiskRegister152[[#This Row],[Asset Class]],tblImpactIndex175[],2,FALSE)</f>
        <v>1</v>
      </c>
      <c r="J61" s="36">
        <f>VLOOKUP(tblRiskRegister152[[#This Row],[Asset Class]],tblImpactIndex175[],3,FALSE)</f>
        <v>2</v>
      </c>
      <c r="K61" s="36">
        <f>VLOOKUP(tblRiskRegister152[[#This Row],[Asset Class]],tblImpactIndex175[],4,FALSE)</f>
        <v>2</v>
      </c>
      <c r="L61" s="36" t="str">
        <f>IFERROR(MAX(tblRiskRegister152[[#This Row],[Impact to Mission]:[Impact to Obligations]])*tblRiskRegister152[[#This Row],[Expectancy Score]],"")</f>
        <v/>
      </c>
      <c r="M61" s="36" t="str">
        <f>tblRiskRegister152[[#This Row],[Risk Score]]</f>
        <v/>
      </c>
      <c r="N61" s="31"/>
      <c r="O61" s="19">
        <v>7.2</v>
      </c>
      <c r="P61" s="20" t="s">
        <v>80</v>
      </c>
      <c r="Q61" s="20" t="s">
        <v>143</v>
      </c>
      <c r="R61" s="21"/>
      <c r="S61" s="22"/>
      <c r="T61" s="35" t="str">
        <f>IFERROR(VLOOKUP(10*tblRiskRegister152[[#This Row],[Risk Treatment Safeguard Maturity Score]]+tblRiskRegister152[[#This Row],[VCDB Index]],tblHITIndexWeightTable[#Data],4,FALSE),"")</f>
        <v/>
      </c>
      <c r="U61" s="35">
        <f>VLOOKUP(tblRiskRegister152[[#This Row],[Asset Class]],tblImpactIndex175[],2,FALSE)</f>
        <v>1</v>
      </c>
      <c r="V61" s="35">
        <f>VLOOKUP(tblRiskRegister152[[#This Row],[Asset Class]],tblImpactIndex175[],3,FALSE)</f>
        <v>2</v>
      </c>
      <c r="W61" s="35">
        <f>VLOOKUP(tblRiskRegister152[[#This Row],[Asset Class]],tblImpactIndex175[],4,FALSE)</f>
        <v>2</v>
      </c>
      <c r="X61" s="35" t="str">
        <f>IFERROR(MAX(tblRiskRegister152[[#This Row],[Risk Treatment Safeguard Impact to Mission]:[Risk Treatment Safeguard Impact to Obligations]])*tblRiskRegister152[[#This Row],[Risk Treatment
Safeguard Expectancy Score]],"")</f>
        <v/>
      </c>
      <c r="Y61" s="35" t="str">
        <f>IF(tblRiskRegister152[[#This Row],[Risk Score]]&gt;5,IF(tblRiskRegister152[[#This Row],[Risk Treatment Safeguard Risk Score]]&lt;6, IF(tblRiskRegister152[[#This Row],[Risk Treatment Safeguard Risk Score]]&lt;=tblRiskRegister152[[#This Row],[Risk Score]],"Yes","No"),"No"),"Yes")</f>
        <v>No</v>
      </c>
      <c r="Z61" s="23"/>
      <c r="AA61" s="23"/>
      <c r="AB61" s="24"/>
    </row>
    <row r="62" spans="2:28" ht="42" x14ac:dyDescent="0.15">
      <c r="B62" s="19">
        <v>7.3</v>
      </c>
      <c r="C62" s="20" t="s">
        <v>81</v>
      </c>
      <c r="D62" s="16" t="s">
        <v>295</v>
      </c>
      <c r="E62" s="150" t="s">
        <v>300</v>
      </c>
      <c r="F62" s="22"/>
      <c r="G62" s="36">
        <f>IFERROR(VLOOKUP(tblRiskRegister152[[#This Row],[Asset Class]],tblVCDBIndex[#Data],4,FALSE),"")</f>
        <v>2</v>
      </c>
      <c r="H62" s="36" t="str">
        <f>IFERROR(VLOOKUP(10*tblRiskRegister152[[#This Row],[Safeguard Maturity Score]]+tblRiskRegister152[[#This Row],[VCDB Index]],tblHITIndexWeightTable[#Data],4,FALSE),"")</f>
        <v/>
      </c>
      <c r="I62" s="36">
        <f>VLOOKUP(tblRiskRegister152[[#This Row],[Asset Class]],tblImpactIndex175[],2,FALSE)</f>
        <v>2</v>
      </c>
      <c r="J62" s="36">
        <f>VLOOKUP(tblRiskRegister152[[#This Row],[Asset Class]],tblImpactIndex175[],3,FALSE)</f>
        <v>3</v>
      </c>
      <c r="K62" s="36">
        <f>VLOOKUP(tblRiskRegister152[[#This Row],[Asset Class]],tblImpactIndex175[],4,FALSE)</f>
        <v>3</v>
      </c>
      <c r="L62" s="36" t="str">
        <f>IFERROR(MAX(tblRiskRegister152[[#This Row],[Impact to Mission]:[Impact to Obligations]])*tblRiskRegister152[[#This Row],[Expectancy Score]],"")</f>
        <v/>
      </c>
      <c r="M62" s="36" t="str">
        <f>tblRiskRegister152[[#This Row],[Risk Score]]</f>
        <v/>
      </c>
      <c r="N62" s="31"/>
      <c r="O62" s="19">
        <v>7.3</v>
      </c>
      <c r="P62" s="20" t="s">
        <v>81</v>
      </c>
      <c r="Q62" s="20" t="s">
        <v>144</v>
      </c>
      <c r="R62" s="21"/>
      <c r="S62" s="22"/>
      <c r="T62" s="35" t="str">
        <f>IFERROR(VLOOKUP(10*tblRiskRegister152[[#This Row],[Risk Treatment Safeguard Maturity Score]]+tblRiskRegister152[[#This Row],[VCDB Index]],tblHITIndexWeightTable[#Data],4,FALSE),"")</f>
        <v/>
      </c>
      <c r="U62" s="35">
        <f>VLOOKUP(tblRiskRegister152[[#This Row],[Asset Class]],tblImpactIndex175[],2,FALSE)</f>
        <v>2</v>
      </c>
      <c r="V62" s="35">
        <f>VLOOKUP(tblRiskRegister152[[#This Row],[Asset Class]],tblImpactIndex175[],3,FALSE)</f>
        <v>3</v>
      </c>
      <c r="W62" s="35">
        <f>VLOOKUP(tblRiskRegister152[[#This Row],[Asset Class]],tblImpactIndex175[],4,FALSE)</f>
        <v>3</v>
      </c>
      <c r="X62" s="35" t="str">
        <f>IFERROR(MAX(tblRiskRegister152[[#This Row],[Risk Treatment Safeguard Impact to Mission]:[Risk Treatment Safeguard Impact to Obligations]])*tblRiskRegister152[[#This Row],[Risk Treatment
Safeguard Expectancy Score]],"")</f>
        <v/>
      </c>
      <c r="Y62" s="35" t="str">
        <f>IF(tblRiskRegister152[[#This Row],[Risk Score]]&gt;5,IF(tblRiskRegister152[[#This Row],[Risk Treatment Safeguard Risk Score]]&lt;6, IF(tblRiskRegister152[[#This Row],[Risk Treatment Safeguard Risk Score]]&lt;=tblRiskRegister152[[#This Row],[Risk Score]],"Yes","No"),"No"),"Yes")</f>
        <v>No</v>
      </c>
      <c r="Z62" s="23"/>
      <c r="AA62" s="23"/>
      <c r="AB62" s="24"/>
    </row>
    <row r="63" spans="2:28" ht="42" x14ac:dyDescent="0.15">
      <c r="B63" s="19">
        <v>7.4</v>
      </c>
      <c r="C63" s="20" t="s">
        <v>82</v>
      </c>
      <c r="D63" s="16" t="s">
        <v>295</v>
      </c>
      <c r="E63" s="150" t="s">
        <v>300</v>
      </c>
      <c r="F63" s="22"/>
      <c r="G63" s="36">
        <f>IFERROR(VLOOKUP(tblRiskRegister152[[#This Row],[Asset Class]],tblVCDBIndex[#Data],4,FALSE),"")</f>
        <v>2</v>
      </c>
      <c r="H63" s="36" t="str">
        <f>IFERROR(VLOOKUP(10*tblRiskRegister152[[#This Row],[Safeguard Maturity Score]]+tblRiskRegister152[[#This Row],[VCDB Index]],tblHITIndexWeightTable[#Data],4,FALSE),"")</f>
        <v/>
      </c>
      <c r="I63" s="36">
        <f>VLOOKUP(tblRiskRegister152[[#This Row],[Asset Class]],tblImpactIndex175[],2,FALSE)</f>
        <v>2</v>
      </c>
      <c r="J63" s="36">
        <f>VLOOKUP(tblRiskRegister152[[#This Row],[Asset Class]],tblImpactIndex175[],3,FALSE)</f>
        <v>3</v>
      </c>
      <c r="K63" s="36">
        <f>VLOOKUP(tblRiskRegister152[[#This Row],[Asset Class]],tblImpactIndex175[],4,FALSE)</f>
        <v>3</v>
      </c>
      <c r="L63" s="36" t="str">
        <f>IFERROR(MAX(tblRiskRegister152[[#This Row],[Impact to Mission]:[Impact to Obligations]])*tblRiskRegister152[[#This Row],[Expectancy Score]],"")</f>
        <v/>
      </c>
      <c r="M63" s="36" t="str">
        <f>tblRiskRegister152[[#This Row],[Risk Score]]</f>
        <v/>
      </c>
      <c r="N63" s="31"/>
      <c r="O63" s="19">
        <v>7.4</v>
      </c>
      <c r="P63" s="20" t="s">
        <v>82</v>
      </c>
      <c r="Q63" s="20" t="s">
        <v>145</v>
      </c>
      <c r="R63" s="21"/>
      <c r="S63" s="22"/>
      <c r="T63" s="35" t="str">
        <f>IFERROR(VLOOKUP(10*tblRiskRegister152[[#This Row],[Risk Treatment Safeguard Maturity Score]]+tblRiskRegister152[[#This Row],[VCDB Index]],tblHITIndexWeightTable[#Data],4,FALSE),"")</f>
        <v/>
      </c>
      <c r="U63" s="35">
        <f>VLOOKUP(tblRiskRegister152[[#This Row],[Asset Class]],tblImpactIndex175[],2,FALSE)</f>
        <v>2</v>
      </c>
      <c r="V63" s="35">
        <f>VLOOKUP(tblRiskRegister152[[#This Row],[Asset Class]],tblImpactIndex175[],3,FALSE)</f>
        <v>3</v>
      </c>
      <c r="W63" s="35">
        <f>VLOOKUP(tblRiskRegister152[[#This Row],[Asset Class]],tblImpactIndex175[],4,FALSE)</f>
        <v>3</v>
      </c>
      <c r="X63" s="35" t="str">
        <f>IFERROR(MAX(tblRiskRegister152[[#This Row],[Risk Treatment Safeguard Impact to Mission]:[Risk Treatment Safeguard Impact to Obligations]])*tblRiskRegister152[[#This Row],[Risk Treatment
Safeguard Expectancy Score]],"")</f>
        <v/>
      </c>
      <c r="Y63" s="35" t="str">
        <f>IF(tblRiskRegister152[[#This Row],[Risk Score]]&gt;5,IF(tblRiskRegister152[[#This Row],[Risk Treatment Safeguard Risk Score]]&lt;6, IF(tblRiskRegister152[[#This Row],[Risk Treatment Safeguard Risk Score]]&lt;=tblRiskRegister152[[#This Row],[Risk Score]],"Yes","No"),"No"),"Yes")</f>
        <v>No</v>
      </c>
      <c r="Z63" s="23"/>
      <c r="AA63" s="23"/>
      <c r="AB63" s="24"/>
    </row>
    <row r="64" spans="2:28" ht="56" x14ac:dyDescent="0.15">
      <c r="B64" s="19">
        <v>8.1</v>
      </c>
      <c r="C64" s="20" t="s">
        <v>83</v>
      </c>
      <c r="D64" s="148" t="s">
        <v>301</v>
      </c>
      <c r="E64" s="150" t="s">
        <v>302</v>
      </c>
      <c r="F64" s="22"/>
      <c r="G64" s="36">
        <f>IFERROR(VLOOKUP(tblRiskRegister152[[#This Row],[Asset Class]],tblVCDBIndex[#Data],4,FALSE),"")</f>
        <v>2</v>
      </c>
      <c r="H64" s="36" t="str">
        <f>IFERROR(VLOOKUP(10*tblRiskRegister152[[#This Row],[Safeguard Maturity Score]]+tblRiskRegister152[[#This Row],[VCDB Index]],tblHITIndexWeightTable[#Data],4,FALSE),"")</f>
        <v/>
      </c>
      <c r="I64" s="36">
        <f>VLOOKUP(tblRiskRegister152[[#This Row],[Asset Class]],tblImpactIndex175[],2,FALSE)</f>
        <v>1</v>
      </c>
      <c r="J64" s="36">
        <f>VLOOKUP(tblRiskRegister152[[#This Row],[Asset Class]],tblImpactIndex175[],3,FALSE)</f>
        <v>2</v>
      </c>
      <c r="K64" s="36">
        <f>VLOOKUP(tblRiskRegister152[[#This Row],[Asset Class]],tblImpactIndex175[],4,FALSE)</f>
        <v>2</v>
      </c>
      <c r="L64" s="36" t="str">
        <f>IFERROR(MAX(tblRiskRegister152[[#This Row],[Impact to Mission]:[Impact to Obligations]])*tblRiskRegister152[[#This Row],[Expectancy Score]],"")</f>
        <v/>
      </c>
      <c r="M64" s="36" t="str">
        <f>tblRiskRegister152[[#This Row],[Risk Score]]</f>
        <v/>
      </c>
      <c r="N64" s="31"/>
      <c r="O64" s="19">
        <v>8.1</v>
      </c>
      <c r="P64" s="20" t="s">
        <v>83</v>
      </c>
      <c r="Q64" s="20" t="s">
        <v>324</v>
      </c>
      <c r="R64" s="21"/>
      <c r="S64" s="22"/>
      <c r="T64" s="35" t="str">
        <f>IFERROR(VLOOKUP(10*tblRiskRegister152[[#This Row],[Risk Treatment Safeguard Maturity Score]]+tblRiskRegister152[[#This Row],[VCDB Index]],tblHITIndexWeightTable[#Data],4,FALSE),"")</f>
        <v/>
      </c>
      <c r="U64" s="35">
        <f>VLOOKUP(tblRiskRegister152[[#This Row],[Asset Class]],tblImpactIndex175[],2,FALSE)</f>
        <v>1</v>
      </c>
      <c r="V64" s="35">
        <f>VLOOKUP(tblRiskRegister152[[#This Row],[Asset Class]],tblImpactIndex175[],3,FALSE)</f>
        <v>2</v>
      </c>
      <c r="W64" s="35">
        <f>VLOOKUP(tblRiskRegister152[[#This Row],[Asset Class]],tblImpactIndex175[],4,FALSE)</f>
        <v>2</v>
      </c>
      <c r="X64" s="35" t="str">
        <f>IFERROR(MAX(tblRiskRegister152[[#This Row],[Risk Treatment Safeguard Impact to Mission]:[Risk Treatment Safeguard Impact to Obligations]])*tblRiskRegister152[[#This Row],[Risk Treatment
Safeguard Expectancy Score]],"")</f>
        <v/>
      </c>
      <c r="Y64" s="35" t="str">
        <f>IF(tblRiskRegister152[[#This Row],[Risk Score]]&gt;5,IF(tblRiskRegister152[[#This Row],[Risk Treatment Safeguard Risk Score]]&lt;6, IF(tblRiskRegister152[[#This Row],[Risk Treatment Safeguard Risk Score]]&lt;=tblRiskRegister152[[#This Row],[Risk Score]],"Yes","No"),"No"),"Yes")</f>
        <v>No</v>
      </c>
      <c r="Z64" s="23"/>
      <c r="AA64" s="23"/>
      <c r="AB64" s="24"/>
    </row>
    <row r="65" spans="2:28" ht="28" x14ac:dyDescent="0.15">
      <c r="B65" s="19">
        <v>8.1999999999999993</v>
      </c>
      <c r="C65" s="20" t="s">
        <v>84</v>
      </c>
      <c r="D65" s="16" t="s">
        <v>296</v>
      </c>
      <c r="E65" s="150" t="s">
        <v>107</v>
      </c>
      <c r="F65" s="22"/>
      <c r="G65" s="36">
        <f>IFERROR(VLOOKUP(tblRiskRegister152[[#This Row],[Asset Class]],tblVCDBIndex[#Data],4,FALSE),"")</f>
        <v>2</v>
      </c>
      <c r="H65" s="36" t="str">
        <f>IFERROR(VLOOKUP(10*tblRiskRegister152[[#This Row],[Safeguard Maturity Score]]+tblRiskRegister152[[#This Row],[VCDB Index]],tblHITIndexWeightTable[#Data],4,FALSE),"")</f>
        <v/>
      </c>
      <c r="I65" s="36">
        <f>VLOOKUP(tblRiskRegister152[[#This Row],[Asset Class]],tblImpactIndex175[],2,FALSE)</f>
        <v>3</v>
      </c>
      <c r="J65" s="36">
        <f>VLOOKUP(tblRiskRegister152[[#This Row],[Asset Class]],tblImpactIndex175[],3,FALSE)</f>
        <v>2</v>
      </c>
      <c r="K65" s="36">
        <f>VLOOKUP(tblRiskRegister152[[#This Row],[Asset Class]],tblImpactIndex175[],4,FALSE)</f>
        <v>3</v>
      </c>
      <c r="L65" s="36" t="str">
        <f>IFERROR(MAX(tblRiskRegister152[[#This Row],[Impact to Mission]:[Impact to Obligations]])*tblRiskRegister152[[#This Row],[Expectancy Score]],"")</f>
        <v/>
      </c>
      <c r="M65" s="36" t="str">
        <f>tblRiskRegister152[[#This Row],[Risk Score]]</f>
        <v/>
      </c>
      <c r="N65" s="31"/>
      <c r="O65" s="19">
        <v>8.1999999999999993</v>
      </c>
      <c r="P65" s="20" t="s">
        <v>84</v>
      </c>
      <c r="Q65" s="20" t="s">
        <v>146</v>
      </c>
      <c r="R65" s="21"/>
      <c r="S65" s="22"/>
      <c r="T65" s="35" t="str">
        <f>IFERROR(VLOOKUP(10*tblRiskRegister152[[#This Row],[Risk Treatment Safeguard Maturity Score]]+tblRiskRegister152[[#This Row],[VCDB Index]],tblHITIndexWeightTable[#Data],4,FALSE),"")</f>
        <v/>
      </c>
      <c r="U65" s="35">
        <f>VLOOKUP(tblRiskRegister152[[#This Row],[Asset Class]],tblImpactIndex175[],2,FALSE)</f>
        <v>3</v>
      </c>
      <c r="V65" s="35">
        <f>VLOOKUP(tblRiskRegister152[[#This Row],[Asset Class]],tblImpactIndex175[],3,FALSE)</f>
        <v>2</v>
      </c>
      <c r="W65" s="35">
        <f>VLOOKUP(tblRiskRegister152[[#This Row],[Asset Class]],tblImpactIndex175[],4,FALSE)</f>
        <v>3</v>
      </c>
      <c r="X65" s="35" t="str">
        <f>IFERROR(MAX(tblRiskRegister152[[#This Row],[Risk Treatment Safeguard Impact to Mission]:[Risk Treatment Safeguard Impact to Obligations]])*tblRiskRegister152[[#This Row],[Risk Treatment
Safeguard Expectancy Score]],"")</f>
        <v/>
      </c>
      <c r="Y65" s="35" t="str">
        <f>IF(tblRiskRegister152[[#This Row],[Risk Score]]&gt;5,IF(tblRiskRegister152[[#This Row],[Risk Treatment Safeguard Risk Score]]&lt;6, IF(tblRiskRegister152[[#This Row],[Risk Treatment Safeguard Risk Score]]&lt;=tblRiskRegister152[[#This Row],[Risk Score]],"Yes","No"),"No"),"Yes")</f>
        <v>No</v>
      </c>
      <c r="Z65" s="23"/>
      <c r="AA65" s="23"/>
      <c r="AB65" s="24"/>
    </row>
    <row r="66" spans="2:28" ht="28" x14ac:dyDescent="0.15">
      <c r="B66" s="19">
        <v>8.3000000000000007</v>
      </c>
      <c r="C66" s="20" t="s">
        <v>85</v>
      </c>
      <c r="D66" s="16" t="s">
        <v>295</v>
      </c>
      <c r="E66" s="150" t="s">
        <v>107</v>
      </c>
      <c r="F66" s="22"/>
      <c r="G66" s="36">
        <f>IFERROR(VLOOKUP(tblRiskRegister152[[#This Row],[Asset Class]],tblVCDBIndex[#Data],4,FALSE),"")</f>
        <v>2</v>
      </c>
      <c r="H66" s="36" t="str">
        <f>IFERROR(VLOOKUP(10*tblRiskRegister152[[#This Row],[Safeguard Maturity Score]]+tblRiskRegister152[[#This Row],[VCDB Index]],tblHITIndexWeightTable[#Data],4,FALSE),"")</f>
        <v/>
      </c>
      <c r="I66" s="36">
        <f>VLOOKUP(tblRiskRegister152[[#This Row],[Asset Class]],tblImpactIndex175[],2,FALSE)</f>
        <v>3</v>
      </c>
      <c r="J66" s="36">
        <f>VLOOKUP(tblRiskRegister152[[#This Row],[Asset Class]],tblImpactIndex175[],3,FALSE)</f>
        <v>2</v>
      </c>
      <c r="K66" s="36">
        <f>VLOOKUP(tblRiskRegister152[[#This Row],[Asset Class]],tblImpactIndex175[],4,FALSE)</f>
        <v>3</v>
      </c>
      <c r="L66" s="36" t="str">
        <f>IFERROR(MAX(tblRiskRegister152[[#This Row],[Impact to Mission]:[Impact to Obligations]])*tblRiskRegister152[[#This Row],[Expectancy Score]],"")</f>
        <v/>
      </c>
      <c r="M66" s="36" t="str">
        <f>tblRiskRegister152[[#This Row],[Risk Score]]</f>
        <v/>
      </c>
      <c r="N66" s="31"/>
      <c r="O66" s="19">
        <v>8.3000000000000007</v>
      </c>
      <c r="P66" s="20" t="s">
        <v>85</v>
      </c>
      <c r="Q66" s="20" t="s">
        <v>147</v>
      </c>
      <c r="R66" s="21"/>
      <c r="S66" s="22"/>
      <c r="T66" s="35" t="str">
        <f>IFERROR(VLOOKUP(10*tblRiskRegister152[[#This Row],[Risk Treatment Safeguard Maturity Score]]+tblRiskRegister152[[#This Row],[VCDB Index]],tblHITIndexWeightTable[#Data],4,FALSE),"")</f>
        <v/>
      </c>
      <c r="U66" s="35">
        <f>VLOOKUP(tblRiskRegister152[[#This Row],[Asset Class]],tblImpactIndex175[],2,FALSE)</f>
        <v>3</v>
      </c>
      <c r="V66" s="35">
        <f>VLOOKUP(tblRiskRegister152[[#This Row],[Asset Class]],tblImpactIndex175[],3,FALSE)</f>
        <v>2</v>
      </c>
      <c r="W66" s="35">
        <f>VLOOKUP(tblRiskRegister152[[#This Row],[Asset Class]],tblImpactIndex175[],4,FALSE)</f>
        <v>3</v>
      </c>
      <c r="X66" s="35" t="str">
        <f>IFERROR(MAX(tblRiskRegister152[[#This Row],[Risk Treatment Safeguard Impact to Mission]:[Risk Treatment Safeguard Impact to Obligations]])*tblRiskRegister152[[#This Row],[Risk Treatment
Safeguard Expectancy Score]],"")</f>
        <v/>
      </c>
      <c r="Y66" s="35" t="str">
        <f>IF(tblRiskRegister152[[#This Row],[Risk Score]]&gt;5,IF(tblRiskRegister152[[#This Row],[Risk Treatment Safeguard Risk Score]]&lt;6, IF(tblRiskRegister152[[#This Row],[Risk Treatment Safeguard Risk Score]]&lt;=tblRiskRegister152[[#This Row],[Risk Score]],"Yes","No"),"No"),"Yes")</f>
        <v>No</v>
      </c>
      <c r="Z66" s="23"/>
      <c r="AA66" s="23"/>
      <c r="AB66" s="24"/>
    </row>
    <row r="67" spans="2:28" ht="42" x14ac:dyDescent="0.15">
      <c r="B67" s="19">
        <v>9.1</v>
      </c>
      <c r="C67" s="20" t="s">
        <v>17</v>
      </c>
      <c r="D67" s="16" t="s">
        <v>295</v>
      </c>
      <c r="E67" s="150" t="s">
        <v>300</v>
      </c>
      <c r="F67" s="22"/>
      <c r="G67" s="36">
        <f>IFERROR(VLOOKUP(tblRiskRegister152[[#This Row],[Asset Class]],tblVCDBIndex[#Data],4,FALSE),"")</f>
        <v>2</v>
      </c>
      <c r="H67" s="36" t="str">
        <f>IFERROR(VLOOKUP(10*tblRiskRegister152[[#This Row],[Safeguard Maturity Score]]+tblRiskRegister152[[#This Row],[VCDB Index]],tblHITIndexWeightTable[#Data],4,FALSE),"")</f>
        <v/>
      </c>
      <c r="I67" s="36">
        <f>VLOOKUP(tblRiskRegister152[[#This Row],[Asset Class]],tblImpactIndex175[],2,FALSE)</f>
        <v>2</v>
      </c>
      <c r="J67" s="36">
        <f>VLOOKUP(tblRiskRegister152[[#This Row],[Asset Class]],tblImpactIndex175[],3,FALSE)</f>
        <v>3</v>
      </c>
      <c r="K67" s="36">
        <f>VLOOKUP(tblRiskRegister152[[#This Row],[Asset Class]],tblImpactIndex175[],4,FALSE)</f>
        <v>3</v>
      </c>
      <c r="L67" s="36" t="str">
        <f>IFERROR(MAX(tblRiskRegister152[[#This Row],[Impact to Mission]:[Impact to Obligations]])*tblRiskRegister152[[#This Row],[Expectancy Score]],"")</f>
        <v/>
      </c>
      <c r="M67" s="36" t="str">
        <f>tblRiskRegister152[[#This Row],[Risk Score]]</f>
        <v/>
      </c>
      <c r="N67" s="31"/>
      <c r="O67" s="19">
        <v>9.1</v>
      </c>
      <c r="P67" s="20" t="s">
        <v>17</v>
      </c>
      <c r="Q67" s="20" t="s">
        <v>148</v>
      </c>
      <c r="R67" s="21"/>
      <c r="S67" s="22"/>
      <c r="T67" s="35" t="str">
        <f>IFERROR(VLOOKUP(10*tblRiskRegister152[[#This Row],[Risk Treatment Safeguard Maturity Score]]+tblRiskRegister152[[#This Row],[VCDB Index]],tblHITIndexWeightTable[#Data],4,FALSE),"")</f>
        <v/>
      </c>
      <c r="U67" s="35">
        <f>VLOOKUP(tblRiskRegister152[[#This Row],[Asset Class]],tblImpactIndex175[],2,FALSE)</f>
        <v>2</v>
      </c>
      <c r="V67" s="35">
        <f>VLOOKUP(tblRiskRegister152[[#This Row],[Asset Class]],tblImpactIndex175[],3,FALSE)</f>
        <v>3</v>
      </c>
      <c r="W67" s="35">
        <f>VLOOKUP(tblRiskRegister152[[#This Row],[Asset Class]],tblImpactIndex175[],4,FALSE)</f>
        <v>3</v>
      </c>
      <c r="X67" s="35" t="str">
        <f>IFERROR(MAX(tblRiskRegister152[[#This Row],[Risk Treatment Safeguard Impact to Mission]:[Risk Treatment Safeguard Impact to Obligations]])*tblRiskRegister152[[#This Row],[Risk Treatment
Safeguard Expectancy Score]],"")</f>
        <v/>
      </c>
      <c r="Y67" s="35" t="str">
        <f>IF(tblRiskRegister152[[#This Row],[Risk Score]]&gt;5,IF(tblRiskRegister152[[#This Row],[Risk Treatment Safeguard Risk Score]]&lt;6, IF(tblRiskRegister152[[#This Row],[Risk Treatment Safeguard Risk Score]]&lt;=tblRiskRegister152[[#This Row],[Risk Score]],"Yes","No"),"No"),"Yes")</f>
        <v>No</v>
      </c>
      <c r="Z67" s="23"/>
      <c r="AA67" s="23"/>
      <c r="AB67" s="24"/>
    </row>
    <row r="68" spans="2:28" ht="28" x14ac:dyDescent="0.15">
      <c r="B68" s="19">
        <v>9.1999999999999993</v>
      </c>
      <c r="C68" s="20" t="s">
        <v>86</v>
      </c>
      <c r="D68" s="16" t="s">
        <v>295</v>
      </c>
      <c r="E68" s="150" t="s">
        <v>108</v>
      </c>
      <c r="F68" s="22"/>
      <c r="G68" s="36">
        <f>IFERROR(VLOOKUP(tblRiskRegister152[[#This Row],[Asset Class]],tblVCDBIndex[#Data],4,FALSE),"")</f>
        <v>4</v>
      </c>
      <c r="H68" s="36" t="str">
        <f>IFERROR(VLOOKUP(10*tblRiskRegister152[[#This Row],[Safeguard Maturity Score]]+tblRiskRegister152[[#This Row],[VCDB Index]],tblHITIndexWeightTable[#Data],4,FALSE),"")</f>
        <v/>
      </c>
      <c r="I68" s="36">
        <f>VLOOKUP(tblRiskRegister152[[#This Row],[Asset Class]],tblImpactIndex175[],2,FALSE)</f>
        <v>2</v>
      </c>
      <c r="J68" s="36">
        <f>VLOOKUP(tblRiskRegister152[[#This Row],[Asset Class]],tblImpactIndex175[],3,FALSE)</f>
        <v>2</v>
      </c>
      <c r="K68" s="36">
        <f>VLOOKUP(tblRiskRegister152[[#This Row],[Asset Class]],tblImpactIndex175[],4,FALSE)</f>
        <v>3</v>
      </c>
      <c r="L68" s="36" t="str">
        <f>IFERROR(MAX(tblRiskRegister152[[#This Row],[Impact to Mission]:[Impact to Obligations]])*tblRiskRegister152[[#This Row],[Expectancy Score]],"")</f>
        <v/>
      </c>
      <c r="M68" s="36" t="str">
        <f>tblRiskRegister152[[#This Row],[Risk Score]]</f>
        <v/>
      </c>
      <c r="N68" s="31"/>
      <c r="O68" s="19">
        <v>9.1999999999999993</v>
      </c>
      <c r="P68" s="20" t="s">
        <v>86</v>
      </c>
      <c r="Q68" s="20" t="s">
        <v>325</v>
      </c>
      <c r="R68" s="21"/>
      <c r="S68" s="22"/>
      <c r="T68" s="35" t="str">
        <f>IFERROR(VLOOKUP(10*tblRiskRegister152[[#This Row],[Risk Treatment Safeguard Maturity Score]]+tblRiskRegister152[[#This Row],[VCDB Index]],tblHITIndexWeightTable[#Data],4,FALSE),"")</f>
        <v/>
      </c>
      <c r="U68" s="35">
        <f>VLOOKUP(tblRiskRegister152[[#This Row],[Asset Class]],tblImpactIndex175[],2,FALSE)</f>
        <v>2</v>
      </c>
      <c r="V68" s="35">
        <f>VLOOKUP(tblRiskRegister152[[#This Row],[Asset Class]],tblImpactIndex175[],3,FALSE)</f>
        <v>2</v>
      </c>
      <c r="W68" s="35">
        <f>VLOOKUP(tblRiskRegister152[[#This Row],[Asset Class]],tblImpactIndex175[],4,FALSE)</f>
        <v>3</v>
      </c>
      <c r="X68" s="35" t="str">
        <f>IFERROR(MAX(tblRiskRegister152[[#This Row],[Risk Treatment Safeguard Impact to Mission]:[Risk Treatment Safeguard Impact to Obligations]])*tblRiskRegister152[[#This Row],[Risk Treatment
Safeguard Expectancy Score]],"")</f>
        <v/>
      </c>
      <c r="Y68" s="35" t="str">
        <f>IF(tblRiskRegister152[[#This Row],[Risk Score]]&gt;5,IF(tblRiskRegister152[[#This Row],[Risk Treatment Safeguard Risk Score]]&lt;6, IF(tblRiskRegister152[[#This Row],[Risk Treatment Safeguard Risk Score]]&lt;=tblRiskRegister152[[#This Row],[Risk Score]],"Yes","No"),"No"),"Yes")</f>
        <v>No</v>
      </c>
      <c r="Z68" s="23"/>
      <c r="AA68" s="23"/>
      <c r="AB68" s="24"/>
    </row>
    <row r="69" spans="2:28" ht="28" x14ac:dyDescent="0.15">
      <c r="B69" s="19">
        <v>10.1</v>
      </c>
      <c r="C69" s="20" t="s">
        <v>87</v>
      </c>
      <c r="D69" s="16" t="s">
        <v>296</v>
      </c>
      <c r="E69" s="150" t="s">
        <v>108</v>
      </c>
      <c r="F69" s="22"/>
      <c r="G69" s="36">
        <f>IFERROR(VLOOKUP(tblRiskRegister152[[#This Row],[Asset Class]],tblVCDBIndex[#Data],4,FALSE),"")</f>
        <v>4</v>
      </c>
      <c r="H69" s="36" t="str">
        <f>IFERROR(VLOOKUP(10*tblRiskRegister152[[#This Row],[Safeguard Maturity Score]]+tblRiskRegister152[[#This Row],[VCDB Index]],tblHITIndexWeightTable[#Data],4,FALSE),"")</f>
        <v/>
      </c>
      <c r="I69" s="36">
        <f>VLOOKUP(tblRiskRegister152[[#This Row],[Asset Class]],tblImpactIndex175[],2,FALSE)</f>
        <v>2</v>
      </c>
      <c r="J69" s="36">
        <f>VLOOKUP(tblRiskRegister152[[#This Row],[Asset Class]],tblImpactIndex175[],3,FALSE)</f>
        <v>2</v>
      </c>
      <c r="K69" s="36">
        <f>VLOOKUP(tblRiskRegister152[[#This Row],[Asset Class]],tblImpactIndex175[],4,FALSE)</f>
        <v>3</v>
      </c>
      <c r="L69" s="36" t="str">
        <f>IFERROR(MAX(tblRiskRegister152[[#This Row],[Impact to Mission]:[Impact to Obligations]])*tblRiskRegister152[[#This Row],[Expectancy Score]],"")</f>
        <v/>
      </c>
      <c r="M69" s="36" t="str">
        <f>tblRiskRegister152[[#This Row],[Risk Score]]</f>
        <v/>
      </c>
      <c r="N69" s="31"/>
      <c r="O69" s="19">
        <v>10.1</v>
      </c>
      <c r="P69" s="20" t="s">
        <v>87</v>
      </c>
      <c r="Q69" s="20" t="s">
        <v>149</v>
      </c>
      <c r="R69" s="21"/>
      <c r="S69" s="22"/>
      <c r="T69" s="35" t="str">
        <f>IFERROR(VLOOKUP(10*tblRiskRegister152[[#This Row],[Risk Treatment Safeguard Maturity Score]]+tblRiskRegister152[[#This Row],[VCDB Index]],tblHITIndexWeightTable[#Data],4,FALSE),"")</f>
        <v/>
      </c>
      <c r="U69" s="35">
        <f>VLOOKUP(tblRiskRegister152[[#This Row],[Asset Class]],tblImpactIndex175[],2,FALSE)</f>
        <v>2</v>
      </c>
      <c r="V69" s="35">
        <f>VLOOKUP(tblRiskRegister152[[#This Row],[Asset Class]],tblImpactIndex175[],3,FALSE)</f>
        <v>2</v>
      </c>
      <c r="W69" s="35">
        <f>VLOOKUP(tblRiskRegister152[[#This Row],[Asset Class]],tblImpactIndex175[],4,FALSE)</f>
        <v>3</v>
      </c>
      <c r="X69" s="35" t="str">
        <f>IFERROR(MAX(tblRiskRegister152[[#This Row],[Risk Treatment Safeguard Impact to Mission]:[Risk Treatment Safeguard Impact to Obligations]])*tblRiskRegister152[[#This Row],[Risk Treatment
Safeguard Expectancy Score]],"")</f>
        <v/>
      </c>
      <c r="Y69" s="35" t="str">
        <f>IF(tblRiskRegister152[[#This Row],[Risk Score]]&gt;5,IF(tblRiskRegister152[[#This Row],[Risk Treatment Safeguard Risk Score]]&lt;6, IF(tblRiskRegister152[[#This Row],[Risk Treatment Safeguard Risk Score]]&lt;=tblRiskRegister152[[#This Row],[Risk Score]],"Yes","No"),"No"),"Yes")</f>
        <v>No</v>
      </c>
      <c r="Z69" s="23"/>
      <c r="AA69" s="23"/>
      <c r="AB69" s="24"/>
    </row>
    <row r="70" spans="2:28" ht="42" x14ac:dyDescent="0.15">
      <c r="B70" s="19">
        <v>10.199999999999999</v>
      </c>
      <c r="C70" s="20" t="s">
        <v>88</v>
      </c>
      <c r="D70" s="16" t="s">
        <v>295</v>
      </c>
      <c r="E70" s="150" t="s">
        <v>108</v>
      </c>
      <c r="F70" s="22"/>
      <c r="G70" s="36">
        <f>IFERROR(VLOOKUP(tblRiskRegister152[[#This Row],[Asset Class]],tblVCDBIndex[#Data],4,FALSE),"")</f>
        <v>4</v>
      </c>
      <c r="H70" s="36" t="str">
        <f>IFERROR(VLOOKUP(10*tblRiskRegister152[[#This Row],[Safeguard Maturity Score]]+tblRiskRegister152[[#This Row],[VCDB Index]],tblHITIndexWeightTable[#Data],4,FALSE),"")</f>
        <v/>
      </c>
      <c r="I70" s="36">
        <f>VLOOKUP(tblRiskRegister152[[#This Row],[Asset Class]],tblImpactIndex175[],2,FALSE)</f>
        <v>2</v>
      </c>
      <c r="J70" s="36">
        <f>VLOOKUP(tblRiskRegister152[[#This Row],[Asset Class]],tblImpactIndex175[],3,FALSE)</f>
        <v>2</v>
      </c>
      <c r="K70" s="36">
        <f>VLOOKUP(tblRiskRegister152[[#This Row],[Asset Class]],tblImpactIndex175[],4,FALSE)</f>
        <v>3</v>
      </c>
      <c r="L70" s="36" t="str">
        <f>IFERROR(MAX(tblRiskRegister152[[#This Row],[Impact to Mission]:[Impact to Obligations]])*tblRiskRegister152[[#This Row],[Expectancy Score]],"")</f>
        <v/>
      </c>
      <c r="M70" s="36" t="str">
        <f>tblRiskRegister152[[#This Row],[Risk Score]]</f>
        <v/>
      </c>
      <c r="N70" s="31"/>
      <c r="O70" s="19">
        <v>10.199999999999999</v>
      </c>
      <c r="P70" s="20" t="s">
        <v>88</v>
      </c>
      <c r="Q70" s="20" t="s">
        <v>150</v>
      </c>
      <c r="R70" s="21"/>
      <c r="S70" s="22"/>
      <c r="T70" s="35" t="str">
        <f>IFERROR(VLOOKUP(10*tblRiskRegister152[[#This Row],[Risk Treatment Safeguard Maturity Score]]+tblRiskRegister152[[#This Row],[VCDB Index]],tblHITIndexWeightTable[#Data],4,FALSE),"")</f>
        <v/>
      </c>
      <c r="U70" s="35">
        <f>VLOOKUP(tblRiskRegister152[[#This Row],[Asset Class]],tblImpactIndex175[],2,FALSE)</f>
        <v>2</v>
      </c>
      <c r="V70" s="35">
        <f>VLOOKUP(tblRiskRegister152[[#This Row],[Asset Class]],tblImpactIndex175[],3,FALSE)</f>
        <v>2</v>
      </c>
      <c r="W70" s="35">
        <f>VLOOKUP(tblRiskRegister152[[#This Row],[Asset Class]],tblImpactIndex175[],4,FALSE)</f>
        <v>3</v>
      </c>
      <c r="X70" s="35" t="str">
        <f>IFERROR(MAX(tblRiskRegister152[[#This Row],[Risk Treatment Safeguard Impact to Mission]:[Risk Treatment Safeguard Impact to Obligations]])*tblRiskRegister152[[#This Row],[Risk Treatment
Safeguard Expectancy Score]],"")</f>
        <v/>
      </c>
      <c r="Y70" s="35" t="str">
        <f>IF(tblRiskRegister152[[#This Row],[Risk Score]]&gt;5,IF(tblRiskRegister152[[#This Row],[Risk Treatment Safeguard Risk Score]]&lt;6, IF(tblRiskRegister152[[#This Row],[Risk Treatment Safeguard Risk Score]]&lt;=tblRiskRegister152[[#This Row],[Risk Score]],"Yes","No"),"No"),"Yes")</f>
        <v>No</v>
      </c>
      <c r="Z70" s="23"/>
      <c r="AA70" s="23"/>
      <c r="AB70" s="24"/>
    </row>
    <row r="71" spans="2:28" ht="42" x14ac:dyDescent="0.15">
      <c r="B71" s="19">
        <v>10.3</v>
      </c>
      <c r="C71" s="20" t="s">
        <v>89</v>
      </c>
      <c r="D71" s="16" t="s">
        <v>295</v>
      </c>
      <c r="E71" s="150" t="s">
        <v>108</v>
      </c>
      <c r="F71" s="22"/>
      <c r="G71" s="36">
        <f>IFERROR(VLOOKUP(tblRiskRegister152[[#This Row],[Asset Class]],tblVCDBIndex[#Data],4,FALSE),"")</f>
        <v>4</v>
      </c>
      <c r="H71" s="36" t="str">
        <f>IFERROR(VLOOKUP(10*tblRiskRegister152[[#This Row],[Safeguard Maturity Score]]+tblRiskRegister152[[#This Row],[VCDB Index]],tblHITIndexWeightTable[#Data],4,FALSE),"")</f>
        <v/>
      </c>
      <c r="I71" s="36">
        <f>VLOOKUP(tblRiskRegister152[[#This Row],[Asset Class]],tblImpactIndex175[],2,FALSE)</f>
        <v>2</v>
      </c>
      <c r="J71" s="36">
        <f>VLOOKUP(tblRiskRegister152[[#This Row],[Asset Class]],tblImpactIndex175[],3,FALSE)</f>
        <v>2</v>
      </c>
      <c r="K71" s="36">
        <f>VLOOKUP(tblRiskRegister152[[#This Row],[Asset Class]],tblImpactIndex175[],4,FALSE)</f>
        <v>3</v>
      </c>
      <c r="L71" s="36" t="str">
        <f>IFERROR(MAX(tblRiskRegister152[[#This Row],[Impact to Mission]:[Impact to Obligations]])*tblRiskRegister152[[#This Row],[Expectancy Score]],"")</f>
        <v/>
      </c>
      <c r="M71" s="36" t="str">
        <f>tblRiskRegister152[[#This Row],[Risk Score]]</f>
        <v/>
      </c>
      <c r="N71" s="31"/>
      <c r="O71" s="19">
        <v>10.3</v>
      </c>
      <c r="P71" s="20" t="s">
        <v>89</v>
      </c>
      <c r="Q71" s="20" t="s">
        <v>151</v>
      </c>
      <c r="R71" s="21"/>
      <c r="S71" s="22"/>
      <c r="T71" s="35" t="str">
        <f>IFERROR(VLOOKUP(10*tblRiskRegister152[[#This Row],[Risk Treatment Safeguard Maturity Score]]+tblRiskRegister152[[#This Row],[VCDB Index]],tblHITIndexWeightTable[#Data],4,FALSE),"")</f>
        <v/>
      </c>
      <c r="U71" s="35">
        <f>VLOOKUP(tblRiskRegister152[[#This Row],[Asset Class]],tblImpactIndex175[],2,FALSE)</f>
        <v>2</v>
      </c>
      <c r="V71" s="35">
        <f>VLOOKUP(tblRiskRegister152[[#This Row],[Asset Class]],tblImpactIndex175[],3,FALSE)</f>
        <v>2</v>
      </c>
      <c r="W71" s="35">
        <f>VLOOKUP(tblRiskRegister152[[#This Row],[Asset Class]],tblImpactIndex175[],4,FALSE)</f>
        <v>3</v>
      </c>
      <c r="X71" s="35" t="str">
        <f>IFERROR(MAX(tblRiskRegister152[[#This Row],[Risk Treatment Safeguard Impact to Mission]:[Risk Treatment Safeguard Impact to Obligations]])*tblRiskRegister152[[#This Row],[Risk Treatment
Safeguard Expectancy Score]],"")</f>
        <v/>
      </c>
      <c r="Y71" s="35" t="str">
        <f>IF(tblRiskRegister152[[#This Row],[Risk Score]]&gt;5,IF(tblRiskRegister152[[#This Row],[Risk Treatment Safeguard Risk Score]]&lt;6, IF(tblRiskRegister152[[#This Row],[Risk Treatment Safeguard Risk Score]]&lt;=tblRiskRegister152[[#This Row],[Risk Score]],"Yes","No"),"No"),"Yes")</f>
        <v>No</v>
      </c>
      <c r="Z71" s="23"/>
      <c r="AA71" s="23"/>
      <c r="AB71" s="24"/>
    </row>
    <row r="72" spans="2:28" ht="56" x14ac:dyDescent="0.15">
      <c r="B72" s="19">
        <v>11.1</v>
      </c>
      <c r="C72" s="20" t="s">
        <v>90</v>
      </c>
      <c r="D72" s="148" t="s">
        <v>301</v>
      </c>
      <c r="E72" s="150" t="s">
        <v>302</v>
      </c>
      <c r="F72" s="22"/>
      <c r="G72" s="36">
        <f>IFERROR(VLOOKUP(tblRiskRegister152[[#This Row],[Asset Class]],tblVCDBIndex[#Data],4,FALSE),"")</f>
        <v>2</v>
      </c>
      <c r="H72" s="36" t="str">
        <f>IFERROR(VLOOKUP(10*tblRiskRegister152[[#This Row],[Safeguard Maturity Score]]+tblRiskRegister152[[#This Row],[VCDB Index]],tblHITIndexWeightTable[#Data],4,FALSE),"")</f>
        <v/>
      </c>
      <c r="I72" s="36">
        <f>VLOOKUP(tblRiskRegister152[[#This Row],[Asset Class]],tblImpactIndex175[],2,FALSE)</f>
        <v>1</v>
      </c>
      <c r="J72" s="36">
        <f>VLOOKUP(tblRiskRegister152[[#This Row],[Asset Class]],tblImpactIndex175[],3,FALSE)</f>
        <v>2</v>
      </c>
      <c r="K72" s="36">
        <f>VLOOKUP(tblRiskRegister152[[#This Row],[Asset Class]],tblImpactIndex175[],4,FALSE)</f>
        <v>2</v>
      </c>
      <c r="L72" s="36" t="str">
        <f>IFERROR(MAX(tblRiskRegister152[[#This Row],[Impact to Mission]:[Impact to Obligations]])*tblRiskRegister152[[#This Row],[Expectancy Score]],"")</f>
        <v/>
      </c>
      <c r="M72" s="36" t="str">
        <f>tblRiskRegister152[[#This Row],[Risk Score]]</f>
        <v/>
      </c>
      <c r="N72" s="31"/>
      <c r="O72" s="19">
        <v>11.1</v>
      </c>
      <c r="P72" s="20" t="s">
        <v>90</v>
      </c>
      <c r="Q72" s="20" t="s">
        <v>326</v>
      </c>
      <c r="R72" s="21"/>
      <c r="S72" s="22"/>
      <c r="T72" s="35" t="str">
        <f>IFERROR(VLOOKUP(10*tblRiskRegister152[[#This Row],[Risk Treatment Safeguard Maturity Score]]+tblRiskRegister152[[#This Row],[VCDB Index]],tblHITIndexWeightTable[#Data],4,FALSE),"")</f>
        <v/>
      </c>
      <c r="U72" s="35">
        <f>VLOOKUP(tblRiskRegister152[[#This Row],[Asset Class]],tblImpactIndex175[],2,FALSE)</f>
        <v>1</v>
      </c>
      <c r="V72" s="35">
        <f>VLOOKUP(tblRiskRegister152[[#This Row],[Asset Class]],tblImpactIndex175[],3,FALSE)</f>
        <v>2</v>
      </c>
      <c r="W72" s="35">
        <f>VLOOKUP(tblRiskRegister152[[#This Row],[Asset Class]],tblImpactIndex175[],4,FALSE)</f>
        <v>2</v>
      </c>
      <c r="X72" s="35" t="str">
        <f>IFERROR(MAX(tblRiskRegister152[[#This Row],[Risk Treatment Safeguard Impact to Mission]:[Risk Treatment Safeguard Impact to Obligations]])*tblRiskRegister152[[#This Row],[Risk Treatment
Safeguard Expectancy Score]],"")</f>
        <v/>
      </c>
      <c r="Y72" s="35" t="str">
        <f>IF(tblRiskRegister152[[#This Row],[Risk Score]]&gt;5,IF(tblRiskRegister152[[#This Row],[Risk Treatment Safeguard Risk Score]]&lt;6, IF(tblRiskRegister152[[#This Row],[Risk Treatment Safeguard Risk Score]]&lt;=tblRiskRegister152[[#This Row],[Risk Score]],"Yes","No"),"No"),"Yes")</f>
        <v>No</v>
      </c>
      <c r="Z72" s="23"/>
      <c r="AA72" s="23"/>
      <c r="AB72" s="24"/>
    </row>
    <row r="73" spans="2:28" ht="28" x14ac:dyDescent="0.15">
      <c r="B73" s="19">
        <v>11.2</v>
      </c>
      <c r="C73" s="20" t="s">
        <v>91</v>
      </c>
      <c r="D73" s="149" t="s">
        <v>297</v>
      </c>
      <c r="E73" s="150" t="s">
        <v>107</v>
      </c>
      <c r="F73" s="22"/>
      <c r="G73" s="36">
        <f>IFERROR(VLOOKUP(tblRiskRegister152[[#This Row],[Asset Class]],tblVCDBIndex[#Data],4,FALSE),"")</f>
        <v>2</v>
      </c>
      <c r="H73" s="36" t="str">
        <f>IFERROR(VLOOKUP(10*tblRiskRegister152[[#This Row],[Safeguard Maturity Score]]+tblRiskRegister152[[#This Row],[VCDB Index]],tblHITIndexWeightTable[#Data],4,FALSE),"")</f>
        <v/>
      </c>
      <c r="I73" s="36">
        <f>VLOOKUP(tblRiskRegister152[[#This Row],[Asset Class]],tblImpactIndex175[],2,FALSE)</f>
        <v>3</v>
      </c>
      <c r="J73" s="36">
        <f>VLOOKUP(tblRiskRegister152[[#This Row],[Asset Class]],tblImpactIndex175[],3,FALSE)</f>
        <v>2</v>
      </c>
      <c r="K73" s="36">
        <f>VLOOKUP(tblRiskRegister152[[#This Row],[Asset Class]],tblImpactIndex175[],4,FALSE)</f>
        <v>3</v>
      </c>
      <c r="L73" s="36" t="str">
        <f>IFERROR(MAX(tblRiskRegister152[[#This Row],[Impact to Mission]:[Impact to Obligations]])*tblRiskRegister152[[#This Row],[Expectancy Score]],"")</f>
        <v/>
      </c>
      <c r="M73" s="36" t="str">
        <f>tblRiskRegister152[[#This Row],[Risk Score]]</f>
        <v/>
      </c>
      <c r="N73" s="31"/>
      <c r="O73" s="19">
        <v>11.2</v>
      </c>
      <c r="P73" s="20" t="s">
        <v>91</v>
      </c>
      <c r="Q73" s="20" t="s">
        <v>152</v>
      </c>
      <c r="R73" s="21"/>
      <c r="S73" s="22"/>
      <c r="T73" s="35" t="str">
        <f>IFERROR(VLOOKUP(10*tblRiskRegister152[[#This Row],[Risk Treatment Safeguard Maturity Score]]+tblRiskRegister152[[#This Row],[VCDB Index]],tblHITIndexWeightTable[#Data],4,FALSE),"")</f>
        <v/>
      </c>
      <c r="U73" s="35">
        <f>VLOOKUP(tblRiskRegister152[[#This Row],[Asset Class]],tblImpactIndex175[],2,FALSE)</f>
        <v>3</v>
      </c>
      <c r="V73" s="35">
        <f>VLOOKUP(tblRiskRegister152[[#This Row],[Asset Class]],tblImpactIndex175[],3,FALSE)</f>
        <v>2</v>
      </c>
      <c r="W73" s="35">
        <f>VLOOKUP(tblRiskRegister152[[#This Row],[Asset Class]],tblImpactIndex175[],4,FALSE)</f>
        <v>3</v>
      </c>
      <c r="X73" s="35" t="str">
        <f>IFERROR(MAX(tblRiskRegister152[[#This Row],[Risk Treatment Safeguard Impact to Mission]:[Risk Treatment Safeguard Impact to Obligations]])*tblRiskRegister152[[#This Row],[Risk Treatment
Safeguard Expectancy Score]],"")</f>
        <v/>
      </c>
      <c r="Y73" s="35" t="str">
        <f>IF(tblRiskRegister152[[#This Row],[Risk Score]]&gt;5,IF(tblRiskRegister152[[#This Row],[Risk Treatment Safeguard Risk Score]]&lt;6, IF(tblRiskRegister152[[#This Row],[Risk Treatment Safeguard Risk Score]]&lt;=tblRiskRegister152[[#This Row],[Risk Score]],"Yes","No"),"No"),"Yes")</f>
        <v>No</v>
      </c>
      <c r="Z73" s="23"/>
      <c r="AA73" s="23"/>
      <c r="AB73" s="24"/>
    </row>
    <row r="74" spans="2:28" ht="28" x14ac:dyDescent="0.15">
      <c r="B74" s="19">
        <v>11.3</v>
      </c>
      <c r="C74" s="20" t="s">
        <v>92</v>
      </c>
      <c r="D74" s="16" t="s">
        <v>295</v>
      </c>
      <c r="E74" s="150" t="s">
        <v>107</v>
      </c>
      <c r="F74" s="22"/>
      <c r="G74" s="36">
        <f>IFERROR(VLOOKUP(tblRiskRegister152[[#This Row],[Asset Class]],tblVCDBIndex[#Data],4,FALSE),"")</f>
        <v>2</v>
      </c>
      <c r="H74" s="36" t="str">
        <f>IFERROR(VLOOKUP(10*tblRiskRegister152[[#This Row],[Safeguard Maturity Score]]+tblRiskRegister152[[#This Row],[VCDB Index]],tblHITIndexWeightTable[#Data],4,FALSE),"")</f>
        <v/>
      </c>
      <c r="I74" s="36">
        <f>VLOOKUP(tblRiskRegister152[[#This Row],[Asset Class]],tblImpactIndex175[],2,FALSE)</f>
        <v>3</v>
      </c>
      <c r="J74" s="36">
        <f>VLOOKUP(tblRiskRegister152[[#This Row],[Asset Class]],tblImpactIndex175[],3,FALSE)</f>
        <v>2</v>
      </c>
      <c r="K74" s="36">
        <f>VLOOKUP(tblRiskRegister152[[#This Row],[Asset Class]],tblImpactIndex175[],4,FALSE)</f>
        <v>3</v>
      </c>
      <c r="L74" s="36" t="str">
        <f>IFERROR(MAX(tblRiskRegister152[[#This Row],[Impact to Mission]:[Impact to Obligations]])*tblRiskRegister152[[#This Row],[Expectancy Score]],"")</f>
        <v/>
      </c>
      <c r="M74" s="36" t="str">
        <f>tblRiskRegister152[[#This Row],[Risk Score]]</f>
        <v/>
      </c>
      <c r="N74" s="31"/>
      <c r="O74" s="19">
        <v>11.3</v>
      </c>
      <c r="P74" s="20" t="s">
        <v>92</v>
      </c>
      <c r="Q74" s="20" t="s">
        <v>153</v>
      </c>
      <c r="R74" s="21"/>
      <c r="S74" s="22"/>
      <c r="T74" s="35" t="str">
        <f>IFERROR(VLOOKUP(10*tblRiskRegister152[[#This Row],[Risk Treatment Safeguard Maturity Score]]+tblRiskRegister152[[#This Row],[VCDB Index]],tblHITIndexWeightTable[#Data],4,FALSE),"")</f>
        <v/>
      </c>
      <c r="U74" s="35">
        <f>VLOOKUP(tblRiskRegister152[[#This Row],[Asset Class]],tblImpactIndex175[],2,FALSE)</f>
        <v>3</v>
      </c>
      <c r="V74" s="35">
        <f>VLOOKUP(tblRiskRegister152[[#This Row],[Asset Class]],tblImpactIndex175[],3,FALSE)</f>
        <v>2</v>
      </c>
      <c r="W74" s="35">
        <f>VLOOKUP(tblRiskRegister152[[#This Row],[Asset Class]],tblImpactIndex175[],4,FALSE)</f>
        <v>3</v>
      </c>
      <c r="X74" s="35" t="str">
        <f>IFERROR(MAX(tblRiskRegister152[[#This Row],[Risk Treatment Safeguard Impact to Mission]:[Risk Treatment Safeguard Impact to Obligations]])*tblRiskRegister152[[#This Row],[Risk Treatment
Safeguard Expectancy Score]],"")</f>
        <v/>
      </c>
      <c r="Y74" s="35" t="str">
        <f>IF(tblRiskRegister152[[#This Row],[Risk Score]]&gt;5,IF(tblRiskRegister152[[#This Row],[Risk Treatment Safeguard Risk Score]]&lt;6, IF(tblRiskRegister152[[#This Row],[Risk Treatment Safeguard Risk Score]]&lt;=tblRiskRegister152[[#This Row],[Risk Score]],"Yes","No"),"No"),"Yes")</f>
        <v>No</v>
      </c>
      <c r="Z74" s="23"/>
      <c r="AA74" s="23"/>
      <c r="AB74" s="24"/>
    </row>
    <row r="75" spans="2:28" ht="42" x14ac:dyDescent="0.15">
      <c r="B75" s="19">
        <v>11.4</v>
      </c>
      <c r="C75" s="20" t="s">
        <v>93</v>
      </c>
      <c r="D75" s="149" t="s">
        <v>297</v>
      </c>
      <c r="E75" s="150" t="s">
        <v>107</v>
      </c>
      <c r="F75" s="22"/>
      <c r="G75" s="36">
        <f>IFERROR(VLOOKUP(tblRiskRegister152[[#This Row],[Asset Class]],tblVCDBIndex[#Data],4,FALSE),"")</f>
        <v>2</v>
      </c>
      <c r="H75" s="36" t="str">
        <f>IFERROR(VLOOKUP(10*tblRiskRegister152[[#This Row],[Safeguard Maturity Score]]+tblRiskRegister152[[#This Row],[VCDB Index]],tblHITIndexWeightTable[#Data],4,FALSE),"")</f>
        <v/>
      </c>
      <c r="I75" s="36">
        <f>VLOOKUP(tblRiskRegister152[[#This Row],[Asset Class]],tblImpactIndex175[],2,FALSE)</f>
        <v>3</v>
      </c>
      <c r="J75" s="36">
        <f>VLOOKUP(tblRiskRegister152[[#This Row],[Asset Class]],tblImpactIndex175[],3,FALSE)</f>
        <v>2</v>
      </c>
      <c r="K75" s="36">
        <f>VLOOKUP(tblRiskRegister152[[#This Row],[Asset Class]],tblImpactIndex175[],4,FALSE)</f>
        <v>3</v>
      </c>
      <c r="L75" s="36" t="str">
        <f>IFERROR(MAX(tblRiskRegister152[[#This Row],[Impact to Mission]:[Impact to Obligations]])*tblRiskRegister152[[#This Row],[Expectancy Score]],"")</f>
        <v/>
      </c>
      <c r="M75" s="36" t="str">
        <f>tblRiskRegister152[[#This Row],[Risk Score]]</f>
        <v/>
      </c>
      <c r="N75" s="31"/>
      <c r="O75" s="19">
        <v>11.4</v>
      </c>
      <c r="P75" s="20" t="s">
        <v>93</v>
      </c>
      <c r="Q75" s="20" t="s">
        <v>154</v>
      </c>
      <c r="R75" s="21"/>
      <c r="S75" s="22"/>
      <c r="T75" s="35" t="str">
        <f>IFERROR(VLOOKUP(10*tblRiskRegister152[[#This Row],[Risk Treatment Safeguard Maturity Score]]+tblRiskRegister152[[#This Row],[VCDB Index]],tblHITIndexWeightTable[#Data],4,FALSE),"")</f>
        <v/>
      </c>
      <c r="U75" s="35">
        <f>VLOOKUP(tblRiskRegister152[[#This Row],[Asset Class]],tblImpactIndex175[],2,FALSE)</f>
        <v>3</v>
      </c>
      <c r="V75" s="35">
        <f>VLOOKUP(tblRiskRegister152[[#This Row],[Asset Class]],tblImpactIndex175[],3,FALSE)</f>
        <v>2</v>
      </c>
      <c r="W75" s="35">
        <f>VLOOKUP(tblRiskRegister152[[#This Row],[Asset Class]],tblImpactIndex175[],4,FALSE)</f>
        <v>3</v>
      </c>
      <c r="X75" s="35" t="str">
        <f>IFERROR(MAX(tblRiskRegister152[[#This Row],[Risk Treatment Safeguard Impact to Mission]:[Risk Treatment Safeguard Impact to Obligations]])*tblRiskRegister152[[#This Row],[Risk Treatment
Safeguard Expectancy Score]],"")</f>
        <v/>
      </c>
      <c r="Y75" s="35" t="str">
        <f>IF(tblRiskRegister152[[#This Row],[Risk Score]]&gt;5,IF(tblRiskRegister152[[#This Row],[Risk Treatment Safeguard Risk Score]]&lt;6, IF(tblRiskRegister152[[#This Row],[Risk Treatment Safeguard Risk Score]]&lt;=tblRiskRegister152[[#This Row],[Risk Score]],"Yes","No"),"No"),"Yes")</f>
        <v>No</v>
      </c>
      <c r="Z75" s="23"/>
      <c r="AA75" s="23"/>
      <c r="AB75" s="24"/>
    </row>
    <row r="76" spans="2:28" ht="56" x14ac:dyDescent="0.15">
      <c r="B76" s="19">
        <v>12.1</v>
      </c>
      <c r="C76" s="20" t="s">
        <v>94</v>
      </c>
      <c r="D76" s="16" t="s">
        <v>295</v>
      </c>
      <c r="E76" s="150" t="s">
        <v>109</v>
      </c>
      <c r="F76" s="22"/>
      <c r="G76" s="36">
        <f>IFERROR(VLOOKUP(tblRiskRegister152[[#This Row],[Asset Class]],tblVCDBIndex[#Data],4,FALSE),"")</f>
        <v>1</v>
      </c>
      <c r="H76" s="36" t="str">
        <f>IFERROR(VLOOKUP(10*tblRiskRegister152[[#This Row],[Safeguard Maturity Score]]+tblRiskRegister152[[#This Row],[VCDB Index]],tblHITIndexWeightTable[#Data],4,FALSE),"")</f>
        <v/>
      </c>
      <c r="I76" s="36">
        <f>VLOOKUP(tblRiskRegister152[[#This Row],[Asset Class]],tblImpactIndex175[],2,FALSE)</f>
        <v>2</v>
      </c>
      <c r="J76" s="36">
        <f>VLOOKUP(tblRiskRegister152[[#This Row],[Asset Class]],tblImpactIndex175[],3,FALSE)</f>
        <v>2</v>
      </c>
      <c r="K76" s="36">
        <f>VLOOKUP(tblRiskRegister152[[#This Row],[Asset Class]],tblImpactIndex175[],4,FALSE)</f>
        <v>3</v>
      </c>
      <c r="L76" s="36" t="str">
        <f>IFERROR(MAX(tblRiskRegister152[[#This Row],[Impact to Mission]:[Impact to Obligations]])*tblRiskRegister152[[#This Row],[Expectancy Score]],"")</f>
        <v/>
      </c>
      <c r="M76" s="36" t="str">
        <f>tblRiskRegister152[[#This Row],[Risk Score]]</f>
        <v/>
      </c>
      <c r="N76" s="31"/>
      <c r="O76" s="19">
        <v>12.1</v>
      </c>
      <c r="P76" s="20" t="s">
        <v>94</v>
      </c>
      <c r="Q76" s="20" t="s">
        <v>327</v>
      </c>
      <c r="R76" s="38"/>
      <c r="S76" s="22"/>
      <c r="T76" s="35" t="str">
        <f>IFERROR(VLOOKUP(10*tblRiskRegister152[[#This Row],[Risk Treatment Safeguard Maturity Score]]+tblRiskRegister152[[#This Row],[VCDB Index]],tblHITIndexWeightTable[#Data],4,FALSE),"")</f>
        <v/>
      </c>
      <c r="U76" s="35">
        <f>VLOOKUP(tblRiskRegister152[[#This Row],[Asset Class]],tblImpactIndex175[],2,FALSE)</f>
        <v>2</v>
      </c>
      <c r="V76" s="35">
        <f>VLOOKUP(tblRiskRegister152[[#This Row],[Asset Class]],tblImpactIndex175[],3,FALSE)</f>
        <v>2</v>
      </c>
      <c r="W76" s="35">
        <f>VLOOKUP(tblRiskRegister152[[#This Row],[Asset Class]],tblImpactIndex175[],4,FALSE)</f>
        <v>3</v>
      </c>
      <c r="X76" s="35" t="str">
        <f>IFERROR(MAX(tblRiskRegister152[[#This Row],[Risk Treatment Safeguard Impact to Mission]:[Risk Treatment Safeguard Impact to Obligations]])*tblRiskRegister152[[#This Row],[Risk Treatment
Safeguard Expectancy Score]],"")</f>
        <v/>
      </c>
      <c r="Y76" s="35" t="str">
        <f>IF(tblRiskRegister152[[#This Row],[Risk Score]]&gt;5,IF(tblRiskRegister152[[#This Row],[Risk Treatment Safeguard Risk Score]]&lt;6, IF(tblRiskRegister152[[#This Row],[Risk Treatment Safeguard Risk Score]]&lt;=tblRiskRegister152[[#This Row],[Risk Score]],"Yes","No"),"No"),"Yes")</f>
        <v>No</v>
      </c>
      <c r="Z76" s="23"/>
      <c r="AA76" s="23"/>
      <c r="AB76" s="24"/>
    </row>
    <row r="77" spans="2:28" ht="70" x14ac:dyDescent="0.15">
      <c r="B77" s="19">
        <v>14.1</v>
      </c>
      <c r="C77" s="20" t="s">
        <v>95</v>
      </c>
      <c r="D77" s="148" t="s">
        <v>301</v>
      </c>
      <c r="E77" s="150" t="s">
        <v>302</v>
      </c>
      <c r="F77" s="22"/>
      <c r="G77" s="36">
        <f>IFERROR(VLOOKUP(tblRiskRegister152[[#This Row],[Asset Class]],tblVCDBIndex[#Data],4,FALSE),"")</f>
        <v>2</v>
      </c>
      <c r="H77" s="36" t="str">
        <f>IFERROR(VLOOKUP(10*tblRiskRegister152[[#This Row],[Safeguard Maturity Score]]+tblRiskRegister152[[#This Row],[VCDB Index]],tblHITIndexWeightTable[#Data],4,FALSE),"")</f>
        <v/>
      </c>
      <c r="I77" s="36">
        <f>VLOOKUP(tblRiskRegister152[[#This Row],[Asset Class]],tblImpactIndex175[],2,FALSE)</f>
        <v>1</v>
      </c>
      <c r="J77" s="36">
        <f>VLOOKUP(tblRiskRegister152[[#This Row],[Asset Class]],tblImpactIndex175[],3,FALSE)</f>
        <v>2</v>
      </c>
      <c r="K77" s="36">
        <f>VLOOKUP(tblRiskRegister152[[#This Row],[Asset Class]],tblImpactIndex175[],4,FALSE)</f>
        <v>2</v>
      </c>
      <c r="L77" s="36" t="str">
        <f>IFERROR(MAX(tblRiskRegister152[[#This Row],[Impact to Mission]:[Impact to Obligations]])*tblRiskRegister152[[#This Row],[Expectancy Score]],"")</f>
        <v/>
      </c>
      <c r="M77" s="36" t="str">
        <f>tblRiskRegister152[[#This Row],[Risk Score]]</f>
        <v/>
      </c>
      <c r="N77" s="31"/>
      <c r="O77" s="19">
        <v>14.1</v>
      </c>
      <c r="P77" s="20" t="s">
        <v>95</v>
      </c>
      <c r="Q77" s="20" t="s">
        <v>155</v>
      </c>
      <c r="R77" s="38"/>
      <c r="S77" s="22"/>
      <c r="T77" s="35" t="str">
        <f>IFERROR(VLOOKUP(10*tblRiskRegister152[[#This Row],[Risk Treatment Safeguard Maturity Score]]+tblRiskRegister152[[#This Row],[VCDB Index]],tblHITIndexWeightTable[#Data],4,FALSE),"")</f>
        <v/>
      </c>
      <c r="U77" s="35">
        <f>VLOOKUP(tblRiskRegister152[[#This Row],[Asset Class]],tblImpactIndex175[],2,FALSE)</f>
        <v>1</v>
      </c>
      <c r="V77" s="35">
        <f>VLOOKUP(tblRiskRegister152[[#This Row],[Asset Class]],tblImpactIndex175[],3,FALSE)</f>
        <v>2</v>
      </c>
      <c r="W77" s="35">
        <f>VLOOKUP(tblRiskRegister152[[#This Row],[Asset Class]],tblImpactIndex175[],4,FALSE)</f>
        <v>2</v>
      </c>
      <c r="X77" s="35" t="str">
        <f>IFERROR(MAX(tblRiskRegister152[[#This Row],[Risk Treatment Safeguard Impact to Mission]:[Risk Treatment Safeguard Impact to Obligations]])*tblRiskRegister152[[#This Row],[Risk Treatment
Safeguard Expectancy Score]],"")</f>
        <v/>
      </c>
      <c r="Y77" s="35" t="str">
        <f>IF(tblRiskRegister152[[#This Row],[Risk Score]]&gt;5,IF(tblRiskRegister152[[#This Row],[Risk Treatment Safeguard Risk Score]]&lt;6, IF(tblRiskRegister152[[#This Row],[Risk Treatment Safeguard Risk Score]]&lt;=tblRiskRegister152[[#This Row],[Risk Score]],"Yes","No"),"No"),"Yes")</f>
        <v>No</v>
      </c>
      <c r="Z77" s="23"/>
      <c r="AA77" s="23"/>
      <c r="AB77" s="24"/>
    </row>
    <row r="78" spans="2:28" ht="56" x14ac:dyDescent="0.15">
      <c r="B78" s="19">
        <v>14.2</v>
      </c>
      <c r="C78" s="20" t="s">
        <v>96</v>
      </c>
      <c r="D78" s="16" t="s">
        <v>295</v>
      </c>
      <c r="E78" s="150" t="s">
        <v>110</v>
      </c>
      <c r="F78" s="22"/>
      <c r="G78" s="36">
        <f>IFERROR(VLOOKUP(tblRiskRegister152[[#This Row],[Asset Class]],tblVCDBIndex[#Data],4,FALSE),"")</f>
        <v>2</v>
      </c>
      <c r="H78" s="36" t="str">
        <f>IFERROR(VLOOKUP(10*tblRiskRegister152[[#This Row],[Safeguard Maturity Score]]+tblRiskRegister152[[#This Row],[VCDB Index]],tblHITIndexWeightTable[#Data],4,FALSE),"")</f>
        <v/>
      </c>
      <c r="I78" s="36">
        <f>VLOOKUP(tblRiskRegister152[[#This Row],[Asset Class]],tblImpactIndex175[],2,FALSE)</f>
        <v>2</v>
      </c>
      <c r="J78" s="36">
        <f>VLOOKUP(tblRiskRegister152[[#This Row],[Asset Class]],tblImpactIndex175[],3,FALSE)</f>
        <v>2</v>
      </c>
      <c r="K78" s="36">
        <f>VLOOKUP(tblRiskRegister152[[#This Row],[Asset Class]],tblImpactIndex175[],4,FALSE)</f>
        <v>2</v>
      </c>
      <c r="L78" s="36" t="str">
        <f>IFERROR(MAX(tblRiskRegister152[[#This Row],[Impact to Mission]:[Impact to Obligations]])*tblRiskRegister152[[#This Row],[Expectancy Score]],"")</f>
        <v/>
      </c>
      <c r="M78" s="36" t="str">
        <f>tblRiskRegister152[[#This Row],[Risk Score]]</f>
        <v/>
      </c>
      <c r="N78" s="31"/>
      <c r="O78" s="19">
        <v>14.2</v>
      </c>
      <c r="P78" s="20" t="s">
        <v>96</v>
      </c>
      <c r="Q78" s="20" t="s">
        <v>328</v>
      </c>
      <c r="R78" s="38"/>
      <c r="S78" s="22"/>
      <c r="T78" s="35" t="str">
        <f>IFERROR(VLOOKUP(10*tblRiskRegister152[[#This Row],[Risk Treatment Safeguard Maturity Score]]+tblRiskRegister152[[#This Row],[VCDB Index]],tblHITIndexWeightTable[#Data],4,FALSE),"")</f>
        <v/>
      </c>
      <c r="U78" s="35">
        <f>VLOOKUP(tblRiskRegister152[[#This Row],[Asset Class]],tblImpactIndex175[],2,FALSE)</f>
        <v>2</v>
      </c>
      <c r="V78" s="35">
        <f>VLOOKUP(tblRiskRegister152[[#This Row],[Asset Class]],tblImpactIndex175[],3,FALSE)</f>
        <v>2</v>
      </c>
      <c r="W78" s="35">
        <f>VLOOKUP(tblRiskRegister152[[#This Row],[Asset Class]],tblImpactIndex175[],4,FALSE)</f>
        <v>2</v>
      </c>
      <c r="X78" s="35" t="str">
        <f>IFERROR(MAX(tblRiskRegister152[[#This Row],[Risk Treatment Safeguard Impact to Mission]:[Risk Treatment Safeguard Impact to Obligations]])*tblRiskRegister152[[#This Row],[Risk Treatment
Safeguard Expectancy Score]],"")</f>
        <v/>
      </c>
      <c r="Y78" s="35" t="str">
        <f>IF(tblRiskRegister152[[#This Row],[Risk Score]]&gt;5,IF(tblRiskRegister152[[#This Row],[Risk Treatment Safeguard Risk Score]]&lt;6, IF(tblRiskRegister152[[#This Row],[Risk Treatment Safeguard Risk Score]]&lt;=tblRiskRegister152[[#This Row],[Risk Score]],"Yes","No"),"No"),"Yes")</f>
        <v>No</v>
      </c>
      <c r="Z78" s="23"/>
      <c r="AA78" s="23"/>
      <c r="AB78" s="24"/>
    </row>
    <row r="79" spans="2:28" ht="56" x14ac:dyDescent="0.15">
      <c r="B79" s="19">
        <v>14.3</v>
      </c>
      <c r="C79" s="20" t="s">
        <v>97</v>
      </c>
      <c r="D79" s="16" t="s">
        <v>295</v>
      </c>
      <c r="E79" s="150" t="s">
        <v>110</v>
      </c>
      <c r="F79" s="22"/>
      <c r="G79" s="36">
        <f>IFERROR(VLOOKUP(tblRiskRegister152[[#This Row],[Asset Class]],tblVCDBIndex[#Data],4,FALSE),"")</f>
        <v>2</v>
      </c>
      <c r="H79" s="36" t="str">
        <f>IFERROR(VLOOKUP(10*tblRiskRegister152[[#This Row],[Safeguard Maturity Score]]+tblRiskRegister152[[#This Row],[VCDB Index]],tblHITIndexWeightTable[#Data],4,FALSE),"")</f>
        <v/>
      </c>
      <c r="I79" s="36">
        <f>VLOOKUP(tblRiskRegister152[[#This Row],[Asset Class]],tblImpactIndex175[],2,FALSE)</f>
        <v>2</v>
      </c>
      <c r="J79" s="36">
        <f>VLOOKUP(tblRiskRegister152[[#This Row],[Asset Class]],tblImpactIndex175[],3,FALSE)</f>
        <v>2</v>
      </c>
      <c r="K79" s="36">
        <f>VLOOKUP(tblRiskRegister152[[#This Row],[Asset Class]],tblImpactIndex175[],4,FALSE)</f>
        <v>2</v>
      </c>
      <c r="L79" s="36" t="str">
        <f>IFERROR(MAX(tblRiskRegister152[[#This Row],[Impact to Mission]:[Impact to Obligations]])*tblRiskRegister152[[#This Row],[Expectancy Score]],"")</f>
        <v/>
      </c>
      <c r="M79" s="36" t="str">
        <f>tblRiskRegister152[[#This Row],[Risk Score]]</f>
        <v/>
      </c>
      <c r="N79" s="31"/>
      <c r="O79" s="19">
        <v>14.3</v>
      </c>
      <c r="P79" s="20" t="s">
        <v>97</v>
      </c>
      <c r="Q79" s="20" t="s">
        <v>156</v>
      </c>
      <c r="R79" s="38"/>
      <c r="S79" s="22"/>
      <c r="T79" s="35" t="str">
        <f>IFERROR(VLOOKUP(10*tblRiskRegister152[[#This Row],[Risk Treatment Safeguard Maturity Score]]+tblRiskRegister152[[#This Row],[VCDB Index]],tblHITIndexWeightTable[#Data],4,FALSE),"")</f>
        <v/>
      </c>
      <c r="U79" s="35">
        <f>VLOOKUP(tblRiskRegister152[[#This Row],[Asset Class]],tblImpactIndex175[],2,FALSE)</f>
        <v>2</v>
      </c>
      <c r="V79" s="35">
        <f>VLOOKUP(tblRiskRegister152[[#This Row],[Asset Class]],tblImpactIndex175[],3,FALSE)</f>
        <v>2</v>
      </c>
      <c r="W79" s="35">
        <f>VLOOKUP(tblRiskRegister152[[#This Row],[Asset Class]],tblImpactIndex175[],4,FALSE)</f>
        <v>2</v>
      </c>
      <c r="X79" s="35" t="str">
        <f>IFERROR(MAX(tblRiskRegister152[[#This Row],[Risk Treatment Safeguard Impact to Mission]:[Risk Treatment Safeguard Impact to Obligations]])*tblRiskRegister152[[#This Row],[Risk Treatment
Safeguard Expectancy Score]],"")</f>
        <v/>
      </c>
      <c r="Y79" s="35" t="str">
        <f>IF(tblRiskRegister152[[#This Row],[Risk Score]]&gt;5,IF(tblRiskRegister152[[#This Row],[Risk Treatment Safeguard Risk Score]]&lt;6, IF(tblRiskRegister152[[#This Row],[Risk Treatment Safeguard Risk Score]]&lt;=tblRiskRegister152[[#This Row],[Risk Score]],"Yes","No"),"No"),"Yes")</f>
        <v>No</v>
      </c>
      <c r="Z79" s="23"/>
      <c r="AA79" s="23"/>
      <c r="AB79" s="24"/>
    </row>
    <row r="80" spans="2:28" ht="70" x14ac:dyDescent="0.15">
      <c r="B80" s="19">
        <v>14.4</v>
      </c>
      <c r="C80" s="20" t="s">
        <v>98</v>
      </c>
      <c r="D80" s="16" t="s">
        <v>295</v>
      </c>
      <c r="E80" s="150" t="s">
        <v>110</v>
      </c>
      <c r="F80" s="22"/>
      <c r="G80" s="36">
        <f>IFERROR(VLOOKUP(tblRiskRegister152[[#This Row],[Asset Class]],tblVCDBIndex[#Data],4,FALSE),"")</f>
        <v>2</v>
      </c>
      <c r="H80" s="36" t="str">
        <f>IFERROR(VLOOKUP(10*tblRiskRegister152[[#This Row],[Safeguard Maturity Score]]+tblRiskRegister152[[#This Row],[VCDB Index]],tblHITIndexWeightTable[#Data],4,FALSE),"")</f>
        <v/>
      </c>
      <c r="I80" s="36">
        <f>VLOOKUP(tblRiskRegister152[[#This Row],[Asset Class]],tblImpactIndex175[],2,FALSE)</f>
        <v>2</v>
      </c>
      <c r="J80" s="36">
        <f>VLOOKUP(tblRiskRegister152[[#This Row],[Asset Class]],tblImpactIndex175[],3,FALSE)</f>
        <v>2</v>
      </c>
      <c r="K80" s="36">
        <f>VLOOKUP(tblRiskRegister152[[#This Row],[Asset Class]],tblImpactIndex175[],4,FALSE)</f>
        <v>2</v>
      </c>
      <c r="L80" s="36" t="str">
        <f>IFERROR(MAX(tblRiskRegister152[[#This Row],[Impact to Mission]:[Impact to Obligations]])*tblRiskRegister152[[#This Row],[Expectancy Score]],"")</f>
        <v/>
      </c>
      <c r="M80" s="36" t="str">
        <f>tblRiskRegister152[[#This Row],[Risk Score]]</f>
        <v/>
      </c>
      <c r="N80" s="31"/>
      <c r="O80" s="19">
        <v>14.4</v>
      </c>
      <c r="P80" s="20" t="s">
        <v>98</v>
      </c>
      <c r="Q80" s="20" t="s">
        <v>157</v>
      </c>
      <c r="R80" s="38"/>
      <c r="S80" s="22"/>
      <c r="T80" s="35" t="str">
        <f>IFERROR(VLOOKUP(10*tblRiskRegister152[[#This Row],[Risk Treatment Safeguard Maturity Score]]+tblRiskRegister152[[#This Row],[VCDB Index]],tblHITIndexWeightTable[#Data],4,FALSE),"")</f>
        <v/>
      </c>
      <c r="U80" s="35">
        <f>VLOOKUP(tblRiskRegister152[[#This Row],[Asset Class]],tblImpactIndex175[],2,FALSE)</f>
        <v>2</v>
      </c>
      <c r="V80" s="35">
        <f>VLOOKUP(tblRiskRegister152[[#This Row],[Asset Class]],tblImpactIndex175[],3,FALSE)</f>
        <v>2</v>
      </c>
      <c r="W80" s="35">
        <f>VLOOKUP(tblRiskRegister152[[#This Row],[Asset Class]],tblImpactIndex175[],4,FALSE)</f>
        <v>2</v>
      </c>
      <c r="X80" s="35" t="str">
        <f>IFERROR(MAX(tblRiskRegister152[[#This Row],[Risk Treatment Safeguard Impact to Mission]:[Risk Treatment Safeguard Impact to Obligations]])*tblRiskRegister152[[#This Row],[Risk Treatment
Safeguard Expectancy Score]],"")</f>
        <v/>
      </c>
      <c r="Y80" s="35" t="str">
        <f>IF(tblRiskRegister152[[#This Row],[Risk Score]]&gt;5,IF(tblRiskRegister152[[#This Row],[Risk Treatment Safeguard Risk Score]]&lt;6, IF(tblRiskRegister152[[#This Row],[Risk Treatment Safeguard Risk Score]]&lt;=tblRiskRegister152[[#This Row],[Risk Score]],"Yes","No"),"No"),"Yes")</f>
        <v>No</v>
      </c>
      <c r="Z80" s="23"/>
      <c r="AA80" s="23"/>
      <c r="AB80" s="24"/>
    </row>
    <row r="81" spans="2:28" ht="56" x14ac:dyDescent="0.15">
      <c r="B81" s="19">
        <v>14.5</v>
      </c>
      <c r="C81" s="20" t="s">
        <v>99</v>
      </c>
      <c r="D81" s="16" t="s">
        <v>295</v>
      </c>
      <c r="E81" s="150" t="s">
        <v>110</v>
      </c>
      <c r="F81" s="22"/>
      <c r="G81" s="36">
        <f>IFERROR(VLOOKUP(tblRiskRegister152[[#This Row],[Asset Class]],tblVCDBIndex[#Data],4,FALSE),"")</f>
        <v>2</v>
      </c>
      <c r="H81" s="36" t="str">
        <f>IFERROR(VLOOKUP(10*tblRiskRegister152[[#This Row],[Safeguard Maturity Score]]+tblRiskRegister152[[#This Row],[VCDB Index]],tblHITIndexWeightTable[#Data],4,FALSE),"")</f>
        <v/>
      </c>
      <c r="I81" s="36">
        <f>VLOOKUP(tblRiskRegister152[[#This Row],[Asset Class]],tblImpactIndex175[],2,FALSE)</f>
        <v>2</v>
      </c>
      <c r="J81" s="36">
        <f>VLOOKUP(tblRiskRegister152[[#This Row],[Asset Class]],tblImpactIndex175[],3,FALSE)</f>
        <v>2</v>
      </c>
      <c r="K81" s="36">
        <f>VLOOKUP(tblRiskRegister152[[#This Row],[Asset Class]],tblImpactIndex175[],4,FALSE)</f>
        <v>2</v>
      </c>
      <c r="L81" s="36" t="str">
        <f>IFERROR(MAX(tblRiskRegister152[[#This Row],[Impact to Mission]:[Impact to Obligations]])*tblRiskRegister152[[#This Row],[Expectancy Score]],"")</f>
        <v/>
      </c>
      <c r="M81" s="36" t="str">
        <f>tblRiskRegister152[[#This Row],[Risk Score]]</f>
        <v/>
      </c>
      <c r="N81" s="31"/>
      <c r="O81" s="19">
        <v>14.5</v>
      </c>
      <c r="P81" s="20" t="s">
        <v>99</v>
      </c>
      <c r="Q81" s="20" t="s">
        <v>158</v>
      </c>
      <c r="R81" s="38"/>
      <c r="S81" s="22"/>
      <c r="T81" s="35" t="str">
        <f>IFERROR(VLOOKUP(10*tblRiskRegister152[[#This Row],[Risk Treatment Safeguard Maturity Score]]+tblRiskRegister152[[#This Row],[VCDB Index]],tblHITIndexWeightTable[#Data],4,FALSE),"")</f>
        <v/>
      </c>
      <c r="U81" s="35">
        <f>VLOOKUP(tblRiskRegister152[[#This Row],[Asset Class]],tblImpactIndex175[],2,FALSE)</f>
        <v>2</v>
      </c>
      <c r="V81" s="35">
        <f>VLOOKUP(tblRiskRegister152[[#This Row],[Asset Class]],tblImpactIndex175[],3,FALSE)</f>
        <v>2</v>
      </c>
      <c r="W81" s="35">
        <f>VLOOKUP(tblRiskRegister152[[#This Row],[Asset Class]],tblImpactIndex175[],4,FALSE)</f>
        <v>2</v>
      </c>
      <c r="X81" s="35" t="str">
        <f>IFERROR(MAX(tblRiskRegister152[[#This Row],[Risk Treatment Safeguard Impact to Mission]:[Risk Treatment Safeguard Impact to Obligations]])*tblRiskRegister152[[#This Row],[Risk Treatment
Safeguard Expectancy Score]],"")</f>
        <v/>
      </c>
      <c r="Y81" s="35" t="str">
        <f>IF(tblRiskRegister152[[#This Row],[Risk Score]]&gt;5,IF(tblRiskRegister152[[#This Row],[Risk Treatment Safeguard Risk Score]]&lt;6, IF(tblRiskRegister152[[#This Row],[Risk Treatment Safeguard Risk Score]]&lt;=tblRiskRegister152[[#This Row],[Risk Score]],"Yes","No"),"No"),"Yes")</f>
        <v>No</v>
      </c>
      <c r="Z81" s="23"/>
      <c r="AA81" s="23"/>
      <c r="AB81" s="24"/>
    </row>
    <row r="82" spans="2:28" ht="70" x14ac:dyDescent="0.15">
      <c r="B82" s="19">
        <v>14.6</v>
      </c>
      <c r="C82" s="20" t="s">
        <v>100</v>
      </c>
      <c r="D82" s="16" t="s">
        <v>295</v>
      </c>
      <c r="E82" s="150" t="s">
        <v>110</v>
      </c>
      <c r="F82" s="22"/>
      <c r="G82" s="36">
        <f>IFERROR(VLOOKUP(tblRiskRegister152[[#This Row],[Asset Class]],tblVCDBIndex[#Data],4,FALSE),"")</f>
        <v>2</v>
      </c>
      <c r="H82" s="36" t="str">
        <f>IFERROR(VLOOKUP(10*tblRiskRegister152[[#This Row],[Safeguard Maturity Score]]+tblRiskRegister152[[#This Row],[VCDB Index]],tblHITIndexWeightTable[#Data],4,FALSE),"")</f>
        <v/>
      </c>
      <c r="I82" s="36">
        <f>VLOOKUP(tblRiskRegister152[[#This Row],[Asset Class]],tblImpactIndex175[],2,FALSE)</f>
        <v>2</v>
      </c>
      <c r="J82" s="36">
        <f>VLOOKUP(tblRiskRegister152[[#This Row],[Asset Class]],tblImpactIndex175[],3,FALSE)</f>
        <v>2</v>
      </c>
      <c r="K82" s="36">
        <f>VLOOKUP(tblRiskRegister152[[#This Row],[Asset Class]],tblImpactIndex175[],4,FALSE)</f>
        <v>2</v>
      </c>
      <c r="L82" s="36" t="str">
        <f>IFERROR(MAX(tblRiskRegister152[[#This Row],[Impact to Mission]:[Impact to Obligations]])*tblRiskRegister152[[#This Row],[Expectancy Score]],"")</f>
        <v/>
      </c>
      <c r="M82" s="36" t="str">
        <f>tblRiskRegister152[[#This Row],[Risk Score]]</f>
        <v/>
      </c>
      <c r="N82" s="31"/>
      <c r="O82" s="19">
        <v>14.6</v>
      </c>
      <c r="P82" s="20" t="s">
        <v>100</v>
      </c>
      <c r="Q82" s="20" t="s">
        <v>159</v>
      </c>
      <c r="R82" s="38"/>
      <c r="S82" s="22"/>
      <c r="T82" s="35" t="str">
        <f>IFERROR(VLOOKUP(10*tblRiskRegister152[[#This Row],[Risk Treatment Safeguard Maturity Score]]+tblRiskRegister152[[#This Row],[VCDB Index]],tblHITIndexWeightTable[#Data],4,FALSE),"")</f>
        <v/>
      </c>
      <c r="U82" s="35">
        <f>VLOOKUP(tblRiskRegister152[[#This Row],[Asset Class]],tblImpactIndex175[],2,FALSE)</f>
        <v>2</v>
      </c>
      <c r="V82" s="35">
        <f>VLOOKUP(tblRiskRegister152[[#This Row],[Asset Class]],tblImpactIndex175[],3,FALSE)</f>
        <v>2</v>
      </c>
      <c r="W82" s="35">
        <f>VLOOKUP(tblRiskRegister152[[#This Row],[Asset Class]],tblImpactIndex175[],4,FALSE)</f>
        <v>2</v>
      </c>
      <c r="X82" s="35" t="str">
        <f>IFERROR(MAX(tblRiskRegister152[[#This Row],[Risk Treatment Safeguard Impact to Mission]:[Risk Treatment Safeguard Impact to Obligations]])*tblRiskRegister152[[#This Row],[Risk Treatment
Safeguard Expectancy Score]],"")</f>
        <v/>
      </c>
      <c r="Y82" s="35" t="str">
        <f>IF(tblRiskRegister152[[#This Row],[Risk Score]]&gt;5,IF(tblRiskRegister152[[#This Row],[Risk Treatment Safeguard Risk Score]]&lt;6, IF(tblRiskRegister152[[#This Row],[Risk Treatment Safeguard Risk Score]]&lt;=tblRiskRegister152[[#This Row],[Risk Score]],"Yes","No"),"No"),"Yes")</f>
        <v>No</v>
      </c>
      <c r="Z82" s="23"/>
      <c r="AA82" s="23"/>
      <c r="AB82" s="24"/>
    </row>
    <row r="83" spans="2:28" ht="70" x14ac:dyDescent="0.15">
      <c r="B83" s="19">
        <v>14.7</v>
      </c>
      <c r="C83" s="20" t="s">
        <v>101</v>
      </c>
      <c r="D83" s="16" t="s">
        <v>295</v>
      </c>
      <c r="E83" s="150" t="s">
        <v>110</v>
      </c>
      <c r="F83" s="22"/>
      <c r="G83" s="36">
        <f>IFERROR(VLOOKUP(tblRiskRegister152[[#This Row],[Asset Class]],tblVCDBIndex[#Data],4,FALSE),"")</f>
        <v>2</v>
      </c>
      <c r="H83" s="36" t="str">
        <f>IFERROR(VLOOKUP(10*tblRiskRegister152[[#This Row],[Safeguard Maturity Score]]+tblRiskRegister152[[#This Row],[VCDB Index]],tblHITIndexWeightTable[#Data],4,FALSE),"")</f>
        <v/>
      </c>
      <c r="I83" s="36">
        <f>VLOOKUP(tblRiskRegister152[[#This Row],[Asset Class]],tblImpactIndex175[],2,FALSE)</f>
        <v>2</v>
      </c>
      <c r="J83" s="36">
        <f>VLOOKUP(tblRiskRegister152[[#This Row],[Asset Class]],tblImpactIndex175[],3,FALSE)</f>
        <v>2</v>
      </c>
      <c r="K83" s="36">
        <f>VLOOKUP(tblRiskRegister152[[#This Row],[Asset Class]],tblImpactIndex175[],4,FALSE)</f>
        <v>2</v>
      </c>
      <c r="L83" s="36" t="str">
        <f>IFERROR(MAX(tblRiskRegister152[[#This Row],[Impact to Mission]:[Impact to Obligations]])*tblRiskRegister152[[#This Row],[Expectancy Score]],"")</f>
        <v/>
      </c>
      <c r="M83" s="36" t="str">
        <f>tblRiskRegister152[[#This Row],[Risk Score]]</f>
        <v/>
      </c>
      <c r="N83" s="31"/>
      <c r="O83" s="19">
        <v>14.7</v>
      </c>
      <c r="P83" s="20" t="s">
        <v>101</v>
      </c>
      <c r="Q83" s="20" t="s">
        <v>160</v>
      </c>
      <c r="R83" s="38"/>
      <c r="S83" s="22"/>
      <c r="T83" s="35" t="str">
        <f>IFERROR(VLOOKUP(10*tblRiskRegister152[[#This Row],[Risk Treatment Safeguard Maturity Score]]+tblRiskRegister152[[#This Row],[VCDB Index]],tblHITIndexWeightTable[#Data],4,FALSE),"")</f>
        <v/>
      </c>
      <c r="U83" s="35">
        <f>VLOOKUP(tblRiskRegister152[[#This Row],[Asset Class]],tblImpactIndex175[],2,FALSE)</f>
        <v>2</v>
      </c>
      <c r="V83" s="35">
        <f>VLOOKUP(tblRiskRegister152[[#This Row],[Asset Class]],tblImpactIndex175[],3,FALSE)</f>
        <v>2</v>
      </c>
      <c r="W83" s="35">
        <f>VLOOKUP(tblRiskRegister152[[#This Row],[Asset Class]],tblImpactIndex175[],4,FALSE)</f>
        <v>2</v>
      </c>
      <c r="X83" s="35" t="str">
        <f>IFERROR(MAX(tblRiskRegister152[[#This Row],[Risk Treatment Safeguard Impact to Mission]:[Risk Treatment Safeguard Impact to Obligations]])*tblRiskRegister152[[#This Row],[Risk Treatment
Safeguard Expectancy Score]],"")</f>
        <v/>
      </c>
      <c r="Y83" s="35" t="str">
        <f>IF(tblRiskRegister152[[#This Row],[Risk Score]]&gt;5,IF(tblRiskRegister152[[#This Row],[Risk Treatment Safeguard Risk Score]]&lt;6, IF(tblRiskRegister152[[#This Row],[Risk Treatment Safeguard Risk Score]]&lt;=tblRiskRegister152[[#This Row],[Risk Score]],"Yes","No"),"No"),"Yes")</f>
        <v>No</v>
      </c>
      <c r="Z83" s="23"/>
      <c r="AA83" s="23"/>
      <c r="AB83" s="24"/>
    </row>
    <row r="84" spans="2:28" ht="70" x14ac:dyDescent="0.15">
      <c r="B84" s="19">
        <v>14.8</v>
      </c>
      <c r="C84" s="20" t="s">
        <v>102</v>
      </c>
      <c r="D84" s="16" t="s">
        <v>295</v>
      </c>
      <c r="E84" s="150" t="s">
        <v>110</v>
      </c>
      <c r="F84" s="22"/>
      <c r="G84" s="36">
        <f>IFERROR(VLOOKUP(tblRiskRegister152[[#This Row],[Asset Class]],tblVCDBIndex[#Data],4,FALSE),"")</f>
        <v>2</v>
      </c>
      <c r="H84" s="36" t="str">
        <f>IFERROR(VLOOKUP(10*tblRiskRegister152[[#This Row],[Safeguard Maturity Score]]+tblRiskRegister152[[#This Row],[VCDB Index]],tblHITIndexWeightTable[#Data],4,FALSE),"")</f>
        <v/>
      </c>
      <c r="I84" s="36">
        <f>VLOOKUP(tblRiskRegister152[[#This Row],[Asset Class]],tblImpactIndex175[],2,FALSE)</f>
        <v>2</v>
      </c>
      <c r="J84" s="36">
        <f>VLOOKUP(tblRiskRegister152[[#This Row],[Asset Class]],tblImpactIndex175[],3,FALSE)</f>
        <v>2</v>
      </c>
      <c r="K84" s="36">
        <f>VLOOKUP(tblRiskRegister152[[#This Row],[Asset Class]],tblImpactIndex175[],4,FALSE)</f>
        <v>2</v>
      </c>
      <c r="L84" s="36" t="str">
        <f>IFERROR(MAX(tblRiskRegister152[[#This Row],[Impact to Mission]:[Impact to Obligations]])*tblRiskRegister152[[#This Row],[Expectancy Score]],"")</f>
        <v/>
      </c>
      <c r="M84" s="36" t="str">
        <f>tblRiskRegister152[[#This Row],[Risk Score]]</f>
        <v/>
      </c>
      <c r="N84" s="31"/>
      <c r="O84" s="19">
        <v>14.8</v>
      </c>
      <c r="P84" s="20" t="s">
        <v>102</v>
      </c>
      <c r="Q84" s="20" t="s">
        <v>161</v>
      </c>
      <c r="R84" s="38"/>
      <c r="S84" s="22"/>
      <c r="T84" s="35" t="str">
        <f>IFERROR(VLOOKUP(10*tblRiskRegister152[[#This Row],[Risk Treatment Safeguard Maturity Score]]+tblRiskRegister152[[#This Row],[VCDB Index]],tblHITIndexWeightTable[#Data],4,FALSE),"")</f>
        <v/>
      </c>
      <c r="U84" s="35">
        <f>VLOOKUP(tblRiskRegister152[[#This Row],[Asset Class]],tblImpactIndex175[],2,FALSE)</f>
        <v>2</v>
      </c>
      <c r="V84" s="35">
        <f>VLOOKUP(tblRiskRegister152[[#This Row],[Asset Class]],tblImpactIndex175[],3,FALSE)</f>
        <v>2</v>
      </c>
      <c r="W84" s="35">
        <f>VLOOKUP(tblRiskRegister152[[#This Row],[Asset Class]],tblImpactIndex175[],4,FALSE)</f>
        <v>2</v>
      </c>
      <c r="X84" s="35" t="str">
        <f>IFERROR(MAX(tblRiskRegister152[[#This Row],[Risk Treatment Safeguard Impact to Mission]:[Risk Treatment Safeguard Impact to Obligations]])*tblRiskRegister152[[#This Row],[Risk Treatment
Safeguard Expectancy Score]],"")</f>
        <v/>
      </c>
      <c r="Y84" s="35" t="str">
        <f>IF(tblRiskRegister152[[#This Row],[Risk Score]]&gt;5,IF(tblRiskRegister152[[#This Row],[Risk Treatment Safeguard Risk Score]]&lt;6, IF(tblRiskRegister152[[#This Row],[Risk Treatment Safeguard Risk Score]]&lt;=tblRiskRegister152[[#This Row],[Risk Score]],"Yes","No"),"No"),"Yes")</f>
        <v>No</v>
      </c>
      <c r="Z84" s="23"/>
      <c r="AA84" s="23"/>
      <c r="AB84" s="24"/>
    </row>
    <row r="85" spans="2:28" ht="56" x14ac:dyDescent="0.15">
      <c r="B85" s="19">
        <v>15.1</v>
      </c>
      <c r="C85" s="20" t="s">
        <v>103</v>
      </c>
      <c r="D85" s="16" t="s">
        <v>293</v>
      </c>
      <c r="E85" s="150" t="s">
        <v>110</v>
      </c>
      <c r="F85" s="22"/>
      <c r="G85" s="36">
        <f>IFERROR(VLOOKUP(tblRiskRegister152[[#This Row],[Asset Class]],tblVCDBIndex[#Data],4,FALSE),"")</f>
        <v>2</v>
      </c>
      <c r="H85" s="36" t="str">
        <f>IFERROR(VLOOKUP(10*tblRiskRegister152[[#This Row],[Safeguard Maturity Score]]+tblRiskRegister152[[#This Row],[VCDB Index]],tblHITIndexWeightTable[#Data],4,FALSE),"")</f>
        <v/>
      </c>
      <c r="I85" s="36">
        <f>VLOOKUP(tblRiskRegister152[[#This Row],[Asset Class]],tblImpactIndex175[],2,FALSE)</f>
        <v>2</v>
      </c>
      <c r="J85" s="36">
        <f>VLOOKUP(tblRiskRegister152[[#This Row],[Asset Class]],tblImpactIndex175[],3,FALSE)</f>
        <v>2</v>
      </c>
      <c r="K85" s="36">
        <f>VLOOKUP(tblRiskRegister152[[#This Row],[Asset Class]],tblImpactIndex175[],4,FALSE)</f>
        <v>2</v>
      </c>
      <c r="L85" s="36" t="str">
        <f>IFERROR(MAX(tblRiskRegister152[[#This Row],[Impact to Mission]:[Impact to Obligations]])*tblRiskRegister152[[#This Row],[Expectancy Score]],"")</f>
        <v/>
      </c>
      <c r="M85" s="36" t="str">
        <f>tblRiskRegister152[[#This Row],[Risk Score]]</f>
        <v/>
      </c>
      <c r="N85" s="31"/>
      <c r="O85" s="19">
        <v>15.1</v>
      </c>
      <c r="P85" s="20" t="s">
        <v>103</v>
      </c>
      <c r="Q85" s="20" t="s">
        <v>162</v>
      </c>
      <c r="R85" s="38"/>
      <c r="S85" s="22"/>
      <c r="T85" s="35" t="str">
        <f>IFERROR(VLOOKUP(10*tblRiskRegister152[[#This Row],[Risk Treatment Safeguard Maturity Score]]+tblRiskRegister152[[#This Row],[VCDB Index]],tblHITIndexWeightTable[#Data],4,FALSE),"")</f>
        <v/>
      </c>
      <c r="U85" s="35">
        <f>VLOOKUP(tblRiskRegister152[[#This Row],[Asset Class]],tblImpactIndex175[],2,FALSE)</f>
        <v>2</v>
      </c>
      <c r="V85" s="35">
        <f>VLOOKUP(tblRiskRegister152[[#This Row],[Asset Class]],tblImpactIndex175[],3,FALSE)</f>
        <v>2</v>
      </c>
      <c r="W85" s="35">
        <f>VLOOKUP(tblRiskRegister152[[#This Row],[Asset Class]],tblImpactIndex175[],4,FALSE)</f>
        <v>2</v>
      </c>
      <c r="X85" s="35" t="str">
        <f>IFERROR(MAX(tblRiskRegister152[[#This Row],[Risk Treatment Safeguard Impact to Mission]:[Risk Treatment Safeguard Impact to Obligations]])*tblRiskRegister152[[#This Row],[Risk Treatment
Safeguard Expectancy Score]],"")</f>
        <v/>
      </c>
      <c r="Y85" s="35" t="str">
        <f>IF(tblRiskRegister152[[#This Row],[Risk Score]]&gt;5,IF(tblRiskRegister152[[#This Row],[Risk Treatment Safeguard Risk Score]]&lt;6, IF(tblRiskRegister152[[#This Row],[Risk Treatment Safeguard Risk Score]]&lt;=tblRiskRegister152[[#This Row],[Risk Score]],"Yes","No"),"No"),"Yes")</f>
        <v>No</v>
      </c>
      <c r="Z85" s="23"/>
      <c r="AA85" s="23"/>
      <c r="AB85" s="24"/>
    </row>
    <row r="86" spans="2:28" ht="98" x14ac:dyDescent="0.15">
      <c r="B86" s="19">
        <v>17.100000000000001</v>
      </c>
      <c r="C86" s="20" t="s">
        <v>104</v>
      </c>
      <c r="D86" s="16" t="s">
        <v>294</v>
      </c>
      <c r="E86" s="150" t="s">
        <v>110</v>
      </c>
      <c r="F86" s="22"/>
      <c r="G86" s="36">
        <f>IFERROR(VLOOKUP(tblRiskRegister152[[#This Row],[Asset Class]],tblVCDBIndex[#Data],4,FALSE),"")</f>
        <v>2</v>
      </c>
      <c r="H86" s="36" t="str">
        <f>IFERROR(VLOOKUP(10*tblRiskRegister152[[#This Row],[Safeguard Maturity Score]]+tblRiskRegister152[[#This Row],[VCDB Index]],tblHITIndexWeightTable[#Data],4,FALSE),"")</f>
        <v/>
      </c>
      <c r="I86" s="36">
        <f>VLOOKUP(tblRiskRegister152[[#This Row],[Asset Class]],tblImpactIndex175[],2,FALSE)</f>
        <v>2</v>
      </c>
      <c r="J86" s="36">
        <f>VLOOKUP(tblRiskRegister152[[#This Row],[Asset Class]],tblImpactIndex175[],3,FALSE)</f>
        <v>2</v>
      </c>
      <c r="K86" s="36">
        <f>VLOOKUP(tblRiskRegister152[[#This Row],[Asset Class]],tblImpactIndex175[],4,FALSE)</f>
        <v>2</v>
      </c>
      <c r="L86" s="36" t="str">
        <f>IFERROR(MAX(tblRiskRegister152[[#This Row],[Impact to Mission]:[Impact to Obligations]])*tblRiskRegister152[[#This Row],[Expectancy Score]],"")</f>
        <v/>
      </c>
      <c r="M86" s="36" t="str">
        <f>tblRiskRegister152[[#This Row],[Risk Score]]</f>
        <v/>
      </c>
      <c r="N86" s="31"/>
      <c r="O86" s="19">
        <v>17.100000000000001</v>
      </c>
      <c r="P86" s="20" t="s">
        <v>104</v>
      </c>
      <c r="Q86" s="20" t="s">
        <v>332</v>
      </c>
      <c r="R86" s="38"/>
      <c r="S86" s="22"/>
      <c r="T86" s="35" t="str">
        <f>IFERROR(VLOOKUP(10*tblRiskRegister152[[#This Row],[Risk Treatment Safeguard Maturity Score]]+tblRiskRegister152[[#This Row],[VCDB Index]],tblHITIndexWeightTable[#Data],4,FALSE),"")</f>
        <v/>
      </c>
      <c r="U86" s="35">
        <f>VLOOKUP(tblRiskRegister152[[#This Row],[Asset Class]],tblImpactIndex175[],2,FALSE)</f>
        <v>2</v>
      </c>
      <c r="V86" s="35">
        <f>VLOOKUP(tblRiskRegister152[[#This Row],[Asset Class]],tblImpactIndex175[],3,FALSE)</f>
        <v>2</v>
      </c>
      <c r="W86" s="35">
        <f>VLOOKUP(tblRiskRegister152[[#This Row],[Asset Class]],tblImpactIndex175[],4,FALSE)</f>
        <v>2</v>
      </c>
      <c r="X86" s="35" t="str">
        <f>IFERROR(MAX(tblRiskRegister152[[#This Row],[Risk Treatment Safeguard Impact to Mission]:[Risk Treatment Safeguard Impact to Obligations]])*tblRiskRegister152[[#This Row],[Risk Treatment
Safeguard Expectancy Score]],"")</f>
        <v/>
      </c>
      <c r="Y86" s="35" t="str">
        <f>IF(tblRiskRegister152[[#This Row],[Risk Score]]&gt;5,IF(tblRiskRegister152[[#This Row],[Risk Treatment Safeguard Risk Score]]&lt;6, IF(tblRiskRegister152[[#This Row],[Risk Treatment Safeguard Risk Score]]&lt;=tblRiskRegister152[[#This Row],[Risk Score]],"Yes","No"),"No"),"Yes")</f>
        <v>No</v>
      </c>
      <c r="Z86" s="23"/>
      <c r="AA86" s="23"/>
      <c r="AB86" s="24"/>
    </row>
    <row r="87" spans="2:28" ht="70" x14ac:dyDescent="0.15">
      <c r="B87" s="19">
        <v>17.2</v>
      </c>
      <c r="C87" s="20" t="s">
        <v>105</v>
      </c>
      <c r="D87" s="148" t="s">
        <v>301</v>
      </c>
      <c r="E87" s="150" t="s">
        <v>302</v>
      </c>
      <c r="F87" s="22"/>
      <c r="G87" s="36">
        <f>IFERROR(VLOOKUP(tblRiskRegister152[[#This Row],[Asset Class]],tblVCDBIndex[#Data],4,FALSE),"")</f>
        <v>2</v>
      </c>
      <c r="H87" s="36" t="str">
        <f>IFERROR(VLOOKUP(10*tblRiskRegister152[[#This Row],[Safeguard Maturity Score]]+tblRiskRegister152[[#This Row],[VCDB Index]],tblHITIndexWeightTable[#Data],4,FALSE),"")</f>
        <v/>
      </c>
      <c r="I87" s="36">
        <f>VLOOKUP(tblRiskRegister152[[#This Row],[Asset Class]],tblImpactIndex175[],2,FALSE)</f>
        <v>1</v>
      </c>
      <c r="J87" s="36">
        <f>VLOOKUP(tblRiskRegister152[[#This Row],[Asset Class]],tblImpactIndex175[],3,FALSE)</f>
        <v>2</v>
      </c>
      <c r="K87" s="36">
        <f>VLOOKUP(tblRiskRegister152[[#This Row],[Asset Class]],tblImpactIndex175[],4,FALSE)</f>
        <v>2</v>
      </c>
      <c r="L87" s="36" t="str">
        <f>IFERROR(MAX(tblRiskRegister152[[#This Row],[Impact to Mission]:[Impact to Obligations]])*tblRiskRegister152[[#This Row],[Expectancy Score]],"")</f>
        <v/>
      </c>
      <c r="M87" s="36" t="str">
        <f>tblRiskRegister152[[#This Row],[Risk Score]]</f>
        <v/>
      </c>
      <c r="N87" s="31"/>
      <c r="O87" s="19">
        <v>17.2</v>
      </c>
      <c r="P87" s="20" t="s">
        <v>105</v>
      </c>
      <c r="Q87" s="20" t="s">
        <v>333</v>
      </c>
      <c r="R87" s="38"/>
      <c r="S87" s="22"/>
      <c r="T87" s="35" t="str">
        <f>IFERROR(VLOOKUP(10*tblRiskRegister152[[#This Row],[Risk Treatment Safeguard Maturity Score]]+tblRiskRegister152[[#This Row],[VCDB Index]],tblHITIndexWeightTable[#Data],4,FALSE),"")</f>
        <v/>
      </c>
      <c r="U87" s="35">
        <f>VLOOKUP(tblRiskRegister152[[#This Row],[Asset Class]],tblImpactIndex175[],2,FALSE)</f>
        <v>1</v>
      </c>
      <c r="V87" s="35">
        <f>VLOOKUP(tblRiskRegister152[[#This Row],[Asset Class]],tblImpactIndex175[],3,FALSE)</f>
        <v>2</v>
      </c>
      <c r="W87" s="35">
        <f>VLOOKUP(tblRiskRegister152[[#This Row],[Asset Class]],tblImpactIndex175[],4,FALSE)</f>
        <v>2</v>
      </c>
      <c r="X87" s="35" t="str">
        <f>IFERROR(MAX(tblRiskRegister152[[#This Row],[Risk Treatment Safeguard Impact to Mission]:[Risk Treatment Safeguard Impact to Obligations]])*tblRiskRegister152[[#This Row],[Risk Treatment
Safeguard Expectancy Score]],"")</f>
        <v/>
      </c>
      <c r="Y87" s="35" t="str">
        <f>IF(tblRiskRegister152[[#This Row],[Risk Score]]&gt;5,IF(tblRiskRegister152[[#This Row],[Risk Treatment Safeguard Risk Score]]&lt;6, IF(tblRiskRegister152[[#This Row],[Risk Treatment Safeguard Risk Score]]&lt;=tblRiskRegister152[[#This Row],[Risk Score]],"Yes","No"),"No"),"Yes")</f>
        <v>No</v>
      </c>
      <c r="Z87" s="23"/>
      <c r="AA87" s="23"/>
      <c r="AB87" s="24"/>
    </row>
    <row r="88" spans="2:28" ht="70" x14ac:dyDescent="0.15">
      <c r="B88" s="19">
        <v>17.3</v>
      </c>
      <c r="C88" s="20" t="s">
        <v>106</v>
      </c>
      <c r="D88" s="148" t="s">
        <v>301</v>
      </c>
      <c r="E88" s="150" t="s">
        <v>302</v>
      </c>
      <c r="F88" s="22"/>
      <c r="G88" s="36">
        <f>IFERROR(VLOOKUP(tblRiskRegister152[[#This Row],[Asset Class]],tblVCDBIndex[#Data],4,FALSE),"")</f>
        <v>2</v>
      </c>
      <c r="H88" s="36" t="str">
        <f>IFERROR(VLOOKUP(10*tblRiskRegister152[[#This Row],[Safeguard Maturity Score]]+tblRiskRegister152[[#This Row],[VCDB Index]],tblHITIndexWeightTable[#Data],4,FALSE),"")</f>
        <v/>
      </c>
      <c r="I88" s="36">
        <f>VLOOKUP(tblRiskRegister152[[#This Row],[Asset Class]],tblImpactIndex175[],2,FALSE)</f>
        <v>1</v>
      </c>
      <c r="J88" s="36">
        <f>VLOOKUP(tblRiskRegister152[[#This Row],[Asset Class]],tblImpactIndex175[],3,FALSE)</f>
        <v>2</v>
      </c>
      <c r="K88" s="36">
        <f>VLOOKUP(tblRiskRegister152[[#This Row],[Asset Class]],tblImpactIndex175[],4,FALSE)</f>
        <v>2</v>
      </c>
      <c r="L88" s="36" t="str">
        <f>IFERROR(MAX(tblRiskRegister152[[#This Row],[Impact to Mission]:[Impact to Obligations]])*tblRiskRegister152[[#This Row],[Expectancy Score]],"")</f>
        <v/>
      </c>
      <c r="M88" s="36" t="str">
        <f>tblRiskRegister152[[#This Row],[Risk Score]]</f>
        <v/>
      </c>
      <c r="N88" s="31"/>
      <c r="O88" s="19">
        <v>17.3</v>
      </c>
      <c r="P88" s="20" t="s">
        <v>106</v>
      </c>
      <c r="Q88" s="20" t="s">
        <v>329</v>
      </c>
      <c r="R88" s="38"/>
      <c r="S88" s="22"/>
      <c r="T88" s="35" t="str">
        <f>IFERROR(VLOOKUP(10*tblRiskRegister152[[#This Row],[Risk Treatment Safeguard Maturity Score]]+tblRiskRegister152[[#This Row],[VCDB Index]],tblHITIndexWeightTable[#Data],4,FALSE),"")</f>
        <v/>
      </c>
      <c r="U88" s="35">
        <f>VLOOKUP(tblRiskRegister152[[#This Row],[Asset Class]],tblImpactIndex175[],2,FALSE)</f>
        <v>1</v>
      </c>
      <c r="V88" s="35">
        <f>VLOOKUP(tblRiskRegister152[[#This Row],[Asset Class]],tblImpactIndex175[],3,FALSE)</f>
        <v>2</v>
      </c>
      <c r="W88" s="35">
        <f>VLOOKUP(tblRiskRegister152[[#This Row],[Asset Class]],tblImpactIndex175[],4,FALSE)</f>
        <v>2</v>
      </c>
      <c r="X88" s="35" t="str">
        <f>IFERROR(MAX(tblRiskRegister152[[#This Row],[Risk Treatment Safeguard Impact to Mission]:[Risk Treatment Safeguard Impact to Obligations]])*tblRiskRegister152[[#This Row],[Risk Treatment
Safeguard Expectancy Score]],"")</f>
        <v/>
      </c>
      <c r="Y88" s="35" t="str">
        <f>IF(tblRiskRegister152[[#This Row],[Risk Score]]&gt;5,IF(tblRiskRegister152[[#This Row],[Risk Treatment Safeguard Risk Score]]&lt;6, IF(tblRiskRegister152[[#This Row],[Risk Treatment Safeguard Risk Score]]&lt;=tblRiskRegister152[[#This Row],[Risk Score]],"Yes","No"),"No"),"Yes")</f>
        <v>No</v>
      </c>
      <c r="Z88" s="23"/>
      <c r="AA88" s="23"/>
      <c r="AB88" s="24"/>
    </row>
  </sheetData>
  <sheetProtection formatCells="0" formatColumns="0" formatRows="0" insertRows="0" sort="0" autoFilter="0" pivotTables="0"/>
  <protectedRanges>
    <protectedRange sqref="O33:O88" name="Range1"/>
    <protectedRange sqref="P33:Q88" name="Range1_1"/>
  </protectedRanges>
  <mergeCells count="13">
    <mergeCell ref="B2:B4"/>
    <mergeCell ref="D2:E2"/>
    <mergeCell ref="D3:E3"/>
    <mergeCell ref="D4:E4"/>
    <mergeCell ref="C8:F8"/>
    <mergeCell ref="AD30:AF30"/>
    <mergeCell ref="H8:I14"/>
    <mergeCell ref="C18:E18"/>
    <mergeCell ref="H18:H26"/>
    <mergeCell ref="F20:G20"/>
    <mergeCell ref="F21:G26"/>
    <mergeCell ref="C30:M30"/>
    <mergeCell ref="O30:AB30"/>
  </mergeCells>
  <conditionalFormatting sqref="D2:D4">
    <cfRule type="duplicateValues" dxfId="5" priority="1"/>
  </conditionalFormatting>
  <conditionalFormatting sqref="D33:D88">
    <cfRule type="containsText" dxfId="4" priority="2" operator="containsText" text="Protect">
      <formula>NOT(ISERROR(SEARCH("Protect",D33)))</formula>
    </cfRule>
    <cfRule type="containsText" dxfId="3" priority="3" operator="containsText" text="Respond">
      <formula>NOT(ISERROR(SEARCH("Respond",D33)))</formula>
    </cfRule>
    <cfRule type="containsText" dxfId="2" priority="4" operator="containsText" text="Detect">
      <formula>NOT(ISERROR(SEARCH("Detect",D33)))</formula>
    </cfRule>
    <cfRule type="containsText" dxfId="1" priority="5" operator="containsText" text="Identify">
      <formula>NOT(ISERROR(SEARCH("Identify",D33)))</formula>
    </cfRule>
    <cfRule type="containsText" dxfId="0" priority="6" operator="containsText" text="Identity">
      <formula>NOT(ISERROR(SEARCH("Identity",D33)))</formula>
    </cfRule>
  </conditionalFormatting>
  <conditionalFormatting sqref="M33:N88">
    <cfRule type="iconSet" priority="12">
      <iconSet showValue="0" reverse="1">
        <cfvo type="percent" val="0"/>
        <cfvo type="num" val="6"/>
        <cfvo type="num" val="6" gte="0"/>
      </iconSet>
    </cfRule>
    <cfRule type="iconSet" priority="13">
      <iconSet showValue="0" reverse="1">
        <cfvo type="percent" val="0"/>
        <cfvo type="num" val="6"/>
        <cfvo type="num" val="15"/>
      </iconSet>
    </cfRule>
    <cfRule type="iconSet" priority="14">
      <iconSet>
        <cfvo type="percent" val="0"/>
        <cfvo type="percent" val="33"/>
        <cfvo type="percent" val="67"/>
      </iconSet>
    </cfRule>
  </conditionalFormatting>
  <dataValidations count="6">
    <dataValidation type="list" allowBlank="1" showInputMessage="1" showErrorMessage="1" sqref="E33:E88" xr:uid="{7997F899-579B-4258-BA6F-FC3CEB05521D}">
      <formula1>Asset_Classes</formula1>
    </dataValidation>
    <dataValidation type="list" allowBlank="1" showInputMessage="1" showErrorMessage="1" sqref="F33:F88 S33:S88" xr:uid="{DC47D85D-F032-4312-8AB4-BA67ACC07831}">
      <formula1>Maturity_Score</formula1>
    </dataValidation>
    <dataValidation type="list" allowBlank="1" showInputMessage="1" showErrorMessage="1" sqref="AB33:AB88" xr:uid="{53DFBD89-0FAA-4246-B145-791F8ADBDD6D}">
      <formula1>"2021,2022,2023,2024,2025,2026,2027,2028,2029,2030,2031"</formula1>
    </dataValidation>
    <dataValidation type="list" allowBlank="1" showInputMessage="1" showErrorMessage="1" sqref="AA33:AA88" xr:uid="{49F104B6-797E-4793-B615-04CC6C8639AD}">
      <formula1>"Q1, Q2, Q3, Q4"</formula1>
    </dataValidation>
    <dataValidation type="list" allowBlank="1" showInputMessage="1" showErrorMessage="1" sqref="C21:E26" xr:uid="{655B2F17-6E47-4CE4-8A49-C57946E372B3}">
      <formula1>"1,2,3"</formula1>
    </dataValidation>
    <dataValidation type="list" allowBlank="1" showInputMessage="1" showErrorMessage="1" sqref="N33:N88" xr:uid="{66691E44-9098-49FB-9672-D391D86426C6}">
      <formula1>"Accept,Reduce"</formula1>
    </dataValidation>
  </dataValidations>
  <pageMargins left="0.7" right="0.7" top="0.75" bottom="0.75" header="0.3" footer="0.3"/>
  <pageSetup orientation="portrait"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4DF1-E07F-4D75-A464-B476FC2DFCC8}">
  <sheetPr codeName="Sheet10">
    <tabColor rgb="FFFF0000"/>
  </sheetPr>
  <dimension ref="B1:R60"/>
  <sheetViews>
    <sheetView showGridLines="0" workbookViewId="0">
      <selection activeCell="B48" sqref="B48"/>
    </sheetView>
  </sheetViews>
  <sheetFormatPr baseColWidth="10" defaultColWidth="9.1640625" defaultRowHeight="13" x14ac:dyDescent="0.15"/>
  <cols>
    <col min="1" max="1" width="4.5" style="2" customWidth="1"/>
    <col min="2" max="2" width="18.6640625" style="17" customWidth="1"/>
    <col min="3" max="3" width="15.5" style="65" customWidth="1"/>
    <col min="4" max="4" width="17.6640625" style="65" customWidth="1"/>
    <col min="5" max="5" width="19.1640625" style="65" customWidth="1"/>
    <col min="6" max="6" width="5.6640625" style="2" customWidth="1"/>
    <col min="7" max="7" width="17.6640625" style="109" customWidth="1"/>
    <col min="8" max="9" width="15.6640625" style="65" customWidth="1"/>
    <col min="10" max="10" width="16.6640625" style="65" customWidth="1"/>
    <col min="11" max="16384" width="9.1640625" style="2"/>
  </cols>
  <sheetData>
    <row r="1" spans="2:18" ht="57" customHeight="1" thickBot="1" x14ac:dyDescent="0.3">
      <c r="B1" s="238" t="s">
        <v>229</v>
      </c>
      <c r="C1" s="239"/>
      <c r="D1" s="239"/>
      <c r="E1" s="239"/>
      <c r="F1" s="239"/>
      <c r="G1" s="239"/>
      <c r="H1" s="239"/>
      <c r="I1" s="239"/>
      <c r="J1" s="240"/>
      <c r="L1" s="108"/>
      <c r="M1" s="108"/>
      <c r="N1" s="108"/>
      <c r="O1" s="108"/>
      <c r="P1" s="108"/>
    </row>
    <row r="2" spans="2:18" ht="14" thickBot="1" x14ac:dyDescent="0.2"/>
    <row r="3" spans="2:18" ht="26.25" customHeight="1" thickBot="1" x14ac:dyDescent="0.2">
      <c r="B3" s="235" t="s">
        <v>336</v>
      </c>
      <c r="C3" s="236"/>
      <c r="D3" s="236"/>
      <c r="E3" s="237"/>
      <c r="G3" s="2"/>
      <c r="H3" s="2"/>
      <c r="I3" s="2"/>
      <c r="J3" s="2"/>
    </row>
    <row r="4" spans="2:18" ht="25.5" customHeight="1" thickTop="1" thickBot="1" x14ac:dyDescent="0.2">
      <c r="B4" s="46" t="s">
        <v>335</v>
      </c>
      <c r="C4" s="107" t="s">
        <v>187</v>
      </c>
      <c r="D4" s="107" t="s">
        <v>188</v>
      </c>
      <c r="E4" s="110" t="s">
        <v>228</v>
      </c>
      <c r="F4" s="8"/>
      <c r="G4" s="241" t="s">
        <v>232</v>
      </c>
      <c r="H4" s="241"/>
      <c r="I4" s="241"/>
      <c r="J4" s="241"/>
      <c r="K4" s="241"/>
      <c r="L4" s="241"/>
      <c r="M4" s="241"/>
      <c r="N4" s="241"/>
      <c r="O4" s="241"/>
      <c r="P4" s="121"/>
      <c r="Q4" s="121"/>
      <c r="R4" s="120"/>
    </row>
    <row r="5" spans="2:18" s="8" customFormat="1" ht="13.5" customHeight="1" thickTop="1" x14ac:dyDescent="0.15">
      <c r="B5" s="43">
        <v>1.1000000000000001</v>
      </c>
      <c r="C5" s="43" t="s">
        <v>193</v>
      </c>
      <c r="D5" s="43" t="str">
        <f>LEFT($C5, 1)</f>
        <v>5</v>
      </c>
      <c r="E5" s="50" t="str">
        <f>D5</f>
        <v>5</v>
      </c>
      <c r="F5" s="2"/>
      <c r="G5" s="241"/>
      <c r="H5" s="241"/>
      <c r="I5" s="241"/>
      <c r="J5" s="241"/>
      <c r="K5" s="241"/>
      <c r="L5" s="241"/>
      <c r="M5" s="241"/>
      <c r="N5" s="241"/>
      <c r="O5" s="241"/>
      <c r="P5" s="121"/>
      <c r="Q5" s="121"/>
      <c r="R5" s="120"/>
    </row>
    <row r="6" spans="2:18" ht="12.75" customHeight="1" x14ac:dyDescent="0.15">
      <c r="B6" s="44">
        <v>1.2</v>
      </c>
      <c r="C6" s="44" t="s">
        <v>198</v>
      </c>
      <c r="D6" s="44" t="str">
        <f t="shared" ref="D6:D60" si="0">LEFT($C6, 1)</f>
        <v>3</v>
      </c>
      <c r="E6" s="48" t="str">
        <f t="shared" ref="E6:E60" si="1">D6</f>
        <v>3</v>
      </c>
      <c r="G6" s="241"/>
      <c r="H6" s="241"/>
      <c r="I6" s="241"/>
      <c r="J6" s="241"/>
      <c r="K6" s="241"/>
      <c r="L6" s="241"/>
      <c r="M6" s="241"/>
      <c r="N6" s="241"/>
      <c r="O6" s="241"/>
      <c r="P6" s="121"/>
      <c r="Q6" s="121"/>
      <c r="R6" s="120"/>
    </row>
    <row r="7" spans="2:18" ht="12.75" customHeight="1" x14ac:dyDescent="0.15">
      <c r="B7" s="43">
        <v>2.1</v>
      </c>
      <c r="C7" s="43" t="s">
        <v>203</v>
      </c>
      <c r="D7" s="43" t="str">
        <f t="shared" si="0"/>
        <v>4</v>
      </c>
      <c r="E7" s="47" t="str">
        <f t="shared" si="1"/>
        <v>4</v>
      </c>
      <c r="G7" s="241"/>
      <c r="H7" s="241"/>
      <c r="I7" s="241"/>
      <c r="J7" s="241"/>
      <c r="K7" s="241"/>
      <c r="L7" s="241"/>
      <c r="M7" s="241"/>
      <c r="N7" s="241"/>
      <c r="O7" s="241"/>
      <c r="P7" s="121"/>
      <c r="Q7" s="121"/>
      <c r="R7" s="120"/>
    </row>
    <row r="8" spans="2:18" ht="12.75" customHeight="1" x14ac:dyDescent="0.15">
      <c r="B8" s="44">
        <v>2.2000000000000002</v>
      </c>
      <c r="C8" s="44" t="s">
        <v>198</v>
      </c>
      <c r="D8" s="44" t="str">
        <f t="shared" si="0"/>
        <v>3</v>
      </c>
      <c r="E8" s="48" t="str">
        <f t="shared" si="1"/>
        <v>3</v>
      </c>
      <c r="G8" s="241"/>
      <c r="H8" s="241"/>
      <c r="I8" s="241"/>
      <c r="J8" s="241"/>
      <c r="K8" s="241"/>
      <c r="L8" s="241"/>
      <c r="M8" s="241"/>
      <c r="N8" s="241"/>
      <c r="O8" s="241"/>
      <c r="P8" s="121"/>
      <c r="Q8" s="121"/>
      <c r="R8" s="120"/>
    </row>
    <row r="9" spans="2:18" ht="12.75" customHeight="1" x14ac:dyDescent="0.15">
      <c r="B9" s="43">
        <v>2.2999999999999998</v>
      </c>
      <c r="C9" s="43" t="s">
        <v>207</v>
      </c>
      <c r="D9" s="43" t="str">
        <f t="shared" si="0"/>
        <v>2</v>
      </c>
      <c r="E9" s="47" t="str">
        <f t="shared" si="1"/>
        <v>2</v>
      </c>
      <c r="G9" s="241"/>
      <c r="H9" s="241"/>
      <c r="I9" s="241"/>
      <c r="J9" s="241"/>
      <c r="K9" s="241"/>
      <c r="L9" s="241"/>
      <c r="M9" s="241"/>
      <c r="N9" s="241"/>
      <c r="O9" s="241"/>
      <c r="P9" s="121"/>
      <c r="Q9" s="121"/>
      <c r="R9" s="120"/>
    </row>
    <row r="10" spans="2:18" ht="12.75" customHeight="1" x14ac:dyDescent="0.15">
      <c r="B10" s="44">
        <v>3.1</v>
      </c>
      <c r="C10" s="44" t="s">
        <v>203</v>
      </c>
      <c r="D10" s="44" t="str">
        <f t="shared" si="0"/>
        <v>4</v>
      </c>
      <c r="E10" s="48" t="str">
        <f t="shared" si="1"/>
        <v>4</v>
      </c>
      <c r="G10" s="241"/>
      <c r="H10" s="241"/>
      <c r="I10" s="241"/>
      <c r="J10" s="241"/>
      <c r="K10" s="241"/>
      <c r="L10" s="241"/>
      <c r="M10" s="241"/>
      <c r="N10" s="241"/>
      <c r="O10" s="241"/>
      <c r="P10" s="121"/>
      <c r="Q10" s="121"/>
      <c r="R10" s="120"/>
    </row>
    <row r="11" spans="2:18" ht="12.75" customHeight="1" x14ac:dyDescent="0.15">
      <c r="B11" s="43">
        <v>3.2</v>
      </c>
      <c r="C11" s="43" t="s">
        <v>203</v>
      </c>
      <c r="D11" s="43" t="str">
        <f t="shared" si="0"/>
        <v>4</v>
      </c>
      <c r="E11" s="47" t="str">
        <f t="shared" si="1"/>
        <v>4</v>
      </c>
      <c r="G11" s="241"/>
      <c r="H11" s="241"/>
      <c r="I11" s="241"/>
      <c r="J11" s="241"/>
      <c r="K11" s="241"/>
      <c r="L11" s="241"/>
      <c r="M11" s="241"/>
      <c r="N11" s="241"/>
      <c r="O11" s="241"/>
      <c r="P11" s="121"/>
      <c r="Q11" s="121"/>
      <c r="R11" s="120"/>
    </row>
    <row r="12" spans="2:18" ht="12.75" customHeight="1" x14ac:dyDescent="0.15">
      <c r="B12" s="44">
        <v>3.3</v>
      </c>
      <c r="C12" s="44" t="s">
        <v>207</v>
      </c>
      <c r="D12" s="44" t="str">
        <f t="shared" si="0"/>
        <v>2</v>
      </c>
      <c r="E12" s="48" t="str">
        <f t="shared" si="1"/>
        <v>2</v>
      </c>
      <c r="G12" s="241"/>
      <c r="H12" s="241"/>
      <c r="I12" s="241"/>
      <c r="J12" s="241"/>
      <c r="K12" s="241"/>
      <c r="L12" s="241"/>
      <c r="M12" s="241"/>
      <c r="N12" s="241"/>
      <c r="O12" s="241"/>
      <c r="P12" s="121"/>
      <c r="Q12" s="121"/>
      <c r="R12" s="120"/>
    </row>
    <row r="13" spans="2:18" ht="12.75" customHeight="1" x14ac:dyDescent="0.15">
      <c r="B13" s="43">
        <v>3.4</v>
      </c>
      <c r="C13" s="43" t="s">
        <v>207</v>
      </c>
      <c r="D13" s="43" t="str">
        <f t="shared" si="0"/>
        <v>2</v>
      </c>
      <c r="E13" s="47" t="str">
        <f t="shared" si="1"/>
        <v>2</v>
      </c>
      <c r="G13" s="241"/>
      <c r="H13" s="241"/>
      <c r="I13" s="241"/>
      <c r="J13" s="241"/>
      <c r="K13" s="241"/>
      <c r="L13" s="241"/>
      <c r="M13" s="241"/>
      <c r="N13" s="241"/>
      <c r="O13" s="241"/>
      <c r="P13" s="121"/>
      <c r="Q13" s="121"/>
      <c r="R13" s="120"/>
    </row>
    <row r="14" spans="2:18" ht="12.75" customHeight="1" x14ac:dyDescent="0.15">
      <c r="B14" s="44">
        <v>3.5</v>
      </c>
      <c r="C14" s="44" t="s">
        <v>193</v>
      </c>
      <c r="D14" s="44" t="str">
        <f t="shared" si="0"/>
        <v>5</v>
      </c>
      <c r="E14" s="48" t="str">
        <f t="shared" si="1"/>
        <v>5</v>
      </c>
      <c r="G14" s="241"/>
      <c r="H14" s="241"/>
      <c r="I14" s="241"/>
      <c r="J14" s="241"/>
      <c r="K14" s="241"/>
      <c r="L14" s="241"/>
      <c r="M14" s="241"/>
      <c r="N14" s="241"/>
      <c r="O14" s="241"/>
      <c r="P14" s="121"/>
      <c r="Q14" s="121"/>
      <c r="R14" s="120"/>
    </row>
    <row r="15" spans="2:18" ht="12.75" customHeight="1" x14ac:dyDescent="0.15">
      <c r="B15" s="43">
        <v>3.6</v>
      </c>
      <c r="C15" s="43" t="s">
        <v>207</v>
      </c>
      <c r="D15" s="43" t="str">
        <f t="shared" si="0"/>
        <v>2</v>
      </c>
      <c r="E15" s="47" t="str">
        <f t="shared" si="1"/>
        <v>2</v>
      </c>
      <c r="G15" s="121"/>
      <c r="H15" s="121"/>
      <c r="I15" s="121"/>
      <c r="J15" s="121"/>
      <c r="K15" s="121"/>
      <c r="L15" s="121"/>
      <c r="M15" s="121"/>
      <c r="N15" s="121"/>
      <c r="O15" s="121"/>
      <c r="P15" s="121"/>
      <c r="Q15" s="121"/>
      <c r="R15" s="120"/>
    </row>
    <row r="16" spans="2:18" ht="12.75" customHeight="1" x14ac:dyDescent="0.15">
      <c r="B16" s="44">
        <v>4.0999999999999996</v>
      </c>
      <c r="C16" s="44"/>
      <c r="D16" s="44" t="str">
        <f t="shared" si="0"/>
        <v/>
      </c>
      <c r="E16" s="48" t="str">
        <f t="shared" si="1"/>
        <v/>
      </c>
      <c r="G16" s="121"/>
      <c r="H16" s="121"/>
      <c r="I16" s="121"/>
      <c r="J16" s="121"/>
      <c r="K16" s="121"/>
      <c r="L16" s="121"/>
      <c r="M16" s="121"/>
      <c r="N16" s="121"/>
      <c r="O16" s="121"/>
      <c r="P16" s="121"/>
      <c r="Q16" s="121"/>
      <c r="R16" s="120"/>
    </row>
    <row r="17" spans="2:18" ht="12.75" customHeight="1" x14ac:dyDescent="0.15">
      <c r="B17" s="43">
        <v>4.2</v>
      </c>
      <c r="C17" s="43" t="s">
        <v>211</v>
      </c>
      <c r="D17" s="43" t="str">
        <f t="shared" si="0"/>
        <v>N</v>
      </c>
      <c r="E17" s="47" t="str">
        <f t="shared" si="1"/>
        <v>N</v>
      </c>
      <c r="G17" s="121"/>
      <c r="H17" s="121"/>
      <c r="I17" s="121"/>
      <c r="J17" s="121"/>
      <c r="K17" s="121"/>
      <c r="L17" s="121"/>
      <c r="M17" s="121"/>
      <c r="N17" s="121"/>
      <c r="O17" s="121"/>
      <c r="P17" s="121"/>
      <c r="Q17" s="121"/>
      <c r="R17" s="120"/>
    </row>
    <row r="18" spans="2:18" ht="12.75" customHeight="1" x14ac:dyDescent="0.15">
      <c r="B18" s="44">
        <v>4.3</v>
      </c>
      <c r="C18" s="44"/>
      <c r="D18" s="44" t="str">
        <f t="shared" si="0"/>
        <v/>
      </c>
      <c r="E18" s="48" t="str">
        <f t="shared" si="1"/>
        <v/>
      </c>
      <c r="G18" s="121"/>
      <c r="H18" s="121"/>
      <c r="I18" s="121"/>
      <c r="J18" s="121"/>
      <c r="K18" s="121"/>
      <c r="L18" s="121"/>
      <c r="M18" s="121"/>
      <c r="N18" s="121"/>
      <c r="O18" s="121"/>
      <c r="P18" s="121"/>
      <c r="Q18" s="121"/>
      <c r="R18" s="120"/>
    </row>
    <row r="19" spans="2:18" ht="12.75" customHeight="1" x14ac:dyDescent="0.15">
      <c r="B19" s="43">
        <v>4.4000000000000004</v>
      </c>
      <c r="C19" s="43" t="s">
        <v>215</v>
      </c>
      <c r="D19" s="43" t="str">
        <f t="shared" si="0"/>
        <v>N</v>
      </c>
      <c r="E19" s="47" t="str">
        <f t="shared" si="1"/>
        <v>N</v>
      </c>
      <c r="G19" s="121"/>
      <c r="H19" s="121"/>
      <c r="I19" s="121"/>
      <c r="J19" s="121"/>
      <c r="K19" s="121"/>
      <c r="L19" s="121"/>
      <c r="M19" s="121"/>
      <c r="N19" s="121"/>
      <c r="O19" s="121"/>
      <c r="P19" s="121"/>
      <c r="Q19" s="121"/>
      <c r="R19" s="120"/>
    </row>
    <row r="20" spans="2:18" ht="12.75" customHeight="1" x14ac:dyDescent="0.15">
      <c r="B20" s="44">
        <v>4.5</v>
      </c>
      <c r="C20" s="44"/>
      <c r="D20" s="44" t="str">
        <f t="shared" si="0"/>
        <v/>
      </c>
      <c r="E20" s="48" t="str">
        <f t="shared" si="1"/>
        <v/>
      </c>
      <c r="G20" s="121"/>
      <c r="H20" s="121"/>
      <c r="I20" s="121"/>
      <c r="J20" s="121"/>
      <c r="K20" s="121"/>
      <c r="L20" s="121"/>
      <c r="M20" s="121"/>
      <c r="N20" s="121"/>
      <c r="O20" s="121"/>
      <c r="P20" s="121"/>
      <c r="Q20" s="121"/>
      <c r="R20" s="120"/>
    </row>
    <row r="21" spans="2:18" ht="12.75" customHeight="1" x14ac:dyDescent="0.15">
      <c r="B21" s="43">
        <v>4.5999999999999996</v>
      </c>
      <c r="C21" s="43"/>
      <c r="D21" s="43" t="str">
        <f t="shared" si="0"/>
        <v/>
      </c>
      <c r="E21" s="47" t="str">
        <f t="shared" si="1"/>
        <v/>
      </c>
      <c r="G21" s="121"/>
      <c r="H21" s="121"/>
      <c r="I21" s="121"/>
      <c r="J21" s="121"/>
      <c r="K21" s="121"/>
      <c r="L21" s="121"/>
      <c r="M21" s="121"/>
      <c r="N21" s="121"/>
      <c r="O21" s="121"/>
      <c r="P21" s="121"/>
      <c r="Q21" s="121"/>
      <c r="R21" s="120"/>
    </row>
    <row r="22" spans="2:18" ht="12.75" customHeight="1" x14ac:dyDescent="0.15">
      <c r="B22" s="44">
        <v>4.7</v>
      </c>
      <c r="C22" s="44"/>
      <c r="D22" s="44" t="str">
        <f t="shared" si="0"/>
        <v/>
      </c>
      <c r="E22" s="48" t="str">
        <f t="shared" si="1"/>
        <v/>
      </c>
      <c r="G22" s="120"/>
      <c r="H22" s="120"/>
      <c r="I22" s="120"/>
      <c r="J22" s="120"/>
      <c r="K22" s="120"/>
      <c r="L22" s="120"/>
      <c r="M22" s="120"/>
      <c r="N22" s="120"/>
      <c r="O22" s="120"/>
      <c r="P22" s="120"/>
      <c r="Q22" s="120"/>
      <c r="R22" s="120"/>
    </row>
    <row r="23" spans="2:18" ht="12.75" customHeight="1" x14ac:dyDescent="0.15">
      <c r="B23" s="43">
        <v>5.0999999999999996</v>
      </c>
      <c r="C23" s="43"/>
      <c r="D23" s="43" t="str">
        <f t="shared" si="0"/>
        <v/>
      </c>
      <c r="E23" s="47" t="str">
        <f t="shared" si="1"/>
        <v/>
      </c>
      <c r="G23" s="120"/>
      <c r="H23" s="120"/>
      <c r="I23" s="120"/>
      <c r="J23" s="120"/>
      <c r="K23" s="120"/>
      <c r="L23" s="120"/>
      <c r="M23" s="120"/>
      <c r="N23" s="120"/>
      <c r="O23" s="120"/>
      <c r="P23" s="120"/>
      <c r="Q23" s="120"/>
      <c r="R23" s="120"/>
    </row>
    <row r="24" spans="2:18" ht="12.75" customHeight="1" x14ac:dyDescent="0.15">
      <c r="B24" s="44">
        <v>5.2</v>
      </c>
      <c r="C24" s="44"/>
      <c r="D24" s="44" t="str">
        <f t="shared" si="0"/>
        <v/>
      </c>
      <c r="E24" s="48" t="str">
        <f t="shared" si="1"/>
        <v/>
      </c>
      <c r="G24" s="120"/>
      <c r="H24" s="120"/>
      <c r="I24" s="120"/>
      <c r="J24" s="120"/>
      <c r="K24" s="120"/>
      <c r="L24" s="120"/>
      <c r="M24" s="120"/>
      <c r="N24" s="120"/>
      <c r="O24" s="120"/>
      <c r="P24" s="120"/>
      <c r="Q24" s="120"/>
      <c r="R24" s="120"/>
    </row>
    <row r="25" spans="2:18" ht="12.75" customHeight="1" x14ac:dyDescent="0.15">
      <c r="B25" s="43">
        <v>5.3</v>
      </c>
      <c r="C25" s="43"/>
      <c r="D25" s="43" t="str">
        <f t="shared" si="0"/>
        <v/>
      </c>
      <c r="E25" s="47" t="str">
        <f t="shared" si="1"/>
        <v/>
      </c>
      <c r="G25" s="120"/>
      <c r="H25" s="120"/>
      <c r="I25" s="120"/>
      <c r="J25" s="120"/>
      <c r="K25" s="120"/>
      <c r="L25" s="120"/>
      <c r="M25" s="120"/>
      <c r="N25" s="120"/>
      <c r="O25" s="120"/>
      <c r="P25" s="120"/>
      <c r="Q25" s="120"/>
      <c r="R25" s="120"/>
    </row>
    <row r="26" spans="2:18" ht="12.75" customHeight="1" x14ac:dyDescent="0.15">
      <c r="B26" s="44">
        <v>5.4</v>
      </c>
      <c r="C26" s="44"/>
      <c r="D26" s="44" t="str">
        <f t="shared" si="0"/>
        <v/>
      </c>
      <c r="E26" s="48" t="str">
        <f t="shared" si="1"/>
        <v/>
      </c>
      <c r="G26" s="120"/>
      <c r="H26" s="120"/>
      <c r="I26" s="120"/>
      <c r="J26" s="120"/>
      <c r="K26" s="120"/>
      <c r="L26" s="120"/>
      <c r="M26" s="120"/>
      <c r="N26" s="120"/>
      <c r="O26" s="120"/>
      <c r="P26" s="120"/>
      <c r="Q26" s="120"/>
      <c r="R26" s="120"/>
    </row>
    <row r="27" spans="2:18" ht="14" x14ac:dyDescent="0.15">
      <c r="B27" s="43">
        <v>6.1</v>
      </c>
      <c r="C27" s="43"/>
      <c r="D27" s="43" t="str">
        <f t="shared" si="0"/>
        <v/>
      </c>
      <c r="E27" s="47" t="str">
        <f t="shared" si="1"/>
        <v/>
      </c>
      <c r="G27" s="2"/>
      <c r="H27" s="2"/>
      <c r="I27" s="2"/>
      <c r="J27" s="2"/>
    </row>
    <row r="28" spans="2:18" ht="14" x14ac:dyDescent="0.15">
      <c r="B28" s="44">
        <v>6.2</v>
      </c>
      <c r="C28" s="44"/>
      <c r="D28" s="44" t="str">
        <f t="shared" si="0"/>
        <v/>
      </c>
      <c r="E28" s="48" t="str">
        <f t="shared" si="1"/>
        <v/>
      </c>
      <c r="G28" s="2"/>
      <c r="H28" s="2"/>
      <c r="I28" s="2"/>
      <c r="J28" s="2"/>
    </row>
    <row r="29" spans="2:18" ht="14" x14ac:dyDescent="0.15">
      <c r="B29" s="43">
        <v>6.3</v>
      </c>
      <c r="C29" s="43"/>
      <c r="D29" s="43" t="str">
        <f t="shared" si="0"/>
        <v/>
      </c>
      <c r="E29" s="47" t="str">
        <f t="shared" si="1"/>
        <v/>
      </c>
      <c r="G29" s="2"/>
      <c r="H29" s="2"/>
      <c r="I29" s="2"/>
      <c r="J29" s="2"/>
    </row>
    <row r="30" spans="2:18" ht="14" x14ac:dyDescent="0.15">
      <c r="B30" s="44">
        <v>6.4</v>
      </c>
      <c r="C30" s="44"/>
      <c r="D30" s="44" t="str">
        <f t="shared" si="0"/>
        <v/>
      </c>
      <c r="E30" s="48" t="str">
        <f t="shared" si="1"/>
        <v/>
      </c>
      <c r="G30" s="2"/>
      <c r="H30" s="2"/>
      <c r="I30" s="2"/>
      <c r="J30" s="2"/>
    </row>
    <row r="31" spans="2:18" ht="14" x14ac:dyDescent="0.15">
      <c r="B31" s="43">
        <v>6.5</v>
      </c>
      <c r="C31" s="43"/>
      <c r="D31" s="43" t="str">
        <f t="shared" si="0"/>
        <v/>
      </c>
      <c r="E31" s="47" t="str">
        <f t="shared" si="1"/>
        <v/>
      </c>
      <c r="G31" s="2"/>
      <c r="H31" s="2"/>
      <c r="I31" s="2"/>
      <c r="J31" s="2"/>
    </row>
    <row r="32" spans="2:18" ht="14" x14ac:dyDescent="0.15">
      <c r="B32" s="44">
        <v>7.1</v>
      </c>
      <c r="C32" s="44"/>
      <c r="D32" s="44" t="str">
        <f t="shared" si="0"/>
        <v/>
      </c>
      <c r="E32" s="48" t="str">
        <f t="shared" si="1"/>
        <v/>
      </c>
      <c r="G32" s="2"/>
      <c r="H32" s="2"/>
      <c r="I32" s="2"/>
      <c r="J32" s="2"/>
    </row>
    <row r="33" spans="2:10" ht="14" x14ac:dyDescent="0.15">
      <c r="B33" s="43">
        <v>7.2</v>
      </c>
      <c r="C33" s="43"/>
      <c r="D33" s="43" t="str">
        <f t="shared" si="0"/>
        <v/>
      </c>
      <c r="E33" s="47" t="str">
        <f t="shared" si="1"/>
        <v/>
      </c>
      <c r="G33" s="2"/>
      <c r="H33" s="2"/>
      <c r="I33" s="2"/>
      <c r="J33" s="2"/>
    </row>
    <row r="34" spans="2:10" ht="14" x14ac:dyDescent="0.15">
      <c r="B34" s="44">
        <v>7.3</v>
      </c>
      <c r="C34" s="44"/>
      <c r="D34" s="44" t="str">
        <f t="shared" si="0"/>
        <v/>
      </c>
      <c r="E34" s="48" t="str">
        <f t="shared" si="1"/>
        <v/>
      </c>
      <c r="G34" s="2"/>
      <c r="H34" s="2"/>
      <c r="I34" s="2"/>
      <c r="J34" s="2"/>
    </row>
    <row r="35" spans="2:10" ht="14" x14ac:dyDescent="0.15">
      <c r="B35" s="43">
        <v>7.4</v>
      </c>
      <c r="C35" s="43"/>
      <c r="D35" s="43" t="str">
        <f t="shared" si="0"/>
        <v/>
      </c>
      <c r="E35" s="47" t="str">
        <f t="shared" si="1"/>
        <v/>
      </c>
      <c r="G35" s="2"/>
      <c r="H35" s="2"/>
      <c r="I35" s="2"/>
      <c r="J35" s="2"/>
    </row>
    <row r="36" spans="2:10" ht="14" x14ac:dyDescent="0.15">
      <c r="B36" s="44">
        <v>8.1</v>
      </c>
      <c r="C36" s="44"/>
      <c r="D36" s="44" t="str">
        <f t="shared" si="0"/>
        <v/>
      </c>
      <c r="E36" s="48" t="str">
        <f t="shared" si="1"/>
        <v/>
      </c>
      <c r="G36" s="2"/>
      <c r="H36" s="2"/>
      <c r="I36" s="2"/>
      <c r="J36" s="2"/>
    </row>
    <row r="37" spans="2:10" ht="14" x14ac:dyDescent="0.15">
      <c r="B37" s="43">
        <v>8.1999999999999993</v>
      </c>
      <c r="C37" s="43"/>
      <c r="D37" s="43" t="str">
        <f t="shared" si="0"/>
        <v/>
      </c>
      <c r="E37" s="47" t="str">
        <f t="shared" si="1"/>
        <v/>
      </c>
      <c r="G37" s="2"/>
      <c r="H37" s="2"/>
      <c r="I37" s="2"/>
      <c r="J37" s="2"/>
    </row>
    <row r="38" spans="2:10" ht="14" x14ac:dyDescent="0.15">
      <c r="B38" s="44">
        <v>8.3000000000000007</v>
      </c>
      <c r="C38" s="44"/>
      <c r="D38" s="44" t="str">
        <f t="shared" si="0"/>
        <v/>
      </c>
      <c r="E38" s="48" t="str">
        <f t="shared" si="1"/>
        <v/>
      </c>
      <c r="G38" s="2"/>
      <c r="H38" s="2"/>
      <c r="I38" s="2"/>
      <c r="J38" s="2"/>
    </row>
    <row r="39" spans="2:10" ht="14" x14ac:dyDescent="0.15">
      <c r="B39" s="43">
        <v>9.1</v>
      </c>
      <c r="C39" s="43" t="s">
        <v>193</v>
      </c>
      <c r="D39" s="43" t="str">
        <f t="shared" si="0"/>
        <v>5</v>
      </c>
      <c r="E39" s="47" t="str">
        <f t="shared" si="1"/>
        <v>5</v>
      </c>
      <c r="G39" s="2"/>
      <c r="H39" s="2"/>
      <c r="I39" s="2"/>
      <c r="J39" s="2"/>
    </row>
    <row r="40" spans="2:10" ht="14" x14ac:dyDescent="0.15">
      <c r="B40" s="44">
        <v>9.1999999999999993</v>
      </c>
      <c r="C40" s="44"/>
      <c r="D40" s="44" t="str">
        <f t="shared" si="0"/>
        <v/>
      </c>
      <c r="E40" s="48" t="str">
        <f t="shared" si="1"/>
        <v/>
      </c>
      <c r="G40" s="2"/>
      <c r="H40" s="2"/>
      <c r="I40" s="2"/>
      <c r="J40" s="2"/>
    </row>
    <row r="41" spans="2:10" ht="14" x14ac:dyDescent="0.15">
      <c r="B41" s="43">
        <v>10.1</v>
      </c>
      <c r="C41" s="43"/>
      <c r="D41" s="43" t="str">
        <f t="shared" si="0"/>
        <v/>
      </c>
      <c r="E41" s="47" t="str">
        <f t="shared" si="1"/>
        <v/>
      </c>
      <c r="G41" s="2"/>
      <c r="H41" s="2"/>
      <c r="I41" s="2"/>
      <c r="J41" s="2"/>
    </row>
    <row r="42" spans="2:10" ht="14" x14ac:dyDescent="0.15">
      <c r="B42" s="44">
        <v>10.199999999999999</v>
      </c>
      <c r="C42" s="44"/>
      <c r="D42" s="44" t="str">
        <f t="shared" si="0"/>
        <v/>
      </c>
      <c r="E42" s="48" t="str">
        <f t="shared" si="1"/>
        <v/>
      </c>
      <c r="G42" s="2"/>
      <c r="H42" s="2"/>
      <c r="I42" s="2"/>
      <c r="J42" s="2"/>
    </row>
    <row r="43" spans="2:10" ht="14" x14ac:dyDescent="0.15">
      <c r="B43" s="43">
        <v>10.3</v>
      </c>
      <c r="C43" s="43"/>
      <c r="D43" s="43" t="str">
        <f t="shared" si="0"/>
        <v/>
      </c>
      <c r="E43" s="47" t="str">
        <f t="shared" si="1"/>
        <v/>
      </c>
      <c r="G43" s="2"/>
      <c r="H43" s="2"/>
      <c r="I43" s="2"/>
      <c r="J43" s="2"/>
    </row>
    <row r="44" spans="2:10" ht="14" x14ac:dyDescent="0.15">
      <c r="B44" s="44">
        <v>11.1</v>
      </c>
      <c r="C44" s="44" t="s">
        <v>193</v>
      </c>
      <c r="D44" s="44" t="str">
        <f t="shared" si="0"/>
        <v>5</v>
      </c>
      <c r="E44" s="48" t="str">
        <f t="shared" si="1"/>
        <v>5</v>
      </c>
      <c r="G44" s="2"/>
      <c r="H44" s="2"/>
      <c r="I44" s="2"/>
      <c r="J44" s="2"/>
    </row>
    <row r="45" spans="2:10" ht="14" x14ac:dyDescent="0.15">
      <c r="B45" s="43">
        <v>11.2</v>
      </c>
      <c r="C45" s="43"/>
      <c r="D45" s="43" t="str">
        <f t="shared" si="0"/>
        <v/>
      </c>
      <c r="E45" s="47" t="str">
        <f t="shared" si="1"/>
        <v/>
      </c>
      <c r="G45" s="2"/>
      <c r="H45" s="2"/>
      <c r="I45" s="2"/>
      <c r="J45" s="2"/>
    </row>
    <row r="46" spans="2:10" ht="14" x14ac:dyDescent="0.15">
      <c r="B46" s="44">
        <v>11.3</v>
      </c>
      <c r="C46" s="44" t="s">
        <v>198</v>
      </c>
      <c r="D46" s="44" t="str">
        <f t="shared" si="0"/>
        <v>3</v>
      </c>
      <c r="E46" s="48" t="str">
        <f t="shared" si="1"/>
        <v>3</v>
      </c>
      <c r="G46" s="2"/>
      <c r="H46" s="2"/>
      <c r="I46" s="2"/>
      <c r="J46" s="2"/>
    </row>
    <row r="47" spans="2:10" ht="14" x14ac:dyDescent="0.15">
      <c r="B47" s="43">
        <v>11.4</v>
      </c>
      <c r="C47" s="43" t="s">
        <v>198</v>
      </c>
      <c r="D47" s="43" t="str">
        <f t="shared" si="0"/>
        <v>3</v>
      </c>
      <c r="E47" s="47" t="str">
        <f t="shared" si="1"/>
        <v>3</v>
      </c>
      <c r="G47" s="2"/>
      <c r="H47" s="2"/>
      <c r="I47" s="2"/>
      <c r="J47" s="2"/>
    </row>
    <row r="48" spans="2:10" ht="14" x14ac:dyDescent="0.15">
      <c r="B48" s="44">
        <v>12.1</v>
      </c>
      <c r="C48" s="44" t="s">
        <v>207</v>
      </c>
      <c r="D48" s="44" t="str">
        <f t="shared" si="0"/>
        <v>2</v>
      </c>
      <c r="E48" s="48" t="str">
        <f t="shared" si="1"/>
        <v>2</v>
      </c>
      <c r="G48" s="2"/>
      <c r="H48" s="2"/>
      <c r="I48" s="2"/>
      <c r="J48" s="2"/>
    </row>
    <row r="49" spans="2:10" ht="14" x14ac:dyDescent="0.15">
      <c r="B49" s="43">
        <v>14.1</v>
      </c>
      <c r="C49" s="43" t="s">
        <v>203</v>
      </c>
      <c r="D49" s="43" t="str">
        <f t="shared" si="0"/>
        <v>4</v>
      </c>
      <c r="E49" s="47" t="str">
        <f t="shared" si="1"/>
        <v>4</v>
      </c>
      <c r="G49" s="2"/>
      <c r="H49" s="2"/>
      <c r="I49" s="2"/>
      <c r="J49" s="2"/>
    </row>
    <row r="50" spans="2:10" ht="14" x14ac:dyDescent="0.15">
      <c r="B50" s="44">
        <v>14.2</v>
      </c>
      <c r="C50" s="44" t="s">
        <v>203</v>
      </c>
      <c r="D50" s="44" t="str">
        <f t="shared" si="0"/>
        <v>4</v>
      </c>
      <c r="E50" s="48" t="str">
        <f t="shared" si="1"/>
        <v>4</v>
      </c>
      <c r="G50" s="2"/>
      <c r="H50" s="2"/>
      <c r="I50" s="2"/>
      <c r="J50" s="2"/>
    </row>
    <row r="51" spans="2:10" ht="14" x14ac:dyDescent="0.15">
      <c r="B51" s="43">
        <v>14.3</v>
      </c>
      <c r="C51" s="43" t="s">
        <v>207</v>
      </c>
      <c r="D51" s="43" t="str">
        <f t="shared" si="0"/>
        <v>2</v>
      </c>
      <c r="E51" s="47" t="str">
        <f t="shared" si="1"/>
        <v>2</v>
      </c>
      <c r="G51" s="2"/>
      <c r="H51" s="2"/>
      <c r="I51" s="2"/>
      <c r="J51" s="2"/>
    </row>
    <row r="52" spans="2:10" ht="14" x14ac:dyDescent="0.15">
      <c r="B52" s="44">
        <v>14.4</v>
      </c>
      <c r="C52" s="44" t="s">
        <v>207</v>
      </c>
      <c r="D52" s="44" t="str">
        <f t="shared" si="0"/>
        <v>2</v>
      </c>
      <c r="E52" s="48" t="str">
        <f t="shared" si="1"/>
        <v>2</v>
      </c>
      <c r="G52" s="2"/>
      <c r="H52" s="2"/>
      <c r="I52" s="2"/>
      <c r="J52" s="2"/>
    </row>
    <row r="53" spans="2:10" ht="14" x14ac:dyDescent="0.15">
      <c r="B53" s="43">
        <v>14.5</v>
      </c>
      <c r="C53" s="43" t="s">
        <v>193</v>
      </c>
      <c r="D53" s="43" t="str">
        <f t="shared" si="0"/>
        <v>5</v>
      </c>
      <c r="E53" s="47" t="str">
        <f t="shared" si="1"/>
        <v>5</v>
      </c>
      <c r="G53" s="2"/>
      <c r="H53" s="2"/>
      <c r="I53" s="2"/>
      <c r="J53" s="2"/>
    </row>
    <row r="54" spans="2:10" ht="14" x14ac:dyDescent="0.15">
      <c r="B54" s="44">
        <v>14.6</v>
      </c>
      <c r="C54" s="44" t="s">
        <v>203</v>
      </c>
      <c r="D54" s="44" t="str">
        <f t="shared" si="0"/>
        <v>4</v>
      </c>
      <c r="E54" s="48" t="str">
        <f t="shared" ref="E54:E57" si="2">D54</f>
        <v>4</v>
      </c>
      <c r="G54" s="2"/>
      <c r="H54" s="2"/>
      <c r="I54" s="2"/>
      <c r="J54" s="2"/>
    </row>
    <row r="55" spans="2:10" ht="14" x14ac:dyDescent="0.15">
      <c r="B55" s="43">
        <v>14.7</v>
      </c>
      <c r="C55" s="43" t="s">
        <v>207</v>
      </c>
      <c r="D55" s="43" t="str">
        <f t="shared" si="0"/>
        <v>2</v>
      </c>
      <c r="E55" s="47" t="str">
        <f t="shared" si="2"/>
        <v>2</v>
      </c>
      <c r="G55" s="2"/>
      <c r="H55" s="2"/>
      <c r="I55" s="2"/>
      <c r="J55" s="2"/>
    </row>
    <row r="56" spans="2:10" ht="14" x14ac:dyDescent="0.15">
      <c r="B56" s="44">
        <v>14.8</v>
      </c>
      <c r="C56" s="44" t="s">
        <v>207</v>
      </c>
      <c r="D56" s="44" t="str">
        <f t="shared" si="0"/>
        <v>2</v>
      </c>
      <c r="E56" s="48" t="str">
        <f t="shared" si="2"/>
        <v>2</v>
      </c>
      <c r="G56" s="2"/>
      <c r="H56" s="2"/>
      <c r="I56" s="2"/>
      <c r="J56" s="2"/>
    </row>
    <row r="57" spans="2:10" ht="14" x14ac:dyDescent="0.15">
      <c r="B57" s="43">
        <v>15.1</v>
      </c>
      <c r="C57" s="43" t="s">
        <v>193</v>
      </c>
      <c r="D57" s="43" t="str">
        <f t="shared" si="0"/>
        <v>5</v>
      </c>
      <c r="E57" s="47" t="str">
        <f t="shared" si="2"/>
        <v>5</v>
      </c>
      <c r="G57" s="2"/>
      <c r="H57" s="2"/>
      <c r="I57" s="2"/>
      <c r="J57" s="2"/>
    </row>
    <row r="58" spans="2:10" ht="14" x14ac:dyDescent="0.15">
      <c r="B58" s="44">
        <v>17.100000000000001</v>
      </c>
      <c r="C58" s="44"/>
      <c r="D58" s="44" t="str">
        <f t="shared" si="0"/>
        <v/>
      </c>
      <c r="E58" s="48" t="str">
        <f t="shared" si="1"/>
        <v/>
      </c>
      <c r="G58" s="2"/>
      <c r="H58" s="2"/>
      <c r="I58" s="2"/>
      <c r="J58" s="2"/>
    </row>
    <row r="59" spans="2:10" ht="14" x14ac:dyDescent="0.15">
      <c r="B59" s="43">
        <v>17.2</v>
      </c>
      <c r="C59" s="43"/>
      <c r="D59" s="43" t="str">
        <f t="shared" si="0"/>
        <v/>
      </c>
      <c r="E59" s="47" t="str">
        <f t="shared" si="1"/>
        <v/>
      </c>
      <c r="G59" s="2"/>
      <c r="H59" s="2"/>
      <c r="I59" s="2"/>
      <c r="J59" s="2"/>
    </row>
    <row r="60" spans="2:10" ht="15" thickBot="1" x14ac:dyDescent="0.2">
      <c r="B60" s="45">
        <v>17.3</v>
      </c>
      <c r="C60" s="45"/>
      <c r="D60" s="45" t="str">
        <f t="shared" si="0"/>
        <v/>
      </c>
      <c r="E60" s="49" t="str">
        <f t="shared" si="1"/>
        <v/>
      </c>
      <c r="G60" s="2"/>
      <c r="H60" s="2"/>
      <c r="I60" s="2"/>
      <c r="J60" s="2"/>
    </row>
  </sheetData>
  <sheetProtection sheet="1" objects="1" scenarios="1"/>
  <mergeCells count="3">
    <mergeCell ref="B3:E3"/>
    <mergeCell ref="B1:J1"/>
    <mergeCell ref="G4:O1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2799-EC7E-416B-9FDA-448DADB2F2DE}">
  <sheetPr codeName="Sheet11">
    <tabColor rgb="FFFF0000"/>
  </sheetPr>
  <dimension ref="B1:O69"/>
  <sheetViews>
    <sheetView showGridLines="0" workbookViewId="0">
      <selection activeCell="B1" sqref="B1:L1"/>
    </sheetView>
  </sheetViews>
  <sheetFormatPr baseColWidth="10" defaultColWidth="9.1640625" defaultRowHeight="13" x14ac:dyDescent="0.15"/>
  <cols>
    <col min="1" max="1" width="9.1640625" style="2"/>
    <col min="2" max="2" width="19" style="17" customWidth="1"/>
    <col min="3" max="3" width="23.1640625" style="2" bestFit="1" customWidth="1"/>
    <col min="4" max="4" width="29.6640625" style="2" bestFit="1" customWidth="1"/>
    <col min="5" max="5" width="27.5" style="2" bestFit="1" customWidth="1"/>
    <col min="6" max="6" width="25.6640625" style="2" bestFit="1" customWidth="1"/>
    <col min="7" max="7" width="18.1640625" style="2" customWidth="1"/>
    <col min="8" max="8" width="20.5" style="2" bestFit="1" customWidth="1"/>
    <col min="9" max="9" width="18.33203125" style="2" bestFit="1" customWidth="1"/>
    <col min="10" max="10" width="16.5" style="2" bestFit="1" customWidth="1"/>
    <col min="11" max="11" width="22" style="2" bestFit="1" customWidth="1"/>
    <col min="12" max="12" width="22" style="2" customWidth="1"/>
    <col min="13" max="13" width="9.1640625" style="2"/>
    <col min="14" max="14" width="25" style="65" customWidth="1"/>
    <col min="15" max="15" width="23.1640625" style="2" bestFit="1" customWidth="1"/>
    <col min="16" max="16" width="29.6640625" style="2" bestFit="1" customWidth="1"/>
    <col min="17" max="17" width="27.5" style="2" bestFit="1" customWidth="1"/>
    <col min="18" max="18" width="25.6640625" style="2" bestFit="1" customWidth="1"/>
    <col min="19" max="19" width="14" style="2" bestFit="1" customWidth="1"/>
    <col min="20" max="20" width="20.5" style="2" bestFit="1" customWidth="1"/>
    <col min="21" max="21" width="18.33203125" style="2" bestFit="1" customWidth="1"/>
    <col min="22" max="22" width="16.5" style="2" bestFit="1" customWidth="1"/>
    <col min="23" max="23" width="22" style="2" bestFit="1" customWidth="1"/>
    <col min="24" max="24" width="22" style="2" customWidth="1"/>
    <col min="25" max="16384" width="9.1640625" style="2"/>
  </cols>
  <sheetData>
    <row r="1" spans="2:15" ht="67.5" customHeight="1" thickBot="1" x14ac:dyDescent="0.2">
      <c r="B1" s="242" t="s">
        <v>185</v>
      </c>
      <c r="C1" s="243"/>
      <c r="D1" s="243"/>
      <c r="E1" s="243"/>
      <c r="F1" s="243"/>
      <c r="G1" s="243"/>
      <c r="H1" s="243"/>
      <c r="I1" s="243"/>
      <c r="J1" s="243"/>
      <c r="K1" s="243"/>
      <c r="L1" s="244"/>
      <c r="N1" s="2"/>
    </row>
    <row r="2" spans="2:15" ht="14" thickBot="1" x14ac:dyDescent="0.2"/>
    <row r="3" spans="2:15" ht="26.25" customHeight="1" thickTop="1" x14ac:dyDescent="0.15">
      <c r="B3" s="54" t="s">
        <v>219</v>
      </c>
      <c r="C3" s="55" t="s">
        <v>189</v>
      </c>
      <c r="D3" s="55" t="s">
        <v>190</v>
      </c>
      <c r="E3" s="55" t="s">
        <v>191</v>
      </c>
      <c r="F3" s="56" t="s">
        <v>192</v>
      </c>
      <c r="G3" s="57" t="s">
        <v>219</v>
      </c>
      <c r="I3" s="241" t="s">
        <v>232</v>
      </c>
      <c r="J3" s="241"/>
      <c r="K3" s="241"/>
      <c r="L3" s="241"/>
      <c r="M3" s="241"/>
      <c r="N3" s="241"/>
      <c r="O3" s="241"/>
    </row>
    <row r="4" spans="2:15" ht="12.75" customHeight="1" x14ac:dyDescent="0.15">
      <c r="B4" s="58">
        <v>1</v>
      </c>
      <c r="C4" s="42" t="s">
        <v>212</v>
      </c>
      <c r="D4" s="42" t="s">
        <v>213</v>
      </c>
      <c r="E4" s="42" t="s">
        <v>216</v>
      </c>
      <c r="F4" s="62" t="s">
        <v>214</v>
      </c>
      <c r="G4" s="59">
        <v>1</v>
      </c>
      <c r="I4" s="241"/>
      <c r="J4" s="241"/>
      <c r="K4" s="241"/>
      <c r="L4" s="241"/>
      <c r="M4" s="241"/>
      <c r="N4" s="241"/>
      <c r="O4" s="241"/>
    </row>
    <row r="5" spans="2:15" ht="12.75" customHeight="1" x14ac:dyDescent="0.15">
      <c r="B5" s="58">
        <v>2</v>
      </c>
      <c r="C5" s="42" t="s">
        <v>208</v>
      </c>
      <c r="D5" s="42" t="s">
        <v>209</v>
      </c>
      <c r="E5" s="42" t="s">
        <v>210</v>
      </c>
      <c r="F5" s="62" t="s">
        <v>220</v>
      </c>
      <c r="G5" s="59">
        <v>2</v>
      </c>
      <c r="I5" s="241"/>
      <c r="J5" s="241"/>
      <c r="K5" s="241"/>
      <c r="L5" s="241"/>
      <c r="M5" s="241"/>
      <c r="N5" s="241"/>
      <c r="O5" s="241"/>
    </row>
    <row r="6" spans="2:15" ht="12.75" customHeight="1" x14ac:dyDescent="0.15">
      <c r="B6" s="58">
        <v>3</v>
      </c>
      <c r="C6" s="42" t="s">
        <v>199</v>
      </c>
      <c r="D6" s="42" t="s">
        <v>200</v>
      </c>
      <c r="E6" s="42" t="s">
        <v>201</v>
      </c>
      <c r="F6" s="62" t="s">
        <v>197</v>
      </c>
      <c r="G6" s="59">
        <v>3</v>
      </c>
      <c r="I6" s="241"/>
      <c r="J6" s="241"/>
      <c r="K6" s="241"/>
      <c r="L6" s="241"/>
      <c r="M6" s="241"/>
      <c r="N6" s="241"/>
      <c r="O6" s="241"/>
    </row>
    <row r="7" spans="2:15" ht="12.75" customHeight="1" x14ac:dyDescent="0.15">
      <c r="B7" s="58">
        <v>4</v>
      </c>
      <c r="C7" s="42" t="s">
        <v>217</v>
      </c>
      <c r="D7" s="42" t="s">
        <v>195</v>
      </c>
      <c r="E7" s="42" t="s">
        <v>206</v>
      </c>
      <c r="F7" s="62" t="s">
        <v>202</v>
      </c>
      <c r="G7" s="59">
        <v>4</v>
      </c>
      <c r="I7" s="241"/>
      <c r="J7" s="241"/>
      <c r="K7" s="241"/>
      <c r="L7" s="241"/>
      <c r="M7" s="241"/>
      <c r="N7" s="241"/>
      <c r="O7" s="241"/>
    </row>
    <row r="8" spans="2:15" ht="12.75" customHeight="1" x14ac:dyDescent="0.15">
      <c r="B8" s="58">
        <v>5</v>
      </c>
      <c r="C8" s="42" t="s">
        <v>194</v>
      </c>
      <c r="D8" s="42" t="s">
        <v>204</v>
      </c>
      <c r="E8" s="42" t="s">
        <v>196</v>
      </c>
      <c r="F8" s="62" t="s">
        <v>205</v>
      </c>
      <c r="G8" s="59">
        <v>5</v>
      </c>
      <c r="I8" s="241"/>
      <c r="J8" s="241"/>
      <c r="K8" s="241"/>
      <c r="L8" s="241"/>
      <c r="M8" s="241"/>
      <c r="N8" s="241"/>
      <c r="O8" s="241"/>
    </row>
    <row r="9" spans="2:15" ht="25.5" customHeight="1" x14ac:dyDescent="0.15">
      <c r="B9" s="58" t="s">
        <v>221</v>
      </c>
      <c r="C9" s="42" t="s">
        <v>218</v>
      </c>
      <c r="D9" s="42" t="s">
        <v>218</v>
      </c>
      <c r="E9" s="42" t="s">
        <v>218</v>
      </c>
      <c r="F9" s="62" t="s">
        <v>218</v>
      </c>
      <c r="G9" s="59" t="s">
        <v>221</v>
      </c>
      <c r="I9" s="241"/>
      <c r="J9" s="241"/>
      <c r="K9" s="241"/>
      <c r="L9" s="241"/>
      <c r="M9" s="241"/>
      <c r="N9" s="241"/>
      <c r="O9" s="241"/>
    </row>
    <row r="10" spans="2:15" ht="15" thickBot="1" x14ac:dyDescent="0.2">
      <c r="B10" s="60" t="s">
        <v>222</v>
      </c>
      <c r="C10" s="63" t="s">
        <v>211</v>
      </c>
      <c r="D10" s="63" t="s">
        <v>211</v>
      </c>
      <c r="E10" s="63" t="s">
        <v>211</v>
      </c>
      <c r="F10" s="64" t="s">
        <v>211</v>
      </c>
      <c r="G10" s="61" t="s">
        <v>222</v>
      </c>
    </row>
    <row r="11" spans="2:15" ht="14" thickTop="1" x14ac:dyDescent="0.15"/>
    <row r="12" spans="2:15" s="42" customFormat="1" ht="39" customHeight="1" thickBot="1" x14ac:dyDescent="0.25">
      <c r="B12" s="112" t="s">
        <v>334</v>
      </c>
      <c r="C12" s="246" t="s">
        <v>223</v>
      </c>
      <c r="D12" s="247"/>
      <c r="E12" s="247"/>
      <c r="F12" s="248"/>
      <c r="G12" s="249" t="s">
        <v>186</v>
      </c>
      <c r="H12" s="247"/>
      <c r="I12" s="247"/>
      <c r="J12" s="250"/>
      <c r="K12" s="245" t="s">
        <v>227</v>
      </c>
      <c r="L12" s="245" t="s">
        <v>228</v>
      </c>
    </row>
    <row r="13" spans="2:15" s="8" customFormat="1" ht="30" thickTop="1" thickBot="1" x14ac:dyDescent="0.25">
      <c r="B13" s="112" t="s">
        <v>335</v>
      </c>
      <c r="C13" s="51" t="s">
        <v>189</v>
      </c>
      <c r="D13" s="46" t="s">
        <v>190</v>
      </c>
      <c r="E13" s="46" t="s">
        <v>191</v>
      </c>
      <c r="F13" s="46" t="s">
        <v>192</v>
      </c>
      <c r="G13" s="46" t="s">
        <v>189</v>
      </c>
      <c r="H13" s="46" t="s">
        <v>190</v>
      </c>
      <c r="I13" s="46" t="s">
        <v>191</v>
      </c>
      <c r="J13" s="52" t="s">
        <v>192</v>
      </c>
      <c r="K13" s="246"/>
      <c r="L13" s="246"/>
    </row>
    <row r="14" spans="2:15" ht="15" thickTop="1" x14ac:dyDescent="0.15">
      <c r="B14" s="53">
        <v>1.1000000000000001</v>
      </c>
      <c r="C14" s="43" t="s">
        <v>194</v>
      </c>
      <c r="D14" s="43" t="s">
        <v>195</v>
      </c>
      <c r="E14" s="43" t="s">
        <v>196</v>
      </c>
      <c r="F14" s="43" t="s">
        <v>197</v>
      </c>
      <c r="G14" s="53">
        <f>VLOOKUP(C14,$C$4:$G$10,5,FALSE)</f>
        <v>5</v>
      </c>
      <c r="H14" s="53">
        <f>VLOOKUP(D14,$D$4:$G$10,4,FALSE)</f>
        <v>4</v>
      </c>
      <c r="I14" s="53">
        <f>VLOOKUP(E14,$E$4:$G$10,3,FALSE)</f>
        <v>5</v>
      </c>
      <c r="J14" s="53">
        <f>VLOOKUP(F14,$F$4:$G$10,2,FALSE)</f>
        <v>3</v>
      </c>
      <c r="K14" s="53">
        <f>ROUND(AVERAGE(G14:J14),0)</f>
        <v>4</v>
      </c>
      <c r="L14" s="50">
        <f>K14</f>
        <v>4</v>
      </c>
      <c r="N14" s="2"/>
    </row>
    <row r="15" spans="2:15" ht="14" x14ac:dyDescent="0.15">
      <c r="B15" s="44">
        <v>1.2</v>
      </c>
      <c r="C15" s="44" t="s">
        <v>199</v>
      </c>
      <c r="D15" s="44" t="s">
        <v>200</v>
      </c>
      <c r="E15" s="44" t="s">
        <v>201</v>
      </c>
      <c r="F15" s="44" t="s">
        <v>202</v>
      </c>
      <c r="G15" s="44">
        <f t="shared" ref="G15:G69" si="0">VLOOKUP(C15,$C$4:$G$10,5,FALSE)</f>
        <v>3</v>
      </c>
      <c r="H15" s="44">
        <f t="shared" ref="H15:H69" si="1">VLOOKUP(D15,$D$4:$G$10,4,FALSE)</f>
        <v>3</v>
      </c>
      <c r="I15" s="44">
        <f t="shared" ref="I15:I69" si="2">VLOOKUP(E15,$E$4:$G$10,3,FALSE)</f>
        <v>3</v>
      </c>
      <c r="J15" s="44">
        <f t="shared" ref="J15:J69" si="3">VLOOKUP(F15,$F$4:$G$10,2,FALSE)</f>
        <v>4</v>
      </c>
      <c r="K15" s="44">
        <f t="shared" ref="K15:K69" si="4">ROUND(AVERAGE(G15:J15),0)</f>
        <v>3</v>
      </c>
      <c r="L15" s="48">
        <f t="shared" ref="L15:L69" si="5">K15</f>
        <v>3</v>
      </c>
      <c r="N15" s="2"/>
    </row>
    <row r="16" spans="2:15" ht="14" x14ac:dyDescent="0.15">
      <c r="B16" s="43">
        <v>2.1</v>
      </c>
      <c r="C16" s="43" t="s">
        <v>194</v>
      </c>
      <c r="D16" s="43" t="s">
        <v>204</v>
      </c>
      <c r="E16" s="43" t="s">
        <v>196</v>
      </c>
      <c r="F16" s="43" t="s">
        <v>205</v>
      </c>
      <c r="G16" s="43">
        <f t="shared" si="0"/>
        <v>5</v>
      </c>
      <c r="H16" s="43">
        <f t="shared" si="1"/>
        <v>5</v>
      </c>
      <c r="I16" s="43">
        <f t="shared" si="2"/>
        <v>5</v>
      </c>
      <c r="J16" s="43">
        <f t="shared" si="3"/>
        <v>5</v>
      </c>
      <c r="K16" s="43">
        <f t="shared" si="4"/>
        <v>5</v>
      </c>
      <c r="L16" s="47">
        <f t="shared" si="5"/>
        <v>5</v>
      </c>
      <c r="N16" s="2"/>
    </row>
    <row r="17" spans="2:14" ht="14" x14ac:dyDescent="0.15">
      <c r="B17" s="44">
        <v>2.2000000000000002</v>
      </c>
      <c r="C17" s="44" t="s">
        <v>199</v>
      </c>
      <c r="D17" s="44" t="s">
        <v>200</v>
      </c>
      <c r="E17" s="44" t="s">
        <v>206</v>
      </c>
      <c r="F17" s="44" t="s">
        <v>205</v>
      </c>
      <c r="G17" s="44">
        <f t="shared" si="0"/>
        <v>3</v>
      </c>
      <c r="H17" s="44">
        <f t="shared" si="1"/>
        <v>3</v>
      </c>
      <c r="I17" s="44">
        <f t="shared" si="2"/>
        <v>4</v>
      </c>
      <c r="J17" s="44">
        <f t="shared" si="3"/>
        <v>5</v>
      </c>
      <c r="K17" s="44">
        <f t="shared" si="4"/>
        <v>4</v>
      </c>
      <c r="L17" s="48">
        <f t="shared" si="5"/>
        <v>4</v>
      </c>
      <c r="N17" s="2"/>
    </row>
    <row r="18" spans="2:14" ht="14" x14ac:dyDescent="0.15">
      <c r="B18" s="43">
        <v>2.2999999999999998</v>
      </c>
      <c r="C18" s="43" t="s">
        <v>208</v>
      </c>
      <c r="D18" s="43" t="s">
        <v>209</v>
      </c>
      <c r="E18" s="43" t="s">
        <v>210</v>
      </c>
      <c r="F18" s="43" t="s">
        <v>197</v>
      </c>
      <c r="G18" s="43">
        <f t="shared" si="0"/>
        <v>2</v>
      </c>
      <c r="H18" s="43">
        <f t="shared" si="1"/>
        <v>2</v>
      </c>
      <c r="I18" s="43">
        <f t="shared" si="2"/>
        <v>2</v>
      </c>
      <c r="J18" s="43">
        <f t="shared" si="3"/>
        <v>3</v>
      </c>
      <c r="K18" s="43">
        <f t="shared" si="4"/>
        <v>2</v>
      </c>
      <c r="L18" s="47">
        <f t="shared" si="5"/>
        <v>2</v>
      </c>
      <c r="N18" s="2"/>
    </row>
    <row r="19" spans="2:14" ht="14" x14ac:dyDescent="0.15">
      <c r="B19" s="44">
        <v>3.1</v>
      </c>
      <c r="C19" s="44" t="s">
        <v>199</v>
      </c>
      <c r="D19" s="44" t="s">
        <v>200</v>
      </c>
      <c r="E19" s="44" t="s">
        <v>201</v>
      </c>
      <c r="F19" s="44" t="s">
        <v>202</v>
      </c>
      <c r="G19" s="44">
        <f t="shared" si="0"/>
        <v>3</v>
      </c>
      <c r="H19" s="44">
        <f t="shared" si="1"/>
        <v>3</v>
      </c>
      <c r="I19" s="44">
        <f t="shared" si="2"/>
        <v>3</v>
      </c>
      <c r="J19" s="44">
        <f t="shared" si="3"/>
        <v>4</v>
      </c>
      <c r="K19" s="44">
        <f t="shared" si="4"/>
        <v>3</v>
      </c>
      <c r="L19" s="48">
        <f t="shared" si="5"/>
        <v>3</v>
      </c>
      <c r="N19" s="2"/>
    </row>
    <row r="20" spans="2:14" ht="14" x14ac:dyDescent="0.15">
      <c r="B20" s="43">
        <v>3.2</v>
      </c>
      <c r="C20" s="43" t="s">
        <v>199</v>
      </c>
      <c r="D20" s="43" t="s">
        <v>200</v>
      </c>
      <c r="E20" s="43" t="s">
        <v>201</v>
      </c>
      <c r="F20" s="43" t="s">
        <v>197</v>
      </c>
      <c r="G20" s="43">
        <f t="shared" si="0"/>
        <v>3</v>
      </c>
      <c r="H20" s="43">
        <f t="shared" si="1"/>
        <v>3</v>
      </c>
      <c r="I20" s="43">
        <f t="shared" si="2"/>
        <v>3</v>
      </c>
      <c r="J20" s="43">
        <f t="shared" si="3"/>
        <v>3</v>
      </c>
      <c r="K20" s="43">
        <f t="shared" si="4"/>
        <v>3</v>
      </c>
      <c r="L20" s="47">
        <f t="shared" si="5"/>
        <v>3</v>
      </c>
      <c r="N20" s="2"/>
    </row>
    <row r="21" spans="2:14" ht="14" x14ac:dyDescent="0.15">
      <c r="B21" s="44">
        <v>3.3</v>
      </c>
      <c r="C21" s="44" t="s">
        <v>199</v>
      </c>
      <c r="D21" s="44" t="s">
        <v>204</v>
      </c>
      <c r="E21" s="44" t="s">
        <v>201</v>
      </c>
      <c r="F21" s="44" t="s">
        <v>202</v>
      </c>
      <c r="G21" s="44">
        <f t="shared" si="0"/>
        <v>3</v>
      </c>
      <c r="H21" s="44">
        <f t="shared" si="1"/>
        <v>5</v>
      </c>
      <c r="I21" s="44">
        <f t="shared" si="2"/>
        <v>3</v>
      </c>
      <c r="J21" s="44">
        <f t="shared" si="3"/>
        <v>4</v>
      </c>
      <c r="K21" s="44">
        <f t="shared" si="4"/>
        <v>4</v>
      </c>
      <c r="L21" s="48">
        <f t="shared" si="5"/>
        <v>4</v>
      </c>
      <c r="N21" s="2"/>
    </row>
    <row r="22" spans="2:14" ht="14" x14ac:dyDescent="0.15">
      <c r="B22" s="43">
        <v>3.4</v>
      </c>
      <c r="C22" s="43" t="s">
        <v>194</v>
      </c>
      <c r="D22" s="43" t="s">
        <v>204</v>
      </c>
      <c r="E22" s="43" t="s">
        <v>196</v>
      </c>
      <c r="F22" s="43" t="s">
        <v>205</v>
      </c>
      <c r="G22" s="43">
        <f t="shared" si="0"/>
        <v>5</v>
      </c>
      <c r="H22" s="43">
        <f t="shared" si="1"/>
        <v>5</v>
      </c>
      <c r="I22" s="43">
        <f t="shared" si="2"/>
        <v>5</v>
      </c>
      <c r="J22" s="43">
        <f t="shared" si="3"/>
        <v>5</v>
      </c>
      <c r="K22" s="43">
        <f t="shared" si="4"/>
        <v>5</v>
      </c>
      <c r="L22" s="47">
        <f t="shared" si="5"/>
        <v>5</v>
      </c>
      <c r="N22" s="2"/>
    </row>
    <row r="23" spans="2:14" ht="14" x14ac:dyDescent="0.15">
      <c r="B23" s="44">
        <v>3.5</v>
      </c>
      <c r="C23" s="44" t="s">
        <v>194</v>
      </c>
      <c r="D23" s="44" t="s">
        <v>200</v>
      </c>
      <c r="E23" s="44" t="s">
        <v>206</v>
      </c>
      <c r="F23" s="44" t="s">
        <v>205</v>
      </c>
      <c r="G23" s="44">
        <f t="shared" si="0"/>
        <v>5</v>
      </c>
      <c r="H23" s="44">
        <f t="shared" si="1"/>
        <v>3</v>
      </c>
      <c r="I23" s="44">
        <f t="shared" si="2"/>
        <v>4</v>
      </c>
      <c r="J23" s="44">
        <f t="shared" si="3"/>
        <v>5</v>
      </c>
      <c r="K23" s="44">
        <f t="shared" si="4"/>
        <v>4</v>
      </c>
      <c r="L23" s="48">
        <f t="shared" si="5"/>
        <v>4</v>
      </c>
      <c r="N23" s="2"/>
    </row>
    <row r="24" spans="2:14" ht="14" x14ac:dyDescent="0.15">
      <c r="B24" s="43">
        <v>3.6</v>
      </c>
      <c r="C24" s="43" t="s">
        <v>194</v>
      </c>
      <c r="D24" s="43" t="s">
        <v>195</v>
      </c>
      <c r="E24" s="43" t="s">
        <v>206</v>
      </c>
      <c r="F24" s="43" t="s">
        <v>205</v>
      </c>
      <c r="G24" s="43">
        <f t="shared" si="0"/>
        <v>5</v>
      </c>
      <c r="H24" s="43">
        <f t="shared" si="1"/>
        <v>4</v>
      </c>
      <c r="I24" s="43">
        <f t="shared" si="2"/>
        <v>4</v>
      </c>
      <c r="J24" s="43">
        <f t="shared" si="3"/>
        <v>5</v>
      </c>
      <c r="K24" s="43">
        <f t="shared" si="4"/>
        <v>5</v>
      </c>
      <c r="L24" s="47">
        <f t="shared" si="5"/>
        <v>5</v>
      </c>
      <c r="N24" s="2"/>
    </row>
    <row r="25" spans="2:14" ht="14" x14ac:dyDescent="0.15">
      <c r="B25" s="44">
        <v>4.0999999999999996</v>
      </c>
      <c r="C25" s="44" t="s">
        <v>199</v>
      </c>
      <c r="D25" s="44" t="s">
        <v>195</v>
      </c>
      <c r="E25" s="44" t="s">
        <v>196</v>
      </c>
      <c r="F25" s="44" t="s">
        <v>202</v>
      </c>
      <c r="G25" s="44">
        <f t="shared" si="0"/>
        <v>3</v>
      </c>
      <c r="H25" s="44">
        <f t="shared" si="1"/>
        <v>4</v>
      </c>
      <c r="I25" s="44">
        <f t="shared" si="2"/>
        <v>5</v>
      </c>
      <c r="J25" s="44">
        <f t="shared" si="3"/>
        <v>4</v>
      </c>
      <c r="K25" s="44">
        <f t="shared" si="4"/>
        <v>4</v>
      </c>
      <c r="L25" s="48">
        <f t="shared" si="5"/>
        <v>4</v>
      </c>
      <c r="N25" s="2"/>
    </row>
    <row r="26" spans="2:14" ht="14" x14ac:dyDescent="0.15">
      <c r="B26" s="43">
        <v>4.2</v>
      </c>
      <c r="C26" s="43" t="s">
        <v>199</v>
      </c>
      <c r="D26" s="43" t="s">
        <v>195</v>
      </c>
      <c r="E26" s="43" t="s">
        <v>206</v>
      </c>
      <c r="F26" s="43" t="s">
        <v>202</v>
      </c>
      <c r="G26" s="43">
        <f t="shared" si="0"/>
        <v>3</v>
      </c>
      <c r="H26" s="43">
        <f t="shared" si="1"/>
        <v>4</v>
      </c>
      <c r="I26" s="43">
        <f t="shared" si="2"/>
        <v>4</v>
      </c>
      <c r="J26" s="43">
        <f t="shared" si="3"/>
        <v>4</v>
      </c>
      <c r="K26" s="43">
        <f t="shared" si="4"/>
        <v>4</v>
      </c>
      <c r="L26" s="47">
        <f t="shared" si="5"/>
        <v>4</v>
      </c>
      <c r="N26" s="2"/>
    </row>
    <row r="27" spans="2:14" ht="14" x14ac:dyDescent="0.15">
      <c r="B27" s="44">
        <v>4.3</v>
      </c>
      <c r="C27" s="44" t="s">
        <v>212</v>
      </c>
      <c r="D27" s="44" t="s">
        <v>213</v>
      </c>
      <c r="E27" s="44" t="s">
        <v>210</v>
      </c>
      <c r="F27" s="44" t="s">
        <v>214</v>
      </c>
      <c r="G27" s="44">
        <f t="shared" si="0"/>
        <v>1</v>
      </c>
      <c r="H27" s="44">
        <f t="shared" si="1"/>
        <v>1</v>
      </c>
      <c r="I27" s="44">
        <f t="shared" si="2"/>
        <v>2</v>
      </c>
      <c r="J27" s="44">
        <f t="shared" si="3"/>
        <v>1</v>
      </c>
      <c r="K27" s="44">
        <f t="shared" si="4"/>
        <v>1</v>
      </c>
      <c r="L27" s="48">
        <f t="shared" si="5"/>
        <v>1</v>
      </c>
      <c r="N27" s="2"/>
    </row>
    <row r="28" spans="2:14" ht="14" x14ac:dyDescent="0.15">
      <c r="B28" s="43">
        <v>4.4000000000000004</v>
      </c>
      <c r="C28" s="43" t="s">
        <v>212</v>
      </c>
      <c r="D28" s="43" t="s">
        <v>213</v>
      </c>
      <c r="E28" s="43" t="s">
        <v>210</v>
      </c>
      <c r="F28" s="43" t="s">
        <v>214</v>
      </c>
      <c r="G28" s="43">
        <f t="shared" si="0"/>
        <v>1</v>
      </c>
      <c r="H28" s="43">
        <f t="shared" si="1"/>
        <v>1</v>
      </c>
      <c r="I28" s="43">
        <f t="shared" si="2"/>
        <v>2</v>
      </c>
      <c r="J28" s="43">
        <f t="shared" si="3"/>
        <v>1</v>
      </c>
      <c r="K28" s="43">
        <f t="shared" si="4"/>
        <v>1</v>
      </c>
      <c r="L28" s="47">
        <f t="shared" si="5"/>
        <v>1</v>
      </c>
      <c r="N28" s="2"/>
    </row>
    <row r="29" spans="2:14" ht="14" x14ac:dyDescent="0.15">
      <c r="B29" s="44">
        <v>4.5</v>
      </c>
      <c r="C29" s="44" t="s">
        <v>212</v>
      </c>
      <c r="D29" s="44" t="s">
        <v>213</v>
      </c>
      <c r="E29" s="44" t="s">
        <v>216</v>
      </c>
      <c r="F29" s="44" t="s">
        <v>214</v>
      </c>
      <c r="G29" s="44">
        <f t="shared" si="0"/>
        <v>1</v>
      </c>
      <c r="H29" s="44">
        <f t="shared" si="1"/>
        <v>1</v>
      </c>
      <c r="I29" s="44">
        <f t="shared" si="2"/>
        <v>1</v>
      </c>
      <c r="J29" s="44">
        <f t="shared" si="3"/>
        <v>1</v>
      </c>
      <c r="K29" s="44">
        <f t="shared" si="4"/>
        <v>1</v>
      </c>
      <c r="L29" s="48">
        <f t="shared" si="5"/>
        <v>1</v>
      </c>
      <c r="N29" s="2"/>
    </row>
    <row r="30" spans="2:14" ht="14" x14ac:dyDescent="0.15">
      <c r="B30" s="43">
        <v>4.5999999999999996</v>
      </c>
      <c r="C30" s="43" t="s">
        <v>194</v>
      </c>
      <c r="D30" s="43" t="s">
        <v>195</v>
      </c>
      <c r="E30" s="43" t="s">
        <v>206</v>
      </c>
      <c r="F30" s="43" t="s">
        <v>202</v>
      </c>
      <c r="G30" s="43">
        <f t="shared" si="0"/>
        <v>5</v>
      </c>
      <c r="H30" s="43">
        <f t="shared" si="1"/>
        <v>4</v>
      </c>
      <c r="I30" s="43">
        <f t="shared" si="2"/>
        <v>4</v>
      </c>
      <c r="J30" s="43">
        <f t="shared" si="3"/>
        <v>4</v>
      </c>
      <c r="K30" s="43">
        <f t="shared" si="4"/>
        <v>4</v>
      </c>
      <c r="L30" s="47">
        <f t="shared" si="5"/>
        <v>4</v>
      </c>
      <c r="N30" s="2"/>
    </row>
    <row r="31" spans="2:14" ht="14" x14ac:dyDescent="0.15">
      <c r="B31" s="44">
        <v>4.7</v>
      </c>
      <c r="C31" s="44" t="s">
        <v>217</v>
      </c>
      <c r="D31" s="44" t="s">
        <v>195</v>
      </c>
      <c r="E31" s="44" t="s">
        <v>196</v>
      </c>
      <c r="F31" s="44" t="s">
        <v>197</v>
      </c>
      <c r="G31" s="44">
        <f t="shared" si="0"/>
        <v>4</v>
      </c>
      <c r="H31" s="44">
        <f t="shared" si="1"/>
        <v>4</v>
      </c>
      <c r="I31" s="44">
        <f t="shared" si="2"/>
        <v>5</v>
      </c>
      <c r="J31" s="44">
        <f t="shared" si="3"/>
        <v>3</v>
      </c>
      <c r="K31" s="44">
        <f t="shared" si="4"/>
        <v>4</v>
      </c>
      <c r="L31" s="48">
        <f t="shared" si="5"/>
        <v>4</v>
      </c>
      <c r="N31" s="2"/>
    </row>
    <row r="32" spans="2:14" ht="14" x14ac:dyDescent="0.15">
      <c r="B32" s="43">
        <v>5.0999999999999996</v>
      </c>
      <c r="C32" s="43" t="s">
        <v>199</v>
      </c>
      <c r="D32" s="43" t="s">
        <v>195</v>
      </c>
      <c r="E32" s="43" t="s">
        <v>206</v>
      </c>
      <c r="F32" s="43" t="s">
        <v>205</v>
      </c>
      <c r="G32" s="43">
        <f t="shared" si="0"/>
        <v>3</v>
      </c>
      <c r="H32" s="43">
        <f t="shared" si="1"/>
        <v>4</v>
      </c>
      <c r="I32" s="43">
        <f t="shared" si="2"/>
        <v>4</v>
      </c>
      <c r="J32" s="43">
        <f t="shared" si="3"/>
        <v>5</v>
      </c>
      <c r="K32" s="43">
        <f t="shared" si="4"/>
        <v>4</v>
      </c>
      <c r="L32" s="47">
        <f t="shared" si="5"/>
        <v>4</v>
      </c>
      <c r="N32" s="2"/>
    </row>
    <row r="33" spans="2:14" ht="14" x14ac:dyDescent="0.15">
      <c r="B33" s="44">
        <v>5.2</v>
      </c>
      <c r="C33" s="44" t="s">
        <v>217</v>
      </c>
      <c r="D33" s="44" t="s">
        <v>204</v>
      </c>
      <c r="E33" s="44" t="s">
        <v>206</v>
      </c>
      <c r="F33" s="44" t="s">
        <v>205</v>
      </c>
      <c r="G33" s="44">
        <f t="shared" si="0"/>
        <v>4</v>
      </c>
      <c r="H33" s="44">
        <f t="shared" si="1"/>
        <v>5</v>
      </c>
      <c r="I33" s="44">
        <f t="shared" si="2"/>
        <v>4</v>
      </c>
      <c r="J33" s="44">
        <f t="shared" si="3"/>
        <v>5</v>
      </c>
      <c r="K33" s="44">
        <f t="shared" si="4"/>
        <v>5</v>
      </c>
      <c r="L33" s="48">
        <f t="shared" si="5"/>
        <v>5</v>
      </c>
      <c r="N33" s="2"/>
    </row>
    <row r="34" spans="2:14" ht="14" x14ac:dyDescent="0.15">
      <c r="B34" s="43">
        <v>5.3</v>
      </c>
      <c r="C34" s="43" t="s">
        <v>217</v>
      </c>
      <c r="D34" s="43" t="s">
        <v>204</v>
      </c>
      <c r="E34" s="43" t="s">
        <v>196</v>
      </c>
      <c r="F34" s="43" t="s">
        <v>205</v>
      </c>
      <c r="G34" s="43">
        <f t="shared" si="0"/>
        <v>4</v>
      </c>
      <c r="H34" s="43">
        <f t="shared" si="1"/>
        <v>5</v>
      </c>
      <c r="I34" s="43">
        <f t="shared" si="2"/>
        <v>5</v>
      </c>
      <c r="J34" s="43">
        <f t="shared" si="3"/>
        <v>5</v>
      </c>
      <c r="K34" s="43">
        <f t="shared" si="4"/>
        <v>5</v>
      </c>
      <c r="L34" s="47">
        <f t="shared" si="5"/>
        <v>5</v>
      </c>
      <c r="N34" s="2"/>
    </row>
    <row r="35" spans="2:14" ht="14" x14ac:dyDescent="0.15">
      <c r="B35" s="44">
        <v>5.4</v>
      </c>
      <c r="C35" s="44" t="s">
        <v>194</v>
      </c>
      <c r="D35" s="44" t="s">
        <v>195</v>
      </c>
      <c r="E35" s="44" t="s">
        <v>196</v>
      </c>
      <c r="F35" s="44" t="s">
        <v>202</v>
      </c>
      <c r="G35" s="44">
        <f t="shared" si="0"/>
        <v>5</v>
      </c>
      <c r="H35" s="44">
        <f t="shared" si="1"/>
        <v>4</v>
      </c>
      <c r="I35" s="44">
        <f t="shared" si="2"/>
        <v>5</v>
      </c>
      <c r="J35" s="44">
        <f t="shared" si="3"/>
        <v>4</v>
      </c>
      <c r="K35" s="44">
        <f t="shared" si="4"/>
        <v>5</v>
      </c>
      <c r="L35" s="48">
        <f t="shared" si="5"/>
        <v>5</v>
      </c>
      <c r="N35" s="2"/>
    </row>
    <row r="36" spans="2:14" ht="28" x14ac:dyDescent="0.15">
      <c r="B36" s="43">
        <v>6.1</v>
      </c>
      <c r="C36" s="43" t="s">
        <v>218</v>
      </c>
      <c r="D36" s="43" t="s">
        <v>218</v>
      </c>
      <c r="E36" s="43" t="s">
        <v>218</v>
      </c>
      <c r="F36" s="43" t="s">
        <v>218</v>
      </c>
      <c r="G36" s="43" t="str">
        <f t="shared" si="0"/>
        <v>Unknown - Unscored</v>
      </c>
      <c r="H36" s="43" t="str">
        <f t="shared" si="1"/>
        <v>Unknown - Unscored</v>
      </c>
      <c r="I36" s="43" t="str">
        <f t="shared" si="2"/>
        <v>Unknown - Unscored</v>
      </c>
      <c r="J36" s="43" t="str">
        <f t="shared" si="3"/>
        <v>Unknown - Unscored</v>
      </c>
      <c r="K36" s="43" t="e">
        <f t="shared" si="4"/>
        <v>#DIV/0!</v>
      </c>
      <c r="L36" s="47" t="e">
        <f t="shared" si="5"/>
        <v>#DIV/0!</v>
      </c>
      <c r="N36" s="2"/>
    </row>
    <row r="37" spans="2:14" ht="28" x14ac:dyDescent="0.15">
      <c r="B37" s="44">
        <v>6.2</v>
      </c>
      <c r="C37" s="44" t="s">
        <v>218</v>
      </c>
      <c r="D37" s="44" t="s">
        <v>218</v>
      </c>
      <c r="E37" s="44" t="s">
        <v>218</v>
      </c>
      <c r="F37" s="44" t="s">
        <v>218</v>
      </c>
      <c r="G37" s="44" t="str">
        <f t="shared" si="0"/>
        <v>Unknown - Unscored</v>
      </c>
      <c r="H37" s="44" t="str">
        <f t="shared" si="1"/>
        <v>Unknown - Unscored</v>
      </c>
      <c r="I37" s="44" t="str">
        <f t="shared" si="2"/>
        <v>Unknown - Unscored</v>
      </c>
      <c r="J37" s="44" t="str">
        <f t="shared" si="3"/>
        <v>Unknown - Unscored</v>
      </c>
      <c r="K37" s="44" t="e">
        <f t="shared" si="4"/>
        <v>#DIV/0!</v>
      </c>
      <c r="L37" s="48" t="e">
        <f t="shared" si="5"/>
        <v>#DIV/0!</v>
      </c>
      <c r="N37" s="2"/>
    </row>
    <row r="38" spans="2:14" ht="28" x14ac:dyDescent="0.15">
      <c r="B38" s="43">
        <v>6.3</v>
      </c>
      <c r="C38" s="43" t="s">
        <v>218</v>
      </c>
      <c r="D38" s="43" t="s">
        <v>218</v>
      </c>
      <c r="E38" s="43" t="s">
        <v>218</v>
      </c>
      <c r="F38" s="43" t="s">
        <v>218</v>
      </c>
      <c r="G38" s="43" t="str">
        <f t="shared" si="0"/>
        <v>Unknown - Unscored</v>
      </c>
      <c r="H38" s="43" t="str">
        <f t="shared" si="1"/>
        <v>Unknown - Unscored</v>
      </c>
      <c r="I38" s="43" t="str">
        <f t="shared" si="2"/>
        <v>Unknown - Unscored</v>
      </c>
      <c r="J38" s="43" t="str">
        <f t="shared" si="3"/>
        <v>Unknown - Unscored</v>
      </c>
      <c r="K38" s="43" t="e">
        <f t="shared" si="4"/>
        <v>#DIV/0!</v>
      </c>
      <c r="L38" s="47" t="e">
        <f t="shared" si="5"/>
        <v>#DIV/0!</v>
      </c>
      <c r="N38" s="2"/>
    </row>
    <row r="39" spans="2:14" ht="28" x14ac:dyDescent="0.15">
      <c r="B39" s="44">
        <v>6.4</v>
      </c>
      <c r="C39" s="44" t="s">
        <v>218</v>
      </c>
      <c r="D39" s="44" t="s">
        <v>218</v>
      </c>
      <c r="E39" s="44" t="s">
        <v>218</v>
      </c>
      <c r="F39" s="44" t="s">
        <v>218</v>
      </c>
      <c r="G39" s="44" t="str">
        <f t="shared" si="0"/>
        <v>Unknown - Unscored</v>
      </c>
      <c r="H39" s="44" t="str">
        <f t="shared" si="1"/>
        <v>Unknown - Unscored</v>
      </c>
      <c r="I39" s="44" t="str">
        <f t="shared" si="2"/>
        <v>Unknown - Unscored</v>
      </c>
      <c r="J39" s="44" t="str">
        <f t="shared" si="3"/>
        <v>Unknown - Unscored</v>
      </c>
      <c r="K39" s="44" t="e">
        <f t="shared" si="4"/>
        <v>#DIV/0!</v>
      </c>
      <c r="L39" s="48" t="e">
        <f t="shared" si="5"/>
        <v>#DIV/0!</v>
      </c>
      <c r="N39" s="2"/>
    </row>
    <row r="40" spans="2:14" ht="28" x14ac:dyDescent="0.15">
      <c r="B40" s="43">
        <v>6.5</v>
      </c>
      <c r="C40" s="43" t="s">
        <v>218</v>
      </c>
      <c r="D40" s="43" t="s">
        <v>218</v>
      </c>
      <c r="E40" s="43" t="s">
        <v>218</v>
      </c>
      <c r="F40" s="43" t="s">
        <v>218</v>
      </c>
      <c r="G40" s="43" t="str">
        <f t="shared" si="0"/>
        <v>Unknown - Unscored</v>
      </c>
      <c r="H40" s="43" t="str">
        <f t="shared" si="1"/>
        <v>Unknown - Unscored</v>
      </c>
      <c r="I40" s="43" t="str">
        <f t="shared" si="2"/>
        <v>Unknown - Unscored</v>
      </c>
      <c r="J40" s="43" t="str">
        <f t="shared" si="3"/>
        <v>Unknown - Unscored</v>
      </c>
      <c r="K40" s="43" t="e">
        <f t="shared" si="4"/>
        <v>#DIV/0!</v>
      </c>
      <c r="L40" s="47" t="e">
        <f t="shared" si="5"/>
        <v>#DIV/0!</v>
      </c>
      <c r="N40" s="2"/>
    </row>
    <row r="41" spans="2:14" ht="14" x14ac:dyDescent="0.15">
      <c r="B41" s="44">
        <v>7.1</v>
      </c>
      <c r="C41" s="44" t="s">
        <v>194</v>
      </c>
      <c r="D41" s="44" t="s">
        <v>204</v>
      </c>
      <c r="E41" s="44" t="s">
        <v>196</v>
      </c>
      <c r="F41" s="44" t="s">
        <v>205</v>
      </c>
      <c r="G41" s="44">
        <f t="shared" si="0"/>
        <v>5</v>
      </c>
      <c r="H41" s="44">
        <f t="shared" si="1"/>
        <v>5</v>
      </c>
      <c r="I41" s="44">
        <f t="shared" si="2"/>
        <v>5</v>
      </c>
      <c r="J41" s="44">
        <f t="shared" si="3"/>
        <v>5</v>
      </c>
      <c r="K41" s="44">
        <f t="shared" si="4"/>
        <v>5</v>
      </c>
      <c r="L41" s="48">
        <f t="shared" si="5"/>
        <v>5</v>
      </c>
      <c r="N41" s="2"/>
    </row>
    <row r="42" spans="2:14" ht="14" x14ac:dyDescent="0.15">
      <c r="B42" s="43">
        <v>7.2</v>
      </c>
      <c r="C42" s="43" t="s">
        <v>194</v>
      </c>
      <c r="D42" s="43" t="s">
        <v>204</v>
      </c>
      <c r="E42" s="43" t="s">
        <v>196</v>
      </c>
      <c r="F42" s="43" t="s">
        <v>205</v>
      </c>
      <c r="G42" s="43">
        <f t="shared" si="0"/>
        <v>5</v>
      </c>
      <c r="H42" s="43">
        <f t="shared" si="1"/>
        <v>5</v>
      </c>
      <c r="I42" s="43">
        <f t="shared" si="2"/>
        <v>5</v>
      </c>
      <c r="J42" s="43">
        <f t="shared" si="3"/>
        <v>5</v>
      </c>
      <c r="K42" s="43">
        <f t="shared" si="4"/>
        <v>5</v>
      </c>
      <c r="L42" s="47">
        <f t="shared" si="5"/>
        <v>5</v>
      </c>
      <c r="N42" s="2"/>
    </row>
    <row r="43" spans="2:14" ht="14" x14ac:dyDescent="0.15">
      <c r="B43" s="44">
        <v>7.3</v>
      </c>
      <c r="C43" s="44" t="s">
        <v>194</v>
      </c>
      <c r="D43" s="44" t="s">
        <v>204</v>
      </c>
      <c r="E43" s="44" t="s">
        <v>196</v>
      </c>
      <c r="F43" s="44" t="s">
        <v>205</v>
      </c>
      <c r="G43" s="44">
        <f t="shared" si="0"/>
        <v>5</v>
      </c>
      <c r="H43" s="44">
        <f t="shared" si="1"/>
        <v>5</v>
      </c>
      <c r="I43" s="44">
        <f t="shared" si="2"/>
        <v>5</v>
      </c>
      <c r="J43" s="44">
        <f t="shared" si="3"/>
        <v>5</v>
      </c>
      <c r="K43" s="44">
        <f t="shared" si="4"/>
        <v>5</v>
      </c>
      <c r="L43" s="48">
        <f t="shared" si="5"/>
        <v>5</v>
      </c>
      <c r="N43" s="2"/>
    </row>
    <row r="44" spans="2:14" ht="28" x14ac:dyDescent="0.15">
      <c r="B44" s="43">
        <v>7.4</v>
      </c>
      <c r="C44" s="43" t="s">
        <v>218</v>
      </c>
      <c r="D44" s="43" t="s">
        <v>218</v>
      </c>
      <c r="E44" s="43" t="s">
        <v>218</v>
      </c>
      <c r="F44" s="43" t="s">
        <v>218</v>
      </c>
      <c r="G44" s="43" t="str">
        <f t="shared" si="0"/>
        <v>Unknown - Unscored</v>
      </c>
      <c r="H44" s="43" t="str">
        <f t="shared" si="1"/>
        <v>Unknown - Unscored</v>
      </c>
      <c r="I44" s="43" t="str">
        <f t="shared" si="2"/>
        <v>Unknown - Unscored</v>
      </c>
      <c r="J44" s="43" t="str">
        <f t="shared" si="3"/>
        <v>Unknown - Unscored</v>
      </c>
      <c r="K44" s="43" t="e">
        <f t="shared" si="4"/>
        <v>#DIV/0!</v>
      </c>
      <c r="L44" s="47" t="e">
        <f t="shared" si="5"/>
        <v>#DIV/0!</v>
      </c>
      <c r="N44" s="2"/>
    </row>
    <row r="45" spans="2:14" ht="28" x14ac:dyDescent="0.15">
      <c r="B45" s="44">
        <v>8.1</v>
      </c>
      <c r="C45" s="44" t="s">
        <v>218</v>
      </c>
      <c r="D45" s="44" t="s">
        <v>218</v>
      </c>
      <c r="E45" s="44" t="s">
        <v>218</v>
      </c>
      <c r="F45" s="44" t="s">
        <v>218</v>
      </c>
      <c r="G45" s="44" t="str">
        <f t="shared" si="0"/>
        <v>Unknown - Unscored</v>
      </c>
      <c r="H45" s="44" t="str">
        <f t="shared" si="1"/>
        <v>Unknown - Unscored</v>
      </c>
      <c r="I45" s="44" t="str">
        <f t="shared" si="2"/>
        <v>Unknown - Unscored</v>
      </c>
      <c r="J45" s="44" t="str">
        <f t="shared" si="3"/>
        <v>Unknown - Unscored</v>
      </c>
      <c r="K45" s="44" t="e">
        <f t="shared" si="4"/>
        <v>#DIV/0!</v>
      </c>
      <c r="L45" s="48" t="e">
        <f t="shared" si="5"/>
        <v>#DIV/0!</v>
      </c>
      <c r="N45" s="2"/>
    </row>
    <row r="46" spans="2:14" ht="14" x14ac:dyDescent="0.15">
      <c r="B46" s="43">
        <v>8.1999999999999993</v>
      </c>
      <c r="C46" s="43" t="s">
        <v>194</v>
      </c>
      <c r="D46" s="43" t="s">
        <v>204</v>
      </c>
      <c r="E46" s="43" t="s">
        <v>196</v>
      </c>
      <c r="F46" s="43" t="s">
        <v>205</v>
      </c>
      <c r="G46" s="43">
        <f t="shared" si="0"/>
        <v>5</v>
      </c>
      <c r="H46" s="43">
        <f t="shared" si="1"/>
        <v>5</v>
      </c>
      <c r="I46" s="43">
        <f t="shared" si="2"/>
        <v>5</v>
      </c>
      <c r="J46" s="43">
        <f t="shared" si="3"/>
        <v>5</v>
      </c>
      <c r="K46" s="43">
        <f t="shared" si="4"/>
        <v>5</v>
      </c>
      <c r="L46" s="47">
        <f t="shared" si="5"/>
        <v>5</v>
      </c>
      <c r="N46" s="2"/>
    </row>
    <row r="47" spans="2:14" ht="14" x14ac:dyDescent="0.15">
      <c r="B47" s="44">
        <v>8.3000000000000007</v>
      </c>
      <c r="C47" s="44" t="s">
        <v>194</v>
      </c>
      <c r="D47" s="44" t="s">
        <v>204</v>
      </c>
      <c r="E47" s="44" t="s">
        <v>196</v>
      </c>
      <c r="F47" s="44" t="s">
        <v>205</v>
      </c>
      <c r="G47" s="44">
        <f t="shared" si="0"/>
        <v>5</v>
      </c>
      <c r="H47" s="44">
        <f t="shared" si="1"/>
        <v>5</v>
      </c>
      <c r="I47" s="44">
        <f t="shared" si="2"/>
        <v>5</v>
      </c>
      <c r="J47" s="44">
        <f t="shared" si="3"/>
        <v>5</v>
      </c>
      <c r="K47" s="44">
        <f t="shared" si="4"/>
        <v>5</v>
      </c>
      <c r="L47" s="48">
        <f t="shared" si="5"/>
        <v>5</v>
      </c>
      <c r="N47" s="2"/>
    </row>
    <row r="48" spans="2:14" ht="28" x14ac:dyDescent="0.15">
      <c r="B48" s="43">
        <v>9.1</v>
      </c>
      <c r="C48" s="43" t="s">
        <v>218</v>
      </c>
      <c r="D48" s="43" t="s">
        <v>218</v>
      </c>
      <c r="E48" s="43" t="s">
        <v>218</v>
      </c>
      <c r="F48" s="43" t="s">
        <v>218</v>
      </c>
      <c r="G48" s="43" t="str">
        <f t="shared" si="0"/>
        <v>Unknown - Unscored</v>
      </c>
      <c r="H48" s="43" t="str">
        <f t="shared" si="1"/>
        <v>Unknown - Unscored</v>
      </c>
      <c r="I48" s="43" t="str">
        <f t="shared" si="2"/>
        <v>Unknown - Unscored</v>
      </c>
      <c r="J48" s="43" t="str">
        <f t="shared" si="3"/>
        <v>Unknown - Unscored</v>
      </c>
      <c r="K48" s="43" t="e">
        <f t="shared" si="4"/>
        <v>#DIV/0!</v>
      </c>
      <c r="L48" s="47" t="e">
        <f t="shared" si="5"/>
        <v>#DIV/0!</v>
      </c>
      <c r="N48" s="2"/>
    </row>
    <row r="49" spans="2:14" ht="28" x14ac:dyDescent="0.15">
      <c r="B49" s="44">
        <v>9.1999999999999993</v>
      </c>
      <c r="C49" s="44" t="s">
        <v>218</v>
      </c>
      <c r="D49" s="44" t="s">
        <v>218</v>
      </c>
      <c r="E49" s="44" t="s">
        <v>218</v>
      </c>
      <c r="F49" s="44" t="s">
        <v>218</v>
      </c>
      <c r="G49" s="44" t="str">
        <f t="shared" si="0"/>
        <v>Unknown - Unscored</v>
      </c>
      <c r="H49" s="44" t="str">
        <f t="shared" si="1"/>
        <v>Unknown - Unscored</v>
      </c>
      <c r="I49" s="44" t="str">
        <f t="shared" si="2"/>
        <v>Unknown - Unscored</v>
      </c>
      <c r="J49" s="44" t="str">
        <f t="shared" si="3"/>
        <v>Unknown - Unscored</v>
      </c>
      <c r="K49" s="44" t="e">
        <f t="shared" si="4"/>
        <v>#DIV/0!</v>
      </c>
      <c r="L49" s="48" t="e">
        <f t="shared" si="5"/>
        <v>#DIV/0!</v>
      </c>
      <c r="N49" s="2"/>
    </row>
    <row r="50" spans="2:14" ht="28" x14ac:dyDescent="0.15">
      <c r="B50" s="43">
        <v>10.1</v>
      </c>
      <c r="C50" s="43" t="s">
        <v>218</v>
      </c>
      <c r="D50" s="43" t="s">
        <v>218</v>
      </c>
      <c r="E50" s="43" t="s">
        <v>218</v>
      </c>
      <c r="F50" s="43" t="s">
        <v>218</v>
      </c>
      <c r="G50" s="43" t="str">
        <f t="shared" si="0"/>
        <v>Unknown - Unscored</v>
      </c>
      <c r="H50" s="43" t="str">
        <f t="shared" si="1"/>
        <v>Unknown - Unscored</v>
      </c>
      <c r="I50" s="43" t="str">
        <f t="shared" si="2"/>
        <v>Unknown - Unscored</v>
      </c>
      <c r="J50" s="43" t="str">
        <f t="shared" si="3"/>
        <v>Unknown - Unscored</v>
      </c>
      <c r="K50" s="43" t="e">
        <f t="shared" si="4"/>
        <v>#DIV/0!</v>
      </c>
      <c r="L50" s="47" t="e">
        <f t="shared" si="5"/>
        <v>#DIV/0!</v>
      </c>
      <c r="N50" s="2"/>
    </row>
    <row r="51" spans="2:14" ht="28" x14ac:dyDescent="0.15">
      <c r="B51" s="44">
        <v>10.199999999999999</v>
      </c>
      <c r="C51" s="44" t="s">
        <v>218</v>
      </c>
      <c r="D51" s="44" t="s">
        <v>218</v>
      </c>
      <c r="E51" s="44" t="s">
        <v>218</v>
      </c>
      <c r="F51" s="44" t="s">
        <v>218</v>
      </c>
      <c r="G51" s="44" t="str">
        <f t="shared" si="0"/>
        <v>Unknown - Unscored</v>
      </c>
      <c r="H51" s="44" t="str">
        <f t="shared" si="1"/>
        <v>Unknown - Unscored</v>
      </c>
      <c r="I51" s="44" t="str">
        <f t="shared" si="2"/>
        <v>Unknown - Unscored</v>
      </c>
      <c r="J51" s="44" t="str">
        <f t="shared" si="3"/>
        <v>Unknown - Unscored</v>
      </c>
      <c r="K51" s="44" t="e">
        <f t="shared" si="4"/>
        <v>#DIV/0!</v>
      </c>
      <c r="L51" s="48" t="e">
        <f t="shared" si="5"/>
        <v>#DIV/0!</v>
      </c>
      <c r="N51" s="2"/>
    </row>
    <row r="52" spans="2:14" ht="28" x14ac:dyDescent="0.15">
      <c r="B52" s="43">
        <v>10.3</v>
      </c>
      <c r="C52" s="43" t="s">
        <v>218</v>
      </c>
      <c r="D52" s="43" t="s">
        <v>218</v>
      </c>
      <c r="E52" s="43" t="s">
        <v>218</v>
      </c>
      <c r="F52" s="43" t="s">
        <v>218</v>
      </c>
      <c r="G52" s="43" t="str">
        <f t="shared" si="0"/>
        <v>Unknown - Unscored</v>
      </c>
      <c r="H52" s="43" t="str">
        <f t="shared" si="1"/>
        <v>Unknown - Unscored</v>
      </c>
      <c r="I52" s="43" t="str">
        <f t="shared" si="2"/>
        <v>Unknown - Unscored</v>
      </c>
      <c r="J52" s="43" t="str">
        <f t="shared" si="3"/>
        <v>Unknown - Unscored</v>
      </c>
      <c r="K52" s="43" t="e">
        <f t="shared" si="4"/>
        <v>#DIV/0!</v>
      </c>
      <c r="L52" s="47" t="e">
        <f t="shared" si="5"/>
        <v>#DIV/0!</v>
      </c>
      <c r="N52" s="2"/>
    </row>
    <row r="53" spans="2:14" ht="28" x14ac:dyDescent="0.15">
      <c r="B53" s="44">
        <v>11.1</v>
      </c>
      <c r="C53" s="44" t="s">
        <v>218</v>
      </c>
      <c r="D53" s="44" t="s">
        <v>218</v>
      </c>
      <c r="E53" s="44" t="s">
        <v>218</v>
      </c>
      <c r="F53" s="44" t="s">
        <v>218</v>
      </c>
      <c r="G53" s="44" t="str">
        <f t="shared" si="0"/>
        <v>Unknown - Unscored</v>
      </c>
      <c r="H53" s="44" t="str">
        <f t="shared" si="1"/>
        <v>Unknown - Unscored</v>
      </c>
      <c r="I53" s="44" t="str">
        <f t="shared" si="2"/>
        <v>Unknown - Unscored</v>
      </c>
      <c r="J53" s="44" t="str">
        <f t="shared" si="3"/>
        <v>Unknown - Unscored</v>
      </c>
      <c r="K53" s="44" t="e">
        <f t="shared" si="4"/>
        <v>#DIV/0!</v>
      </c>
      <c r="L53" s="48" t="e">
        <f t="shared" si="5"/>
        <v>#DIV/0!</v>
      </c>
      <c r="N53" s="2"/>
    </row>
    <row r="54" spans="2:14" ht="14" x14ac:dyDescent="0.15">
      <c r="B54" s="43">
        <v>11.2</v>
      </c>
      <c r="C54" s="43" t="s">
        <v>194</v>
      </c>
      <c r="D54" s="43" t="s">
        <v>204</v>
      </c>
      <c r="E54" s="43" t="s">
        <v>196</v>
      </c>
      <c r="F54" s="43" t="s">
        <v>211</v>
      </c>
      <c r="G54" s="43">
        <f t="shared" si="0"/>
        <v>5</v>
      </c>
      <c r="H54" s="43">
        <f t="shared" si="1"/>
        <v>5</v>
      </c>
      <c r="I54" s="43">
        <f t="shared" si="2"/>
        <v>5</v>
      </c>
      <c r="J54" s="43" t="str">
        <f t="shared" si="3"/>
        <v>Unknown - N/A</v>
      </c>
      <c r="K54" s="43">
        <f t="shared" si="4"/>
        <v>5</v>
      </c>
      <c r="L54" s="47">
        <f t="shared" si="5"/>
        <v>5</v>
      </c>
      <c r="N54" s="2"/>
    </row>
    <row r="55" spans="2:14" ht="28" x14ac:dyDescent="0.15">
      <c r="B55" s="44">
        <v>11.3</v>
      </c>
      <c r="C55" s="44" t="s">
        <v>218</v>
      </c>
      <c r="D55" s="44" t="s">
        <v>218</v>
      </c>
      <c r="E55" s="44" t="s">
        <v>218</v>
      </c>
      <c r="F55" s="44" t="s">
        <v>218</v>
      </c>
      <c r="G55" s="44" t="str">
        <f t="shared" si="0"/>
        <v>Unknown - Unscored</v>
      </c>
      <c r="H55" s="44" t="str">
        <f t="shared" si="1"/>
        <v>Unknown - Unscored</v>
      </c>
      <c r="I55" s="44" t="str">
        <f t="shared" si="2"/>
        <v>Unknown - Unscored</v>
      </c>
      <c r="J55" s="44" t="str">
        <f t="shared" si="3"/>
        <v>Unknown - Unscored</v>
      </c>
      <c r="K55" s="44" t="e">
        <f t="shared" si="4"/>
        <v>#DIV/0!</v>
      </c>
      <c r="L55" s="48" t="e">
        <f t="shared" si="5"/>
        <v>#DIV/0!</v>
      </c>
      <c r="N55" s="2"/>
    </row>
    <row r="56" spans="2:14" ht="28" x14ac:dyDescent="0.15">
      <c r="B56" s="43">
        <v>11.4</v>
      </c>
      <c r="C56" s="43" t="s">
        <v>218</v>
      </c>
      <c r="D56" s="43" t="s">
        <v>218</v>
      </c>
      <c r="E56" s="43" t="s">
        <v>218</v>
      </c>
      <c r="F56" s="43" t="s">
        <v>218</v>
      </c>
      <c r="G56" s="43" t="str">
        <f t="shared" si="0"/>
        <v>Unknown - Unscored</v>
      </c>
      <c r="H56" s="43" t="str">
        <f t="shared" si="1"/>
        <v>Unknown - Unscored</v>
      </c>
      <c r="I56" s="43" t="str">
        <f t="shared" si="2"/>
        <v>Unknown - Unscored</v>
      </c>
      <c r="J56" s="43" t="str">
        <f t="shared" si="3"/>
        <v>Unknown - Unscored</v>
      </c>
      <c r="K56" s="43" t="e">
        <f t="shared" si="4"/>
        <v>#DIV/0!</v>
      </c>
      <c r="L56" s="47" t="e">
        <f t="shared" si="5"/>
        <v>#DIV/0!</v>
      </c>
      <c r="N56" s="2"/>
    </row>
    <row r="57" spans="2:14" ht="14" x14ac:dyDescent="0.15">
      <c r="B57" s="44">
        <v>12.1</v>
      </c>
      <c r="C57" s="44" t="s">
        <v>212</v>
      </c>
      <c r="D57" s="44" t="s">
        <v>213</v>
      </c>
      <c r="E57" s="44" t="s">
        <v>210</v>
      </c>
      <c r="F57" s="44" t="s">
        <v>214</v>
      </c>
      <c r="G57" s="44">
        <f t="shared" si="0"/>
        <v>1</v>
      </c>
      <c r="H57" s="44">
        <f t="shared" si="1"/>
        <v>1</v>
      </c>
      <c r="I57" s="44">
        <f t="shared" si="2"/>
        <v>2</v>
      </c>
      <c r="J57" s="44">
        <f t="shared" si="3"/>
        <v>1</v>
      </c>
      <c r="K57" s="44">
        <f t="shared" si="4"/>
        <v>1</v>
      </c>
      <c r="L57" s="48">
        <f t="shared" si="5"/>
        <v>1</v>
      </c>
      <c r="N57" s="2"/>
    </row>
    <row r="58" spans="2:14" ht="14" x14ac:dyDescent="0.15">
      <c r="B58" s="43">
        <v>14.1</v>
      </c>
      <c r="C58" s="43" t="s">
        <v>212</v>
      </c>
      <c r="D58" s="43" t="s">
        <v>213</v>
      </c>
      <c r="E58" s="43" t="s">
        <v>216</v>
      </c>
      <c r="F58" s="43" t="s">
        <v>214</v>
      </c>
      <c r="G58" s="43">
        <f t="shared" si="0"/>
        <v>1</v>
      </c>
      <c r="H58" s="43">
        <f t="shared" si="1"/>
        <v>1</v>
      </c>
      <c r="I58" s="43">
        <f t="shared" si="2"/>
        <v>1</v>
      </c>
      <c r="J58" s="43">
        <f t="shared" si="3"/>
        <v>1</v>
      </c>
      <c r="K58" s="43">
        <f t="shared" si="4"/>
        <v>1</v>
      </c>
      <c r="L58" s="47">
        <f t="shared" si="5"/>
        <v>1</v>
      </c>
      <c r="N58" s="2"/>
    </row>
    <row r="59" spans="2:14" ht="14" x14ac:dyDescent="0.15">
      <c r="B59" s="44">
        <v>14.2</v>
      </c>
      <c r="C59" s="44" t="s">
        <v>194</v>
      </c>
      <c r="D59" s="44" t="s">
        <v>195</v>
      </c>
      <c r="E59" s="44" t="s">
        <v>206</v>
      </c>
      <c r="F59" s="44" t="s">
        <v>202</v>
      </c>
      <c r="G59" s="44">
        <f t="shared" si="0"/>
        <v>5</v>
      </c>
      <c r="H59" s="44">
        <f t="shared" si="1"/>
        <v>4</v>
      </c>
      <c r="I59" s="44">
        <f t="shared" si="2"/>
        <v>4</v>
      </c>
      <c r="J59" s="44">
        <f t="shared" si="3"/>
        <v>4</v>
      </c>
      <c r="K59" s="44">
        <f t="shared" si="4"/>
        <v>4</v>
      </c>
      <c r="L59" s="48">
        <f t="shared" si="5"/>
        <v>4</v>
      </c>
      <c r="N59" s="2"/>
    </row>
    <row r="60" spans="2:14" ht="14" x14ac:dyDescent="0.15">
      <c r="B60" s="43">
        <v>14.3</v>
      </c>
      <c r="C60" s="43" t="s">
        <v>217</v>
      </c>
      <c r="D60" s="43" t="s">
        <v>195</v>
      </c>
      <c r="E60" s="43" t="s">
        <v>196</v>
      </c>
      <c r="F60" s="43" t="s">
        <v>197</v>
      </c>
      <c r="G60" s="43">
        <f t="shared" si="0"/>
        <v>4</v>
      </c>
      <c r="H60" s="43">
        <f t="shared" si="1"/>
        <v>4</v>
      </c>
      <c r="I60" s="43">
        <f t="shared" si="2"/>
        <v>5</v>
      </c>
      <c r="J60" s="43">
        <f t="shared" si="3"/>
        <v>3</v>
      </c>
      <c r="K60" s="43">
        <f t="shared" si="4"/>
        <v>4</v>
      </c>
      <c r="L60" s="47">
        <f t="shared" si="5"/>
        <v>4</v>
      </c>
      <c r="N60" s="2"/>
    </row>
    <row r="61" spans="2:14" ht="14" x14ac:dyDescent="0.15">
      <c r="B61" s="44">
        <v>14.4</v>
      </c>
      <c r="C61" s="44" t="s">
        <v>199</v>
      </c>
      <c r="D61" s="44" t="s">
        <v>195</v>
      </c>
      <c r="E61" s="44" t="s">
        <v>206</v>
      </c>
      <c r="F61" s="44" t="s">
        <v>205</v>
      </c>
      <c r="G61" s="44">
        <f t="shared" si="0"/>
        <v>3</v>
      </c>
      <c r="H61" s="44">
        <f t="shared" si="1"/>
        <v>4</v>
      </c>
      <c r="I61" s="44">
        <f t="shared" si="2"/>
        <v>4</v>
      </c>
      <c r="J61" s="44">
        <f t="shared" si="3"/>
        <v>5</v>
      </c>
      <c r="K61" s="44">
        <f t="shared" si="4"/>
        <v>4</v>
      </c>
      <c r="L61" s="48">
        <f t="shared" si="5"/>
        <v>4</v>
      </c>
      <c r="N61" s="2"/>
    </row>
    <row r="62" spans="2:14" ht="14" x14ac:dyDescent="0.15">
      <c r="B62" s="43">
        <v>14.5</v>
      </c>
      <c r="C62" s="43" t="s">
        <v>217</v>
      </c>
      <c r="D62" s="43" t="s">
        <v>204</v>
      </c>
      <c r="E62" s="43" t="s">
        <v>206</v>
      </c>
      <c r="F62" s="43" t="s">
        <v>205</v>
      </c>
      <c r="G62" s="43">
        <f t="shared" si="0"/>
        <v>4</v>
      </c>
      <c r="H62" s="43">
        <f t="shared" si="1"/>
        <v>5</v>
      </c>
      <c r="I62" s="43">
        <f t="shared" si="2"/>
        <v>4</v>
      </c>
      <c r="J62" s="43">
        <f t="shared" si="3"/>
        <v>5</v>
      </c>
      <c r="K62" s="43">
        <f t="shared" si="4"/>
        <v>5</v>
      </c>
      <c r="L62" s="47">
        <f t="shared" si="5"/>
        <v>5</v>
      </c>
      <c r="N62" s="2"/>
    </row>
    <row r="63" spans="2:14" ht="14" x14ac:dyDescent="0.15">
      <c r="B63" s="44">
        <v>14.6</v>
      </c>
      <c r="C63" s="44" t="s">
        <v>217</v>
      </c>
      <c r="D63" s="44" t="s">
        <v>204</v>
      </c>
      <c r="E63" s="44" t="s">
        <v>196</v>
      </c>
      <c r="F63" s="44" t="s">
        <v>205</v>
      </c>
      <c r="G63" s="44">
        <f t="shared" si="0"/>
        <v>4</v>
      </c>
      <c r="H63" s="44">
        <f t="shared" si="1"/>
        <v>5</v>
      </c>
      <c r="I63" s="44">
        <f t="shared" si="2"/>
        <v>5</v>
      </c>
      <c r="J63" s="44">
        <f t="shared" si="3"/>
        <v>5</v>
      </c>
      <c r="K63" s="44">
        <f t="shared" si="4"/>
        <v>5</v>
      </c>
      <c r="L63" s="48">
        <f t="shared" si="5"/>
        <v>5</v>
      </c>
      <c r="N63" s="2"/>
    </row>
    <row r="64" spans="2:14" ht="14" x14ac:dyDescent="0.15">
      <c r="B64" s="43">
        <v>14.7</v>
      </c>
      <c r="C64" s="43" t="s">
        <v>194</v>
      </c>
      <c r="D64" s="43" t="s">
        <v>195</v>
      </c>
      <c r="E64" s="43" t="s">
        <v>196</v>
      </c>
      <c r="F64" s="43" t="s">
        <v>202</v>
      </c>
      <c r="G64" s="43">
        <f t="shared" si="0"/>
        <v>5</v>
      </c>
      <c r="H64" s="43">
        <f t="shared" si="1"/>
        <v>4</v>
      </c>
      <c r="I64" s="43">
        <f t="shared" si="2"/>
        <v>5</v>
      </c>
      <c r="J64" s="43">
        <f t="shared" si="3"/>
        <v>4</v>
      </c>
      <c r="K64" s="43">
        <f t="shared" si="4"/>
        <v>5</v>
      </c>
      <c r="L64" s="47">
        <f t="shared" si="5"/>
        <v>5</v>
      </c>
      <c r="N64" s="2"/>
    </row>
    <row r="65" spans="2:14" ht="14" x14ac:dyDescent="0.15">
      <c r="B65" s="44">
        <v>14.8</v>
      </c>
      <c r="C65" s="44" t="s">
        <v>199</v>
      </c>
      <c r="D65" s="44" t="s">
        <v>195</v>
      </c>
      <c r="E65" s="44" t="s">
        <v>206</v>
      </c>
      <c r="F65" s="44" t="s">
        <v>205</v>
      </c>
      <c r="G65" s="44">
        <f t="shared" si="0"/>
        <v>3</v>
      </c>
      <c r="H65" s="44">
        <f t="shared" si="1"/>
        <v>4</v>
      </c>
      <c r="I65" s="44">
        <f t="shared" si="2"/>
        <v>4</v>
      </c>
      <c r="J65" s="44">
        <f t="shared" si="3"/>
        <v>5</v>
      </c>
      <c r="K65" s="44">
        <f t="shared" si="4"/>
        <v>4</v>
      </c>
      <c r="L65" s="48">
        <f t="shared" si="5"/>
        <v>4</v>
      </c>
      <c r="N65" s="2"/>
    </row>
    <row r="66" spans="2:14" ht="14" x14ac:dyDescent="0.15">
      <c r="B66" s="43">
        <v>15.1</v>
      </c>
      <c r="C66" s="43" t="s">
        <v>217</v>
      </c>
      <c r="D66" s="43" t="s">
        <v>204</v>
      </c>
      <c r="E66" s="43" t="s">
        <v>206</v>
      </c>
      <c r="F66" s="43" t="s">
        <v>205</v>
      </c>
      <c r="G66" s="43">
        <f t="shared" si="0"/>
        <v>4</v>
      </c>
      <c r="H66" s="43">
        <f t="shared" si="1"/>
        <v>5</v>
      </c>
      <c r="I66" s="43">
        <f t="shared" si="2"/>
        <v>4</v>
      </c>
      <c r="J66" s="43">
        <f t="shared" si="3"/>
        <v>5</v>
      </c>
      <c r="K66" s="43">
        <f t="shared" si="4"/>
        <v>5</v>
      </c>
      <c r="L66" s="47">
        <f t="shared" si="5"/>
        <v>5</v>
      </c>
      <c r="N66" s="2"/>
    </row>
    <row r="67" spans="2:14" ht="14" x14ac:dyDescent="0.15">
      <c r="B67" s="44">
        <v>17.100000000000001</v>
      </c>
      <c r="C67" s="44" t="s">
        <v>217</v>
      </c>
      <c r="D67" s="44" t="s">
        <v>204</v>
      </c>
      <c r="E67" s="44" t="s">
        <v>196</v>
      </c>
      <c r="F67" s="44" t="s">
        <v>205</v>
      </c>
      <c r="G67" s="44">
        <f t="shared" si="0"/>
        <v>4</v>
      </c>
      <c r="H67" s="44">
        <f t="shared" si="1"/>
        <v>5</v>
      </c>
      <c r="I67" s="44">
        <f t="shared" si="2"/>
        <v>5</v>
      </c>
      <c r="J67" s="44">
        <f t="shared" si="3"/>
        <v>5</v>
      </c>
      <c r="K67" s="44">
        <f t="shared" si="4"/>
        <v>5</v>
      </c>
      <c r="L67" s="48">
        <f t="shared" si="5"/>
        <v>5</v>
      </c>
      <c r="N67" s="2"/>
    </row>
    <row r="68" spans="2:14" ht="14" x14ac:dyDescent="0.15">
      <c r="B68" s="43">
        <v>17.2</v>
      </c>
      <c r="C68" s="43" t="s">
        <v>212</v>
      </c>
      <c r="D68" s="43" t="s">
        <v>213</v>
      </c>
      <c r="E68" s="43" t="s">
        <v>210</v>
      </c>
      <c r="F68" s="43" t="s">
        <v>214</v>
      </c>
      <c r="G68" s="43">
        <f t="shared" si="0"/>
        <v>1</v>
      </c>
      <c r="H68" s="43">
        <f t="shared" si="1"/>
        <v>1</v>
      </c>
      <c r="I68" s="43">
        <f t="shared" si="2"/>
        <v>2</v>
      </c>
      <c r="J68" s="43">
        <f t="shared" si="3"/>
        <v>1</v>
      </c>
      <c r="K68" s="43">
        <f t="shared" si="4"/>
        <v>1</v>
      </c>
      <c r="L68" s="47">
        <f t="shared" si="5"/>
        <v>1</v>
      </c>
      <c r="N68" s="2"/>
    </row>
    <row r="69" spans="2:14" ht="15" thickBot="1" x14ac:dyDescent="0.2">
      <c r="B69" s="45">
        <v>17.3</v>
      </c>
      <c r="C69" s="45" t="s">
        <v>212</v>
      </c>
      <c r="D69" s="45" t="s">
        <v>213</v>
      </c>
      <c r="E69" s="45" t="s">
        <v>216</v>
      </c>
      <c r="F69" s="45" t="s">
        <v>214</v>
      </c>
      <c r="G69" s="45">
        <f t="shared" si="0"/>
        <v>1</v>
      </c>
      <c r="H69" s="45">
        <f t="shared" si="1"/>
        <v>1</v>
      </c>
      <c r="I69" s="45">
        <f t="shared" si="2"/>
        <v>1</v>
      </c>
      <c r="J69" s="45">
        <f t="shared" si="3"/>
        <v>1</v>
      </c>
      <c r="K69" s="45">
        <f t="shared" si="4"/>
        <v>1</v>
      </c>
      <c r="L69" s="49">
        <f t="shared" si="5"/>
        <v>1</v>
      </c>
      <c r="N69" s="2"/>
    </row>
  </sheetData>
  <sheetProtection sheet="1" objects="1" scenarios="1"/>
  <mergeCells count="6">
    <mergeCell ref="B1:L1"/>
    <mergeCell ref="L12:L13"/>
    <mergeCell ref="C12:F12"/>
    <mergeCell ref="G12:J12"/>
    <mergeCell ref="K12:K13"/>
    <mergeCell ref="I3:O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2A99B948A3E74D82683DEA34A0B629" ma:contentTypeVersion="14" ma:contentTypeDescription="Create a new document." ma:contentTypeScope="" ma:versionID="7b1b15d7da630ba8f32476be9f7c7c74">
  <xsd:schema xmlns:xsd="http://www.w3.org/2001/XMLSchema" xmlns:xs="http://www.w3.org/2001/XMLSchema" xmlns:p="http://schemas.microsoft.com/office/2006/metadata/properties" xmlns:ns2="1ca8c3bf-6909-4544-ae00-cda6071a0e89" xmlns:ns3="14383da4-97a8-4c4e-bdf3-51697a2afc5e" targetNamespace="http://schemas.microsoft.com/office/2006/metadata/properties" ma:root="true" ma:fieldsID="0f3ff40e094fffc93884ec2e9986a59b" ns2:_="" ns3:_="">
    <xsd:import namespace="1ca8c3bf-6909-4544-ae00-cda6071a0e89"/>
    <xsd:import namespace="14383da4-97a8-4c4e-bdf3-51697a2afc5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2"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383da4-97a8-4c4e-bdf3-51697a2afc5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ca8c3bf-6909-4544-ae00-cda6071a0e89" xsi:nil="true"/>
    <_dlc_DocId xmlns="1ca8c3bf-6909-4544-ae00-cda6071a0e89">E3DAVTDFHYNF-1156252676-141034</_dlc_DocId>
    <_dlc_DocIdUrl xmlns="1ca8c3bf-6909-4544-ae00-cda6071a0e89">
      <Url>https://centerforinternetsecurity.sharepoint.com/sites/CISDocumentLibrary/_layouts/15/DocIdRedir.aspx?ID=E3DAVTDFHYNF-1156252676-141034</Url>
      <Description>E3DAVTDFHYNF-1156252676-141034</Description>
    </_dlc_DocIdUrl>
    <lcf76f155ced4ddcb4097134ff3c332f xmlns="14383da4-97a8-4c4e-bdf3-51697a2afc5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679F094-73C8-4C86-9E7C-CF37AEADE8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14383da4-97a8-4c4e-bdf3-51697a2af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A9B54C-C604-41ED-ABFC-8088FA22CDF1}">
  <ds:schemaRefs>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microsoft.com/office/2006/metadata/properties"/>
    <ds:schemaRef ds:uri="1ca8c3bf-6909-4544-ae00-cda6071a0e89"/>
    <ds:schemaRef ds:uri="http://schemas.openxmlformats.org/package/2006/metadata/core-properties"/>
    <ds:schemaRef ds:uri="14383da4-97a8-4c4e-bdf3-51697a2afc5e"/>
    <ds:schemaRef ds:uri="http://www.w3.org/XML/1998/namespace"/>
  </ds:schemaRefs>
</ds:datastoreItem>
</file>

<file path=customXml/itemProps3.xml><?xml version="1.0" encoding="utf-8"?>
<ds:datastoreItem xmlns:ds="http://schemas.openxmlformats.org/officeDocument/2006/customXml" ds:itemID="{A5518C8F-70F0-4E3E-886B-C79A81AB6E2E}">
  <ds:schemaRefs>
    <ds:schemaRef ds:uri="http://schemas.microsoft.com/sharepoint/v3/contenttype/forms"/>
  </ds:schemaRefs>
</ds:datastoreItem>
</file>

<file path=customXml/itemProps4.xml><?xml version="1.0" encoding="utf-8"?>
<ds:datastoreItem xmlns:ds="http://schemas.openxmlformats.org/officeDocument/2006/customXml" ds:itemID="{76807C70-5236-41F0-9881-3A6C1B85CFB2}">
  <ds:schemaRefs>
    <ds:schemaRef ds:uri="http://schemas.microsoft.com/DataMashup"/>
  </ds:schemaRefs>
</ds:datastoreItem>
</file>

<file path=customXml/itemProps5.xml><?xml version="1.0" encoding="utf-8"?>
<ds:datastoreItem xmlns:ds="http://schemas.openxmlformats.org/officeDocument/2006/customXml" ds:itemID="{D198711B-FC60-465D-9C37-51CFEDD5785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Cover</vt:lpstr>
      <vt:lpstr>Read_Me</vt:lpstr>
      <vt:lpstr>Important Resources</vt:lpstr>
      <vt:lpstr>Risk Register Controls v8.1</vt:lpstr>
      <vt:lpstr>Legend</vt:lpstr>
      <vt:lpstr>Lookup Tables</vt:lpstr>
      <vt:lpstr>CIS CSAT Pro</vt:lpstr>
      <vt:lpstr>CIS-Hosted CSAT</vt:lpstr>
      <vt:lpstr>Risk Reg Controls v8.1 -Example</vt:lpstr>
      <vt:lpstr>CIS CSAT Pro - EXAMPLE</vt:lpstr>
      <vt:lpstr>CIS-Hosted CSAT - EXAMPLE</vt:lpstr>
      <vt:lpstr>'CIS CSAT Pro'!_Hlk82606169</vt:lpstr>
      <vt:lpstr>Asset_Class</vt:lpstr>
      <vt:lpstr>'Risk Register Controls v8.1'!Industry</vt:lpstr>
      <vt:lpstr>Maturity_Score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Cronin</dc:creator>
  <cp:lastModifiedBy>Melissa Johnson</cp:lastModifiedBy>
  <dcterms:created xsi:type="dcterms:W3CDTF">2019-10-25T13:04:24Z</dcterms:created>
  <dcterms:modified xsi:type="dcterms:W3CDTF">2025-11-04T14:48:29Z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0x010100EE2A99B948A3E74D82683DEA34A0B629</vt:lpwstr>
  </property>
  <property fmtid="{D5CDD505-2E9C-101B-9397-08002B2CF9AE}" pid="3" name="_dlc_DocIdItemGuid">
    <vt:lpwstr>16c8f73a-76cf-4d11-a43a-be29fa4e6e84</vt:lpwstr>
  </property>
  <property fmtid="{D5CDD505-2E9C-101B-9397-08002B2CF9AE}" pid="4" name="MSIP_Label_35ee6e7b-9efa-4f67-8428-04c5b571e08e_Enabled">
    <vt:lpwstr>true</vt:lpwstr>
  </property>
  <property fmtid="{D5CDD505-2E9C-101B-9397-08002B2CF9AE}" pid="5" name="MSIP_Label_35ee6e7b-9efa-4f67-8428-04c5b571e08e_SetDate">
    <vt:lpwstr>2025-06-26T12:29:50Z</vt:lpwstr>
  </property>
  <property fmtid="{D5CDD505-2E9C-101B-9397-08002B2CF9AE}" pid="6" name="MSIP_Label_35ee6e7b-9efa-4f67-8428-04c5b571e08e_Method">
    <vt:lpwstr>Standard</vt:lpwstr>
  </property>
  <property fmtid="{D5CDD505-2E9C-101B-9397-08002B2CF9AE}" pid="7" name="MSIP_Label_35ee6e7b-9efa-4f67-8428-04c5b571e08e_Name">
    <vt:lpwstr>Internal Only - General</vt:lpwstr>
  </property>
  <property fmtid="{D5CDD505-2E9C-101B-9397-08002B2CF9AE}" pid="8" name="MSIP_Label_35ee6e7b-9efa-4f67-8428-04c5b571e08e_SiteId">
    <vt:lpwstr>0db8894b-5a7a-4432-8cdc-399a3807bda0</vt:lpwstr>
  </property>
  <property fmtid="{D5CDD505-2E9C-101B-9397-08002B2CF9AE}" pid="9" name="MSIP_Label_35ee6e7b-9efa-4f67-8428-04c5b571e08e_ActionId">
    <vt:lpwstr>45f7ed3e-b415-4493-a588-ff462d5dbe3d</vt:lpwstr>
  </property>
  <property fmtid="{D5CDD505-2E9C-101B-9397-08002B2CF9AE}" pid="10" name="MSIP_Label_35ee6e7b-9efa-4f67-8428-04c5b571e08e_ContentBits">
    <vt:lpwstr>0</vt:lpwstr>
  </property>
  <property fmtid="{D5CDD505-2E9C-101B-9397-08002B2CF9AE}" pid="11" name="MSIP_Label_35ee6e7b-9efa-4f67-8428-04c5b571e08e_Tag">
    <vt:lpwstr>10, 3, 0, 1</vt:lpwstr>
  </property>
  <property fmtid="{D5CDD505-2E9C-101B-9397-08002B2CF9AE}" pid="12" name="MediaServiceImageTags">
    <vt:lpwstr/>
  </property>
</Properties>
</file>