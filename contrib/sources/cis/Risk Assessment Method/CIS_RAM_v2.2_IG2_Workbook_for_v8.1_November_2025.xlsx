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omments1.xml" ContentType="application/vnd.openxmlformats-officedocument.spreadsheetml.comments+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omments2.xml" ContentType="application/vnd.openxmlformats-officedocument.spreadsheetml.comments+xml"/>
  <Override PartName="/xl/tables/table27.xml" ContentType="application/vnd.openxmlformats-officedocument.spreadsheetml.table+xml"/>
  <Override PartName="/xl/tables/table28.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defaultThemeVersion="166925"/>
  <mc:AlternateContent xmlns:mc="http://schemas.openxmlformats.org/markup-compatibility/2006">
    <mc:Choice Requires="x15">
      <x15ac:absPath xmlns:x15ac="http://schemas.microsoft.com/office/spreadsheetml/2010/11/ac" url="/Users/mjohnson/Desktop/"/>
    </mc:Choice>
  </mc:AlternateContent>
  <xr:revisionPtr revIDLastSave="0" documentId="13_ncr:1_{AF941F06-AD7B-E544-893B-17418E6AC895}" xr6:coauthVersionLast="47" xr6:coauthVersionMax="47" xr10:uidLastSave="{00000000-0000-0000-0000-000000000000}"/>
  <bookViews>
    <workbookView xWindow="-23740" yWindow="500" windowWidth="23360" windowHeight="20680" tabRatio="945" xr2:uid="{5FB309F1-118B-4514-8FE1-25A01A609E8C}"/>
  </bookViews>
  <sheets>
    <sheet name="Cover" sheetId="17" r:id="rId1"/>
    <sheet name="Read_Me" sheetId="38" r:id="rId2"/>
    <sheet name="Important Resources" sheetId="40" r:id="rId3"/>
    <sheet name="1. Impact Criteria Survey " sheetId="14" r:id="rId4"/>
    <sheet name="2. Enterprise Parameters" sheetId="13" r:id="rId5"/>
    <sheet name="3. Risk Register Controls v8.1" sheetId="26" r:id="rId6"/>
    <sheet name="Legend" sheetId="18" r:id="rId7"/>
    <sheet name="Lookup Tables" sheetId="6" r:id="rId8"/>
    <sheet name="CIS CSAT Pro" sheetId="33" r:id="rId9"/>
    <sheet name="CIS-Hosted CSAT" sheetId="34" r:id="rId10"/>
    <sheet name="Impact Criteria Survey-EXAMPLE" sheetId="16" r:id="rId11"/>
    <sheet name="Enterprise Parameters -EXAMPLE" sheetId="28" r:id="rId12"/>
    <sheet name="Risk Register Controls v8.1 Ex" sheetId="32" r:id="rId13"/>
    <sheet name="CIS CSAT Pro - EXAMPLE" sheetId="36" r:id="rId14"/>
    <sheet name="CIS-Hosted CSAT - EXAMPLE" sheetId="35" r:id="rId15"/>
  </sheets>
  <definedNames>
    <definedName name="_ftn1" localSheetId="8">'CIS CSAT Pro'!$G$20</definedName>
    <definedName name="_ftnref1" localSheetId="8">'CIS CSAT Pro'!$G$8</definedName>
    <definedName name="_Hlk82606169" localSheetId="8">'CIS CSAT Pro'!$G$14</definedName>
    <definedName name="AcceptableRisk">'2. Enterprise Parameters'!$E$35</definedName>
    <definedName name="AcceptableRisk1">'Enterprise Parameters -EXAMPLE'!$E$35</definedName>
    <definedName name="Asset_Class">tblVCDBIndex[[#All],[Asset Class]]</definedName>
    <definedName name="Maturity_Score">tblMaturityScores[Maturity Scores]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23" i="32" l="1"/>
  <c r="AC23" i="32"/>
  <c r="AD23" i="32"/>
  <c r="AE23" i="32"/>
  <c r="AB24" i="32"/>
  <c r="AC24" i="32"/>
  <c r="AD24" i="32"/>
  <c r="AE24" i="32"/>
  <c r="AB25" i="32"/>
  <c r="AC25" i="32"/>
  <c r="AD25" i="32"/>
  <c r="AE25" i="32"/>
  <c r="AB26" i="32"/>
  <c r="AC26" i="32"/>
  <c r="AD26" i="32"/>
  <c r="AE26" i="32"/>
  <c r="AB27" i="32"/>
  <c r="AC27" i="32"/>
  <c r="AD27" i="32"/>
  <c r="AE27" i="32"/>
  <c r="AB28" i="32"/>
  <c r="AC28" i="32"/>
  <c r="AD28" i="32"/>
  <c r="AE28" i="32"/>
  <c r="AB29" i="32"/>
  <c r="AC29" i="32"/>
  <c r="AD29" i="32"/>
  <c r="AE29" i="32"/>
  <c r="AB30" i="32"/>
  <c r="AC30" i="32"/>
  <c r="AD30" i="32"/>
  <c r="AE30" i="32"/>
  <c r="AB31" i="32"/>
  <c r="AC31" i="32"/>
  <c r="AD31" i="32"/>
  <c r="AE31" i="32"/>
  <c r="AB32" i="32"/>
  <c r="AC32" i="32"/>
  <c r="AD32" i="32"/>
  <c r="AE32" i="32"/>
  <c r="AB33" i="32"/>
  <c r="AC33" i="32"/>
  <c r="AD33" i="32"/>
  <c r="AE33" i="32"/>
  <c r="AB34" i="32"/>
  <c r="AC34" i="32"/>
  <c r="AD34" i="32"/>
  <c r="AE34" i="32"/>
  <c r="AB35" i="32"/>
  <c r="AC35" i="32"/>
  <c r="AD35" i="32"/>
  <c r="AE35" i="32"/>
  <c r="AB36" i="32"/>
  <c r="AC36" i="32"/>
  <c r="AD36" i="32"/>
  <c r="AE36" i="32"/>
  <c r="AB37" i="32"/>
  <c r="AC37" i="32"/>
  <c r="AD37" i="32"/>
  <c r="AE37" i="32"/>
  <c r="AB38" i="32"/>
  <c r="AC38" i="32"/>
  <c r="AD38" i="32"/>
  <c r="AE38" i="32"/>
  <c r="AB39" i="32"/>
  <c r="AC39" i="32"/>
  <c r="AD39" i="32"/>
  <c r="AE39" i="32"/>
  <c r="AB40" i="32"/>
  <c r="AC40" i="32"/>
  <c r="AD40" i="32"/>
  <c r="AE40" i="32"/>
  <c r="AB41" i="32"/>
  <c r="AC41" i="32"/>
  <c r="AD41" i="32"/>
  <c r="AE41" i="32"/>
  <c r="AB42" i="32"/>
  <c r="AC42" i="32"/>
  <c r="AD42" i="32"/>
  <c r="AE42" i="32"/>
  <c r="AB43" i="32"/>
  <c r="AC43" i="32"/>
  <c r="AD43" i="32"/>
  <c r="AE43" i="32"/>
  <c r="AB44" i="32"/>
  <c r="AC44" i="32"/>
  <c r="AD44" i="32"/>
  <c r="AE44" i="32"/>
  <c r="AB45" i="32"/>
  <c r="AC45" i="32"/>
  <c r="AD45" i="32"/>
  <c r="AE45" i="32"/>
  <c r="AB46" i="32"/>
  <c r="AC46" i="32"/>
  <c r="AD46" i="32"/>
  <c r="AE46" i="32"/>
  <c r="AB47" i="32"/>
  <c r="AC47" i="32"/>
  <c r="AD47" i="32"/>
  <c r="AE47" i="32"/>
  <c r="AB48" i="32"/>
  <c r="AC48" i="32"/>
  <c r="AD48" i="32"/>
  <c r="AE48" i="32"/>
  <c r="AB49" i="32"/>
  <c r="AC49" i="32"/>
  <c r="AD49" i="32"/>
  <c r="AE49" i="32"/>
  <c r="AB50" i="32"/>
  <c r="AC50" i="32"/>
  <c r="AD50" i="32"/>
  <c r="AE50" i="32"/>
  <c r="AB51" i="32"/>
  <c r="AC51" i="32"/>
  <c r="AD51" i="32"/>
  <c r="AE51" i="32"/>
  <c r="AB52" i="32"/>
  <c r="AC52" i="32"/>
  <c r="AD52" i="32"/>
  <c r="AE52" i="32"/>
  <c r="AB53" i="32"/>
  <c r="AC53" i="32"/>
  <c r="AD53" i="32"/>
  <c r="AE53" i="32"/>
  <c r="AB54" i="32"/>
  <c r="AC54" i="32"/>
  <c r="AD54" i="32"/>
  <c r="AE54" i="32"/>
  <c r="AB55" i="32"/>
  <c r="AC55" i="32"/>
  <c r="AD55" i="32"/>
  <c r="AE55" i="32"/>
  <c r="AB56" i="32"/>
  <c r="AC56" i="32"/>
  <c r="AD56" i="32"/>
  <c r="AE56" i="32"/>
  <c r="AB57" i="32"/>
  <c r="AC57" i="32"/>
  <c r="AD57" i="32"/>
  <c r="AE57" i="32"/>
  <c r="AB58" i="32"/>
  <c r="AC58" i="32"/>
  <c r="AD58" i="32"/>
  <c r="AE58" i="32"/>
  <c r="AB59" i="32"/>
  <c r="AC59" i="32"/>
  <c r="AD59" i="32"/>
  <c r="AE59" i="32"/>
  <c r="AB60" i="32"/>
  <c r="AC60" i="32"/>
  <c r="AD60" i="32"/>
  <c r="AE60" i="32"/>
  <c r="AB61" i="32"/>
  <c r="AC61" i="32"/>
  <c r="AD61" i="32"/>
  <c r="AE61" i="32"/>
  <c r="AB62" i="32"/>
  <c r="AC62" i="32"/>
  <c r="AD62" i="32"/>
  <c r="AE62" i="32"/>
  <c r="AB63" i="32"/>
  <c r="AC63" i="32"/>
  <c r="AD63" i="32"/>
  <c r="AE63" i="32"/>
  <c r="AB64" i="32"/>
  <c r="AC64" i="32"/>
  <c r="AD64" i="32"/>
  <c r="AE64" i="32"/>
  <c r="AB65" i="32"/>
  <c r="AC65" i="32"/>
  <c r="AD65" i="32"/>
  <c r="AE65" i="32"/>
  <c r="AB66" i="32"/>
  <c r="AC66" i="32"/>
  <c r="AD66" i="32"/>
  <c r="AE66" i="32"/>
  <c r="AB67" i="32"/>
  <c r="AC67" i="32"/>
  <c r="AD67" i="32"/>
  <c r="AE67" i="32"/>
  <c r="AB68" i="32"/>
  <c r="AC68" i="32"/>
  <c r="AD68" i="32"/>
  <c r="AE68" i="32"/>
  <c r="AB69" i="32"/>
  <c r="AC69" i="32"/>
  <c r="AD69" i="32"/>
  <c r="AE69" i="32"/>
  <c r="AB70" i="32"/>
  <c r="AC70" i="32"/>
  <c r="AD70" i="32"/>
  <c r="AE70" i="32"/>
  <c r="AB71" i="32"/>
  <c r="AC71" i="32"/>
  <c r="AD71" i="32"/>
  <c r="AE71" i="32"/>
  <c r="AB72" i="32"/>
  <c r="AC72" i="32"/>
  <c r="AD72" i="32"/>
  <c r="AE72" i="32"/>
  <c r="AB73" i="32"/>
  <c r="AC73" i="32"/>
  <c r="AD73" i="32"/>
  <c r="AE73" i="32"/>
  <c r="AB74" i="32"/>
  <c r="AC74" i="32"/>
  <c r="AD74" i="32"/>
  <c r="AE74" i="32"/>
  <c r="AB75" i="32"/>
  <c r="AC75" i="32"/>
  <c r="AD75" i="32"/>
  <c r="AE75" i="32"/>
  <c r="AB76" i="32"/>
  <c r="AC76" i="32"/>
  <c r="AD76" i="32"/>
  <c r="AE76" i="32"/>
  <c r="AB77" i="32"/>
  <c r="AC77" i="32"/>
  <c r="AD77" i="32"/>
  <c r="AE77" i="32"/>
  <c r="AB78" i="32"/>
  <c r="AC78" i="32"/>
  <c r="AD78" i="32"/>
  <c r="AE78" i="32"/>
  <c r="AB79" i="32"/>
  <c r="AC79" i="32"/>
  <c r="AD79" i="32"/>
  <c r="AE79" i="32"/>
  <c r="AB80" i="32"/>
  <c r="AC80" i="32"/>
  <c r="AD80" i="32"/>
  <c r="AE80" i="32"/>
  <c r="AB81" i="32"/>
  <c r="AC81" i="32"/>
  <c r="AD81" i="32"/>
  <c r="AE81" i="32"/>
  <c r="AB82" i="32"/>
  <c r="AC82" i="32"/>
  <c r="AD82" i="32"/>
  <c r="AE82" i="32"/>
  <c r="AB83" i="32"/>
  <c r="AC83" i="32"/>
  <c r="AD83" i="32"/>
  <c r="AE83" i="32"/>
  <c r="AB84" i="32"/>
  <c r="AC84" i="32"/>
  <c r="AD84" i="32"/>
  <c r="AE84" i="32"/>
  <c r="AB85" i="32"/>
  <c r="AC85" i="32"/>
  <c r="AD85" i="32"/>
  <c r="AE85" i="32"/>
  <c r="AB86" i="32"/>
  <c r="AC86" i="32"/>
  <c r="AD86" i="32"/>
  <c r="AE86" i="32"/>
  <c r="AB87" i="32"/>
  <c r="AC87" i="32"/>
  <c r="AD87" i="32"/>
  <c r="AE87" i="32"/>
  <c r="AB88" i="32"/>
  <c r="AC88" i="32"/>
  <c r="AD88" i="32"/>
  <c r="AE88" i="32"/>
  <c r="AB89" i="32"/>
  <c r="AC89" i="32"/>
  <c r="AD89" i="32"/>
  <c r="AE89" i="32"/>
  <c r="AB90" i="32"/>
  <c r="AC90" i="32"/>
  <c r="AD90" i="32"/>
  <c r="AE90" i="32"/>
  <c r="AB91" i="32"/>
  <c r="AC91" i="32"/>
  <c r="AD91" i="32"/>
  <c r="AE91" i="32"/>
  <c r="AB92" i="32"/>
  <c r="AC92" i="32"/>
  <c r="AD92" i="32"/>
  <c r="AE92" i="32"/>
  <c r="AB93" i="32"/>
  <c r="AC93" i="32"/>
  <c r="AD93" i="32"/>
  <c r="AE93" i="32"/>
  <c r="AB94" i="32"/>
  <c r="AC94" i="32"/>
  <c r="AD94" i="32"/>
  <c r="AE94" i="32"/>
  <c r="AB95" i="32"/>
  <c r="AC95" i="32"/>
  <c r="AD95" i="32"/>
  <c r="AE95" i="32"/>
  <c r="AB96" i="32"/>
  <c r="AC96" i="32"/>
  <c r="AD96" i="32"/>
  <c r="AE96" i="32"/>
  <c r="AB97" i="32"/>
  <c r="AC97" i="32"/>
  <c r="AD97" i="32"/>
  <c r="AE97" i="32"/>
  <c r="AB98" i="32"/>
  <c r="AC98" i="32"/>
  <c r="AD98" i="32"/>
  <c r="AE98" i="32"/>
  <c r="AB99" i="32"/>
  <c r="AC99" i="32"/>
  <c r="AD99" i="32"/>
  <c r="AE99" i="32"/>
  <c r="AB100" i="32"/>
  <c r="AC100" i="32"/>
  <c r="AD100" i="32"/>
  <c r="AE100" i="32"/>
  <c r="AB101" i="32"/>
  <c r="AC101" i="32"/>
  <c r="AD101" i="32"/>
  <c r="AE101" i="32"/>
  <c r="AB102" i="32"/>
  <c r="AC102" i="32"/>
  <c r="AD102" i="32"/>
  <c r="AE102" i="32"/>
  <c r="AB103" i="32"/>
  <c r="AC103" i="32"/>
  <c r="AD103" i="32"/>
  <c r="AE103" i="32"/>
  <c r="AB104" i="32"/>
  <c r="AC104" i="32"/>
  <c r="AD104" i="32"/>
  <c r="AE104" i="32"/>
  <c r="AB105" i="32"/>
  <c r="AC105" i="32"/>
  <c r="AD105" i="32"/>
  <c r="AE105" i="32"/>
  <c r="AB106" i="32"/>
  <c r="AC106" i="32"/>
  <c r="AD106" i="32"/>
  <c r="AE106" i="32"/>
  <c r="AB107" i="32"/>
  <c r="AC107" i="32"/>
  <c r="AD107" i="32"/>
  <c r="AE107" i="32"/>
  <c r="AB108" i="32"/>
  <c r="AC108" i="32"/>
  <c r="AD108" i="32"/>
  <c r="AE108" i="32"/>
  <c r="AB109" i="32"/>
  <c r="AC109" i="32"/>
  <c r="AD109" i="32"/>
  <c r="AE109" i="32"/>
  <c r="AB110" i="32"/>
  <c r="AC110" i="32"/>
  <c r="AD110" i="32"/>
  <c r="AE110" i="32"/>
  <c r="AB111" i="32"/>
  <c r="AC111" i="32"/>
  <c r="AD111" i="32"/>
  <c r="AE111" i="32"/>
  <c r="AB112" i="32"/>
  <c r="AC112" i="32"/>
  <c r="AD112" i="32"/>
  <c r="AE112" i="32"/>
  <c r="AB113" i="32"/>
  <c r="AC113" i="32"/>
  <c r="AD113" i="32"/>
  <c r="AE113" i="32"/>
  <c r="AB114" i="32"/>
  <c r="AC114" i="32"/>
  <c r="AD114" i="32"/>
  <c r="AE114" i="32"/>
  <c r="AB115" i="32"/>
  <c r="AC115" i="32"/>
  <c r="AD115" i="32"/>
  <c r="AE115" i="32"/>
  <c r="AB116" i="32"/>
  <c r="AC116" i="32"/>
  <c r="AD116" i="32"/>
  <c r="AE116" i="32"/>
  <c r="AB117" i="32"/>
  <c r="AC117" i="32"/>
  <c r="AD117" i="32"/>
  <c r="AE117" i="32"/>
  <c r="AB118" i="32"/>
  <c r="AC118" i="32"/>
  <c r="AD118" i="32"/>
  <c r="AE118" i="32"/>
  <c r="AB119" i="32"/>
  <c r="AC119" i="32"/>
  <c r="AD119" i="32"/>
  <c r="AE119" i="32"/>
  <c r="AB120" i="32"/>
  <c r="AC120" i="32"/>
  <c r="AD120" i="32"/>
  <c r="AE120" i="32"/>
  <c r="AB121" i="32"/>
  <c r="AC121" i="32"/>
  <c r="AD121" i="32"/>
  <c r="AE121" i="32"/>
  <c r="AB122" i="32"/>
  <c r="AC122" i="32"/>
  <c r="AD122" i="32"/>
  <c r="AE122" i="32"/>
  <c r="AB123" i="32"/>
  <c r="AC123" i="32"/>
  <c r="AD123" i="32"/>
  <c r="AE123" i="32"/>
  <c r="AB124" i="32"/>
  <c r="AC124" i="32"/>
  <c r="AD124" i="32"/>
  <c r="AE124" i="32"/>
  <c r="AB125" i="32"/>
  <c r="AC125" i="32"/>
  <c r="AD125" i="32"/>
  <c r="AE125" i="32"/>
  <c r="AB126" i="32"/>
  <c r="AC126" i="32"/>
  <c r="AD126" i="32"/>
  <c r="AE126" i="32"/>
  <c r="AB127" i="32"/>
  <c r="AC127" i="32"/>
  <c r="AD127" i="32"/>
  <c r="AE127" i="32"/>
  <c r="AB128" i="32"/>
  <c r="AC128" i="32"/>
  <c r="AD128" i="32"/>
  <c r="AE128" i="32"/>
  <c r="AB129" i="32"/>
  <c r="AC129" i="32"/>
  <c r="AD129" i="32"/>
  <c r="AE129" i="32"/>
  <c r="AB130" i="32"/>
  <c r="AC130" i="32"/>
  <c r="AD130" i="32"/>
  <c r="AE130" i="32"/>
  <c r="AB131" i="32"/>
  <c r="AC131" i="32"/>
  <c r="AD131" i="32"/>
  <c r="AE131" i="32"/>
  <c r="AB132" i="32"/>
  <c r="AC132" i="32"/>
  <c r="AD132" i="32"/>
  <c r="AE132" i="32"/>
  <c r="AB133" i="32"/>
  <c r="AC133" i="32"/>
  <c r="AD133" i="32"/>
  <c r="AE133" i="32"/>
  <c r="AB134" i="32"/>
  <c r="AC134" i="32"/>
  <c r="AD134" i="32"/>
  <c r="AE134" i="32"/>
  <c r="AB135" i="32"/>
  <c r="AC135" i="32"/>
  <c r="AD135" i="32"/>
  <c r="AE135" i="32"/>
  <c r="AB136" i="32"/>
  <c r="AC136" i="32"/>
  <c r="AD136" i="32"/>
  <c r="AE136" i="32"/>
  <c r="AB137" i="32"/>
  <c r="AC137" i="32"/>
  <c r="AD137" i="32"/>
  <c r="AE137" i="32"/>
  <c r="AB138" i="32"/>
  <c r="AC138" i="32"/>
  <c r="AD138" i="32"/>
  <c r="AE138" i="32"/>
  <c r="AB139" i="32"/>
  <c r="AC139" i="32"/>
  <c r="AD139" i="32"/>
  <c r="AE139" i="32"/>
  <c r="AB140" i="32"/>
  <c r="AC140" i="32"/>
  <c r="AD140" i="32"/>
  <c r="AE140" i="32"/>
  <c r="AB141" i="32"/>
  <c r="AC141" i="32"/>
  <c r="AD141" i="32"/>
  <c r="AE141" i="32"/>
  <c r="AB142" i="32"/>
  <c r="AC142" i="32"/>
  <c r="AD142" i="32"/>
  <c r="AE142" i="32"/>
  <c r="AB11" i="32"/>
  <c r="AC11" i="32"/>
  <c r="AD11" i="32"/>
  <c r="AE11" i="32"/>
  <c r="AB12" i="32"/>
  <c r="AC12" i="32"/>
  <c r="AD12" i="32"/>
  <c r="AE12" i="32"/>
  <c r="AB13" i="32"/>
  <c r="AC13" i="32"/>
  <c r="AD13" i="32"/>
  <c r="AE13" i="32"/>
  <c r="AB14" i="32"/>
  <c r="AC14" i="32"/>
  <c r="AD14" i="32"/>
  <c r="AE14" i="32"/>
  <c r="O15" i="32" l="1"/>
  <c r="O16" i="32"/>
  <c r="O17" i="32"/>
  <c r="O18" i="32"/>
  <c r="O19" i="32"/>
  <c r="O20" i="32"/>
  <c r="O21" i="32"/>
  <c r="O22" i="32"/>
  <c r="O35" i="32"/>
  <c r="O59" i="32"/>
  <c r="O60" i="32"/>
  <c r="O61" i="32"/>
  <c r="O62" i="32"/>
  <c r="O63" i="32"/>
  <c r="O64" i="32"/>
  <c r="O65" i="32"/>
  <c r="O77" i="32"/>
  <c r="O80" i="32"/>
  <c r="O121" i="32"/>
  <c r="O122" i="32"/>
  <c r="O123" i="32"/>
  <c r="O124" i="32"/>
  <c r="O125" i="32"/>
  <c r="O126" i="32"/>
  <c r="O127" i="32"/>
  <c r="O128" i="32"/>
  <c r="O129" i="32"/>
  <c r="O130" i="32"/>
  <c r="O131" i="32"/>
  <c r="O23" i="32"/>
  <c r="O24" i="32"/>
  <c r="O25" i="32"/>
  <c r="O26" i="32"/>
  <c r="O27" i="32"/>
  <c r="O29" i="32"/>
  <c r="O30" i="32"/>
  <c r="O31" i="32"/>
  <c r="O32" i="32"/>
  <c r="O33" i="32"/>
  <c r="O90" i="32"/>
  <c r="O91" i="32"/>
  <c r="O92" i="32"/>
  <c r="O93" i="32"/>
  <c r="O94" i="32"/>
  <c r="O11" i="32"/>
  <c r="O12" i="32"/>
  <c r="O13" i="32"/>
  <c r="O14" i="32"/>
  <c r="O28" i="32"/>
  <c r="O38" i="32"/>
  <c r="O39" i="32"/>
  <c r="O42" i="32"/>
  <c r="O43" i="32"/>
  <c r="O44" i="32"/>
  <c r="O45" i="32"/>
  <c r="O73" i="32"/>
  <c r="O83" i="32"/>
  <c r="O84" i="32"/>
  <c r="O85" i="32"/>
  <c r="O86" i="32"/>
  <c r="O87" i="32"/>
  <c r="O88" i="32"/>
  <c r="O89" i="32"/>
  <c r="O101" i="32"/>
  <c r="O103" i="32"/>
  <c r="O106" i="32"/>
  <c r="O108" i="32"/>
  <c r="O109" i="32"/>
  <c r="O110" i="32"/>
  <c r="O111" i="32"/>
  <c r="O112" i="32"/>
  <c r="O113" i="32"/>
  <c r="O114" i="32"/>
  <c r="O115" i="32"/>
  <c r="O116" i="32"/>
  <c r="O117" i="32"/>
  <c r="O118" i="32"/>
  <c r="O119" i="32"/>
  <c r="O120" i="32"/>
  <c r="O132" i="32"/>
  <c r="O133" i="32"/>
  <c r="O134" i="32"/>
  <c r="O135" i="32"/>
  <c r="O136" i="32"/>
  <c r="O137" i="32"/>
  <c r="O138" i="32"/>
  <c r="O139" i="32"/>
  <c r="O140" i="32"/>
  <c r="O34" i="32"/>
  <c r="O36" i="32"/>
  <c r="O40" i="32"/>
  <c r="O66" i="32"/>
  <c r="O67" i="32"/>
  <c r="O68" i="32"/>
  <c r="O69" i="32"/>
  <c r="O70" i="32"/>
  <c r="O71" i="32"/>
  <c r="O72" i="32"/>
  <c r="O74" i="32"/>
  <c r="O75" i="32"/>
  <c r="O76" i="32"/>
  <c r="O78" i="32"/>
  <c r="O79" i="32"/>
  <c r="O81" i="32"/>
  <c r="O82" i="32"/>
  <c r="O95" i="32"/>
  <c r="O96" i="32"/>
  <c r="O97" i="32"/>
  <c r="O98" i="32"/>
  <c r="O99" i="32"/>
  <c r="O100" i="32"/>
  <c r="O102" i="32"/>
  <c r="O104" i="32"/>
  <c r="O105" i="32"/>
  <c r="O107" i="32"/>
  <c r="O141" i="32"/>
  <c r="O142" i="32"/>
  <c r="O37" i="32"/>
  <c r="O41" i="32"/>
  <c r="O46" i="32"/>
  <c r="O47" i="32"/>
  <c r="O48" i="32"/>
  <c r="O49" i="32"/>
  <c r="O50" i="32"/>
  <c r="O51" i="32"/>
  <c r="O52" i="32"/>
  <c r="O53" i="32"/>
  <c r="O54" i="32"/>
  <c r="O55" i="32"/>
  <c r="O56" i="32"/>
  <c r="O57" i="32"/>
  <c r="O58" i="32"/>
  <c r="D4" i="26" l="1"/>
  <c r="R15" i="26"/>
  <c r="Q15" i="26"/>
  <c r="P15" i="26"/>
  <c r="O15" i="26"/>
  <c r="P140" i="26"/>
  <c r="AE15" i="26"/>
  <c r="AD15" i="26"/>
  <c r="AC15" i="26"/>
  <c r="AB15" i="26"/>
  <c r="D50" i="6" l="1"/>
  <c r="E50" i="6" s="1"/>
  <c r="D49" i="6"/>
  <c r="D51" i="6"/>
  <c r="D52" i="6"/>
  <c r="E52" i="6" s="1"/>
  <c r="D53" i="6"/>
  <c r="E53" i="6" s="1"/>
  <c r="D54" i="6"/>
  <c r="E54" i="6" s="1"/>
  <c r="E49" i="6"/>
  <c r="E51" i="6"/>
  <c r="AE16" i="32"/>
  <c r="AE17" i="32"/>
  <c r="AE18" i="32"/>
  <c r="AE19" i="32"/>
  <c r="AE20" i="32"/>
  <c r="AE21" i="32"/>
  <c r="AE22" i="32"/>
  <c r="AE15" i="32"/>
  <c r="AD16" i="32"/>
  <c r="AD17" i="32"/>
  <c r="AD18" i="32"/>
  <c r="AD19" i="32"/>
  <c r="AD20" i="32"/>
  <c r="AD21" i="32"/>
  <c r="AD22" i="32"/>
  <c r="AD15" i="32"/>
  <c r="AE12" i="26"/>
  <c r="AE13" i="26"/>
  <c r="AE14" i="26"/>
  <c r="AE16" i="26"/>
  <c r="AE17" i="26"/>
  <c r="AE18" i="26"/>
  <c r="AE19" i="26"/>
  <c r="AE20" i="26"/>
  <c r="AE21" i="26"/>
  <c r="AE22" i="26"/>
  <c r="AE23" i="26"/>
  <c r="AE24" i="26"/>
  <c r="AE25" i="26"/>
  <c r="AE26" i="26"/>
  <c r="AE27" i="26"/>
  <c r="AE28" i="26"/>
  <c r="AE29" i="26"/>
  <c r="AE30" i="26"/>
  <c r="AE31" i="26"/>
  <c r="AE32" i="26"/>
  <c r="AE33" i="26"/>
  <c r="AE34" i="26"/>
  <c r="AE35" i="26"/>
  <c r="AE36" i="26"/>
  <c r="AE37" i="26"/>
  <c r="AE38" i="26"/>
  <c r="AE39" i="26"/>
  <c r="AE40" i="26"/>
  <c r="AE41" i="26"/>
  <c r="AE42" i="26"/>
  <c r="AE43" i="26"/>
  <c r="AE44" i="26"/>
  <c r="AE45" i="26"/>
  <c r="AE46" i="26"/>
  <c r="AE47" i="26"/>
  <c r="AE48" i="26"/>
  <c r="AE49" i="26"/>
  <c r="AE50" i="26"/>
  <c r="AE51" i="26"/>
  <c r="AE52" i="26"/>
  <c r="AE53" i="26"/>
  <c r="AE54" i="26"/>
  <c r="AE55" i="26"/>
  <c r="AE56" i="26"/>
  <c r="AE57" i="26"/>
  <c r="AE58" i="26"/>
  <c r="AE59" i="26"/>
  <c r="AE60" i="26"/>
  <c r="AE61" i="26"/>
  <c r="AE62" i="26"/>
  <c r="AE63" i="26"/>
  <c r="AE64" i="26"/>
  <c r="AE74" i="26"/>
  <c r="AE65" i="26"/>
  <c r="AE66" i="26"/>
  <c r="AE67" i="26"/>
  <c r="AE68" i="26"/>
  <c r="AE69" i="26"/>
  <c r="AE70" i="26"/>
  <c r="AE71" i="26"/>
  <c r="AE72" i="26"/>
  <c r="AE73" i="26"/>
  <c r="AE75" i="26"/>
  <c r="AE76" i="26"/>
  <c r="AE77" i="26"/>
  <c r="AE78" i="26"/>
  <c r="AE79" i="26"/>
  <c r="AE80" i="26"/>
  <c r="AE81" i="26"/>
  <c r="AE82" i="26"/>
  <c r="AE83" i="26"/>
  <c r="AE84" i="26"/>
  <c r="AE85" i="26"/>
  <c r="AE86" i="26"/>
  <c r="AE87" i="26"/>
  <c r="AE88" i="26"/>
  <c r="AE89" i="26"/>
  <c r="AE90" i="26"/>
  <c r="AE91" i="26"/>
  <c r="AE92" i="26"/>
  <c r="AE93" i="26"/>
  <c r="AE94" i="26"/>
  <c r="AE95" i="26"/>
  <c r="AE96" i="26"/>
  <c r="AE97" i="26"/>
  <c r="AE98" i="26"/>
  <c r="AE99" i="26"/>
  <c r="AE100" i="26"/>
  <c r="AE101" i="26"/>
  <c r="AE102" i="26"/>
  <c r="AE103" i="26"/>
  <c r="AE104" i="26"/>
  <c r="AE105" i="26"/>
  <c r="AE106" i="26"/>
  <c r="AE107" i="26"/>
  <c r="AE108" i="26"/>
  <c r="AE109" i="26"/>
  <c r="AE110" i="26"/>
  <c r="AE111" i="26"/>
  <c r="AE112" i="26"/>
  <c r="AE113" i="26"/>
  <c r="AE114" i="26"/>
  <c r="AE115" i="26"/>
  <c r="AE116" i="26"/>
  <c r="AE117" i="26"/>
  <c r="AE118" i="26"/>
  <c r="AE119" i="26"/>
  <c r="AE120" i="26"/>
  <c r="AE121" i="26"/>
  <c r="AE122" i="26"/>
  <c r="AE123" i="26"/>
  <c r="AE124" i="26"/>
  <c r="AE125" i="26"/>
  <c r="AE126" i="26"/>
  <c r="AE127" i="26"/>
  <c r="AE128" i="26"/>
  <c r="AE129" i="26"/>
  <c r="AE130" i="26"/>
  <c r="AE131" i="26"/>
  <c r="AE132" i="26"/>
  <c r="AE133" i="26"/>
  <c r="AE134" i="26"/>
  <c r="AE135" i="26"/>
  <c r="AE136" i="26"/>
  <c r="AE137" i="26"/>
  <c r="AE138" i="26"/>
  <c r="AE139" i="26"/>
  <c r="AE140" i="26"/>
  <c r="AE11" i="26"/>
  <c r="AD12" i="26"/>
  <c r="AD13" i="26"/>
  <c r="AD14" i="26"/>
  <c r="AD16" i="26"/>
  <c r="AD17" i="26"/>
  <c r="AD18" i="26"/>
  <c r="AD19" i="26"/>
  <c r="AD20" i="26"/>
  <c r="AD21" i="26"/>
  <c r="AD22" i="26"/>
  <c r="AD23" i="26"/>
  <c r="AD24" i="26"/>
  <c r="AD25" i="26"/>
  <c r="AD26" i="26"/>
  <c r="AD27" i="26"/>
  <c r="AD28" i="26"/>
  <c r="AD29" i="26"/>
  <c r="AD30" i="26"/>
  <c r="AD31" i="26"/>
  <c r="AD32" i="26"/>
  <c r="AD33" i="26"/>
  <c r="AD34" i="26"/>
  <c r="AD35" i="26"/>
  <c r="AD36" i="26"/>
  <c r="AD37" i="26"/>
  <c r="AD38" i="26"/>
  <c r="AD39" i="26"/>
  <c r="AD40" i="26"/>
  <c r="AD41" i="26"/>
  <c r="AD42" i="26"/>
  <c r="AD43" i="26"/>
  <c r="AD44" i="26"/>
  <c r="AD45" i="26"/>
  <c r="AD46" i="26"/>
  <c r="AD47" i="26"/>
  <c r="AD48" i="26"/>
  <c r="AD49" i="26"/>
  <c r="AD50" i="26"/>
  <c r="AD51" i="26"/>
  <c r="AD52" i="26"/>
  <c r="AD53" i="26"/>
  <c r="AD54" i="26"/>
  <c r="AD55" i="26"/>
  <c r="AD56" i="26"/>
  <c r="AD57" i="26"/>
  <c r="AD58" i="26"/>
  <c r="AD59" i="26"/>
  <c r="AD60" i="26"/>
  <c r="AD61" i="26"/>
  <c r="AD62" i="26"/>
  <c r="AD63" i="26"/>
  <c r="AD64" i="26"/>
  <c r="AD74" i="26"/>
  <c r="AD65" i="26"/>
  <c r="AD66" i="26"/>
  <c r="AD67" i="26"/>
  <c r="AD68" i="26"/>
  <c r="AD69" i="26"/>
  <c r="AD70" i="26"/>
  <c r="AD71" i="26"/>
  <c r="AD72" i="26"/>
  <c r="AD73" i="26"/>
  <c r="AD75" i="26"/>
  <c r="AD76" i="26"/>
  <c r="AD77" i="26"/>
  <c r="AD78" i="26"/>
  <c r="AD79" i="26"/>
  <c r="AD80" i="26"/>
  <c r="AD81" i="26"/>
  <c r="AD82" i="26"/>
  <c r="AD83" i="26"/>
  <c r="AD84" i="26"/>
  <c r="AD85" i="26"/>
  <c r="AD86" i="26"/>
  <c r="AD87" i="26"/>
  <c r="AD88" i="26"/>
  <c r="AD89" i="26"/>
  <c r="AD90" i="26"/>
  <c r="AD91" i="26"/>
  <c r="AD92" i="26"/>
  <c r="AD93" i="26"/>
  <c r="AD94" i="26"/>
  <c r="AD95" i="26"/>
  <c r="AD96" i="26"/>
  <c r="AD97" i="26"/>
  <c r="AD98" i="26"/>
  <c r="AD99" i="26"/>
  <c r="AD100" i="26"/>
  <c r="AD101" i="26"/>
  <c r="AD102" i="26"/>
  <c r="AD103" i="26"/>
  <c r="AD104" i="26"/>
  <c r="AD105" i="26"/>
  <c r="AD106" i="26"/>
  <c r="AD107" i="26"/>
  <c r="AD108" i="26"/>
  <c r="AD109" i="26"/>
  <c r="AD110" i="26"/>
  <c r="AD111" i="26"/>
  <c r="AD112" i="26"/>
  <c r="AD113" i="26"/>
  <c r="AD114" i="26"/>
  <c r="AD115" i="26"/>
  <c r="AD116" i="26"/>
  <c r="AD117" i="26"/>
  <c r="AD118" i="26"/>
  <c r="AD119" i="26"/>
  <c r="AD120" i="26"/>
  <c r="AD121" i="26"/>
  <c r="AD122" i="26"/>
  <c r="AD123" i="26"/>
  <c r="AD124" i="26"/>
  <c r="AD125" i="26"/>
  <c r="AD126" i="26"/>
  <c r="AD127" i="26"/>
  <c r="AD128" i="26"/>
  <c r="AD129" i="26"/>
  <c r="AD130" i="26"/>
  <c r="AD131" i="26"/>
  <c r="AD132" i="26"/>
  <c r="AD133" i="26"/>
  <c r="AD134" i="26"/>
  <c r="AD135" i="26"/>
  <c r="AD136" i="26"/>
  <c r="AD137" i="26"/>
  <c r="AD138" i="26"/>
  <c r="AD139" i="26"/>
  <c r="AD140" i="26"/>
  <c r="AD11" i="26"/>
  <c r="AC16" i="32" l="1"/>
  <c r="AC17" i="32"/>
  <c r="AC18" i="32"/>
  <c r="AC19" i="32"/>
  <c r="AC20" i="32"/>
  <c r="AC21" i="32"/>
  <c r="AC22" i="32"/>
  <c r="AB16" i="32"/>
  <c r="AB17" i="32"/>
  <c r="AB18" i="32"/>
  <c r="AB19" i="32"/>
  <c r="AB20" i="32"/>
  <c r="AB21" i="32"/>
  <c r="AB22" i="32"/>
  <c r="AC16" i="26"/>
  <c r="AC17" i="26"/>
  <c r="AC18" i="26"/>
  <c r="AC19" i="26"/>
  <c r="AC20" i="26"/>
  <c r="AC33" i="26"/>
  <c r="AC57" i="26"/>
  <c r="AC58" i="26"/>
  <c r="AC59" i="26"/>
  <c r="AC60" i="26"/>
  <c r="AC61" i="26"/>
  <c r="AC62" i="26"/>
  <c r="AC63" i="26"/>
  <c r="AC75" i="26"/>
  <c r="AC78" i="26"/>
  <c r="AC119" i="26"/>
  <c r="AC120" i="26"/>
  <c r="AC121" i="26"/>
  <c r="AC122" i="26"/>
  <c r="AC123" i="26"/>
  <c r="AC124" i="26"/>
  <c r="AC125" i="26"/>
  <c r="AC126" i="26"/>
  <c r="AC127" i="26"/>
  <c r="AC128" i="26"/>
  <c r="AC129" i="26"/>
  <c r="AC21" i="26"/>
  <c r="AC22" i="26"/>
  <c r="AC23" i="26"/>
  <c r="AC24" i="26"/>
  <c r="AC25" i="26"/>
  <c r="AC27" i="26"/>
  <c r="AC28" i="26"/>
  <c r="AC29" i="26"/>
  <c r="AC30" i="26"/>
  <c r="AC31" i="26"/>
  <c r="AC88" i="26"/>
  <c r="AC89" i="26"/>
  <c r="AC90" i="26"/>
  <c r="AC91" i="26"/>
  <c r="AC92" i="26"/>
  <c r="AC11" i="26"/>
  <c r="AC12" i="26"/>
  <c r="AC13" i="26"/>
  <c r="AC14" i="26"/>
  <c r="AC26" i="26"/>
  <c r="AC36" i="26"/>
  <c r="AC37" i="26"/>
  <c r="AC40" i="26"/>
  <c r="AC41" i="26"/>
  <c r="AC42" i="26"/>
  <c r="AC43" i="26"/>
  <c r="AC71" i="26"/>
  <c r="AC81" i="26"/>
  <c r="AC82" i="26"/>
  <c r="AC83" i="26"/>
  <c r="AC84" i="26"/>
  <c r="AC85" i="26"/>
  <c r="AC86" i="26"/>
  <c r="AC87" i="26"/>
  <c r="AC99" i="26"/>
  <c r="AC101" i="26"/>
  <c r="AC104" i="26"/>
  <c r="AC32" i="26"/>
  <c r="AC34" i="26"/>
  <c r="AC38" i="26"/>
  <c r="AC64" i="26"/>
  <c r="AC65" i="26"/>
  <c r="AC66" i="26"/>
  <c r="AC67" i="26"/>
  <c r="AC68" i="26"/>
  <c r="AC69" i="26"/>
  <c r="AC70" i="26"/>
  <c r="AC72" i="26"/>
  <c r="AC73" i="26"/>
  <c r="AC74" i="26"/>
  <c r="AC76" i="26"/>
  <c r="AC77" i="26"/>
  <c r="AC79" i="26"/>
  <c r="AC80" i="26"/>
  <c r="AC93" i="26"/>
  <c r="AC94" i="26"/>
  <c r="AC95" i="26"/>
  <c r="AC96" i="26"/>
  <c r="AC97" i="26"/>
  <c r="AC98" i="26"/>
  <c r="AC100" i="26"/>
  <c r="AC102" i="26"/>
  <c r="AC103" i="26"/>
  <c r="AC105" i="26"/>
  <c r="AC139" i="26"/>
  <c r="AC140" i="26"/>
  <c r="AC35" i="26"/>
  <c r="AC39" i="26"/>
  <c r="AC44" i="26"/>
  <c r="AC45" i="26"/>
  <c r="AC46" i="26"/>
  <c r="AC47" i="26"/>
  <c r="AC48" i="26"/>
  <c r="AC49" i="26"/>
  <c r="AC50" i="26"/>
  <c r="AC51" i="26"/>
  <c r="AC52" i="26"/>
  <c r="AC53" i="26"/>
  <c r="AC54" i="26"/>
  <c r="AC55" i="26"/>
  <c r="AC56" i="26"/>
  <c r="AB23" i="26"/>
  <c r="AB92" i="26"/>
  <c r="AB32" i="26"/>
  <c r="AB34" i="26"/>
  <c r="AB38" i="26"/>
  <c r="AB64" i="26"/>
  <c r="AB65" i="26"/>
  <c r="AB66" i="26"/>
  <c r="AB67" i="26"/>
  <c r="AB68" i="26"/>
  <c r="AB69" i="26"/>
  <c r="AB70" i="26"/>
  <c r="AB72" i="26"/>
  <c r="AB73" i="26"/>
  <c r="AB74" i="26"/>
  <c r="AB76" i="26"/>
  <c r="AB77" i="26"/>
  <c r="AB79" i="26"/>
  <c r="AB80" i="26"/>
  <c r="AB93" i="26"/>
  <c r="AB94" i="26"/>
  <c r="AB95" i="26"/>
  <c r="AB96" i="26"/>
  <c r="AB97" i="26"/>
  <c r="AB98" i="26"/>
  <c r="AB100" i="26"/>
  <c r="AB102" i="26"/>
  <c r="AB103" i="26"/>
  <c r="AB105" i="26"/>
  <c r="AB139" i="26"/>
  <c r="AB140" i="26"/>
  <c r="AB35" i="26"/>
  <c r="AB39" i="26"/>
  <c r="AB44" i="26"/>
  <c r="AB45" i="26"/>
  <c r="AB46" i="26"/>
  <c r="AB47" i="26"/>
  <c r="AB48" i="26"/>
  <c r="AB49" i="26"/>
  <c r="AB50" i="26"/>
  <c r="AB51" i="26"/>
  <c r="AB52" i="26"/>
  <c r="AB53" i="26"/>
  <c r="AB54" i="26"/>
  <c r="AB55" i="26"/>
  <c r="AB56" i="26"/>
  <c r="AB24" i="26" l="1"/>
  <c r="AB90" i="26"/>
  <c r="AB21" i="26"/>
  <c r="AB91" i="26"/>
  <c r="AB89" i="26"/>
  <c r="AB88" i="26"/>
  <c r="AB31" i="26"/>
  <c r="AB30" i="26"/>
  <c r="AB29" i="26"/>
  <c r="AB22" i="26"/>
  <c r="AB28" i="26"/>
  <c r="AB27" i="26"/>
  <c r="AB25" i="26"/>
  <c r="AB57" i="26" l="1"/>
  <c r="AB122" i="26"/>
  <c r="AB58" i="26"/>
  <c r="AB123" i="26"/>
  <c r="AB59" i="26"/>
  <c r="AB124" i="26"/>
  <c r="AB60" i="26"/>
  <c r="AB125" i="26"/>
  <c r="AB61" i="26"/>
  <c r="AB126" i="26"/>
  <c r="AB62" i="26"/>
  <c r="AB127" i="26"/>
  <c r="AB16" i="26"/>
  <c r="AB63" i="26"/>
  <c r="AB128" i="26"/>
  <c r="AB19" i="26"/>
  <c r="AB17" i="26"/>
  <c r="AB75" i="26"/>
  <c r="AB129" i="26"/>
  <c r="AB18" i="26"/>
  <c r="AB78" i="26"/>
  <c r="AB119" i="26"/>
  <c r="AB120" i="26"/>
  <c r="AB33" i="26"/>
  <c r="AB121" i="26"/>
  <c r="AB20" i="26"/>
  <c r="AC113" i="26"/>
  <c r="AC136" i="26"/>
  <c r="AC114" i="26"/>
  <c r="AC137" i="26"/>
  <c r="AC115" i="26"/>
  <c r="AC138" i="26"/>
  <c r="AC116" i="26"/>
  <c r="AC135" i="26"/>
  <c r="AC117" i="26"/>
  <c r="AC106" i="26"/>
  <c r="AC118" i="26"/>
  <c r="AC107" i="26"/>
  <c r="AC130" i="26"/>
  <c r="AC131" i="26"/>
  <c r="AC112" i="26"/>
  <c r="AC108" i="26"/>
  <c r="AC109" i="26"/>
  <c r="AC132" i="26"/>
  <c r="AC110" i="26"/>
  <c r="AC133" i="26"/>
  <c r="AC111" i="26"/>
  <c r="AC134" i="26"/>
  <c r="AB43" i="26"/>
  <c r="AB11" i="26"/>
  <c r="AB81" i="26"/>
  <c r="AB26" i="26"/>
  <c r="AB86" i="26"/>
  <c r="AB40" i="26"/>
  <c r="P18" i="32"/>
  <c r="Q18" i="32"/>
  <c r="R18" i="32"/>
  <c r="AB36" i="26" l="1"/>
  <c r="AB71" i="26"/>
  <c r="AB84" i="26"/>
  <c r="AB87" i="26"/>
  <c r="AB14" i="26"/>
  <c r="AB42" i="26"/>
  <c r="AB85" i="26"/>
  <c r="AB101" i="26"/>
  <c r="AB104" i="26"/>
  <c r="AB37" i="26"/>
  <c r="AB41" i="26"/>
  <c r="AB13" i="26"/>
  <c r="AB83" i="26"/>
  <c r="AB82" i="26"/>
  <c r="AB99" i="26"/>
  <c r="AB12" i="26"/>
  <c r="AB116" i="26"/>
  <c r="AB135" i="26"/>
  <c r="AB117" i="26"/>
  <c r="AB132" i="26"/>
  <c r="AB112" i="26"/>
  <c r="AB106" i="26"/>
  <c r="AB118" i="26"/>
  <c r="AB107" i="26"/>
  <c r="AB130" i="26"/>
  <c r="AB109" i="26"/>
  <c r="AB114" i="26"/>
  <c r="AB108" i="26"/>
  <c r="AB131" i="26"/>
  <c r="AB110" i="26"/>
  <c r="AB133" i="26"/>
  <c r="AB111" i="26"/>
  <c r="AB134" i="26"/>
  <c r="AB137" i="26"/>
  <c r="AB113" i="26"/>
  <c r="AB136" i="26"/>
  <c r="AB115" i="26"/>
  <c r="AB138" i="26"/>
  <c r="P16" i="32" l="1"/>
  <c r="Q16" i="32"/>
  <c r="R16" i="32"/>
  <c r="AL11" i="32" l="1"/>
  <c r="D3" i="26" l="1"/>
  <c r="D2" i="26"/>
  <c r="R58" i="32" l="1"/>
  <c r="R57" i="32"/>
  <c r="R56" i="32"/>
  <c r="R55" i="32"/>
  <c r="R54" i="32"/>
  <c r="R53" i="32"/>
  <c r="R52" i="32"/>
  <c r="R51" i="32"/>
  <c r="R50" i="32"/>
  <c r="R49" i="32"/>
  <c r="R48" i="32"/>
  <c r="R47" i="32"/>
  <c r="R46" i="32"/>
  <c r="R41" i="32"/>
  <c r="R37" i="32"/>
  <c r="R142" i="32"/>
  <c r="R141" i="32"/>
  <c r="R107" i="32"/>
  <c r="R105" i="32"/>
  <c r="R104" i="32"/>
  <c r="R102" i="32"/>
  <c r="R100" i="32"/>
  <c r="R99" i="32"/>
  <c r="R98" i="32"/>
  <c r="R97" i="32"/>
  <c r="R96" i="32"/>
  <c r="R95" i="32"/>
  <c r="R82" i="32"/>
  <c r="R81" i="32"/>
  <c r="R79" i="32"/>
  <c r="R78" i="32"/>
  <c r="R76" i="32"/>
  <c r="R75" i="32"/>
  <c r="R74" i="32"/>
  <c r="R72" i="32"/>
  <c r="R71" i="32"/>
  <c r="R70" i="32"/>
  <c r="R69" i="32"/>
  <c r="R68" i="32"/>
  <c r="R67" i="32"/>
  <c r="R66" i="32"/>
  <c r="R40" i="32"/>
  <c r="R36" i="32"/>
  <c r="R34" i="32"/>
  <c r="R106" i="32"/>
  <c r="R103" i="32"/>
  <c r="R101" i="32"/>
  <c r="R89" i="32"/>
  <c r="R88" i="32"/>
  <c r="R87" i="32"/>
  <c r="R86" i="32"/>
  <c r="R85" i="32"/>
  <c r="R84" i="32"/>
  <c r="R83" i="32"/>
  <c r="R73" i="32"/>
  <c r="R45" i="32"/>
  <c r="R44" i="32"/>
  <c r="R43" i="32"/>
  <c r="R42" i="32"/>
  <c r="R39" i="32"/>
  <c r="R38" i="32"/>
  <c r="R28" i="32"/>
  <c r="R14" i="32"/>
  <c r="R13" i="32"/>
  <c r="R12" i="32"/>
  <c r="R11" i="32"/>
  <c r="R94" i="32"/>
  <c r="R93" i="32"/>
  <c r="R92" i="32"/>
  <c r="R91" i="32"/>
  <c r="R90" i="32"/>
  <c r="R33" i="32"/>
  <c r="R32" i="32"/>
  <c r="R31" i="32"/>
  <c r="R30" i="32"/>
  <c r="R29" i="32"/>
  <c r="R27" i="32"/>
  <c r="R26" i="32"/>
  <c r="R25" i="32"/>
  <c r="R24" i="32"/>
  <c r="R23" i="32"/>
  <c r="R131" i="32"/>
  <c r="R130" i="32"/>
  <c r="R129" i="32"/>
  <c r="R128" i="32"/>
  <c r="R127" i="32"/>
  <c r="R126" i="32"/>
  <c r="R125" i="32"/>
  <c r="R124" i="32"/>
  <c r="R123" i="32"/>
  <c r="R122" i="32"/>
  <c r="R121" i="32"/>
  <c r="R80" i="32"/>
  <c r="R77" i="32"/>
  <c r="R65" i="32"/>
  <c r="R64" i="32"/>
  <c r="R63" i="32"/>
  <c r="R62" i="32"/>
  <c r="R61" i="32"/>
  <c r="R60" i="32"/>
  <c r="R59" i="32"/>
  <c r="R35" i="32"/>
  <c r="R22" i="32"/>
  <c r="R21" i="32"/>
  <c r="R20" i="32"/>
  <c r="R19" i="32"/>
  <c r="R17" i="32"/>
  <c r="F13" i="13" l="1"/>
  <c r="AC15" i="32" l="1"/>
  <c r="AB15" i="32"/>
  <c r="R15" i="32"/>
  <c r="Q17" i="32"/>
  <c r="Q19" i="32"/>
  <c r="Q20" i="32"/>
  <c r="Q21" i="32"/>
  <c r="Q22" i="32"/>
  <c r="Q35" i="32"/>
  <c r="Q59" i="32"/>
  <c r="Q60" i="32"/>
  <c r="Q61" i="32"/>
  <c r="Q62" i="32"/>
  <c r="Q63" i="32"/>
  <c r="Q64" i="32"/>
  <c r="Q65" i="32"/>
  <c r="Q77" i="32"/>
  <c r="Q80" i="32"/>
  <c r="Q121" i="32"/>
  <c r="Q122" i="32"/>
  <c r="Q123" i="32"/>
  <c r="Q124" i="32"/>
  <c r="Q125" i="32"/>
  <c r="Q126" i="32"/>
  <c r="Q127" i="32"/>
  <c r="Q128" i="32"/>
  <c r="Q129" i="32"/>
  <c r="Q130" i="32"/>
  <c r="Q131" i="32"/>
  <c r="Q23" i="32"/>
  <c r="Q24" i="32"/>
  <c r="Q25" i="32"/>
  <c r="Q26" i="32"/>
  <c r="Q27" i="32"/>
  <c r="Q29" i="32"/>
  <c r="Q30" i="32"/>
  <c r="Q31" i="32"/>
  <c r="Q32" i="32"/>
  <c r="Q33" i="32"/>
  <c r="Q90" i="32"/>
  <c r="Q91" i="32"/>
  <c r="Q92" i="32"/>
  <c r="Q93" i="32"/>
  <c r="Q94" i="32"/>
  <c r="Q11" i="32"/>
  <c r="Q12" i="32"/>
  <c r="Q13" i="32"/>
  <c r="Q14" i="32"/>
  <c r="Q28" i="32"/>
  <c r="Q38" i="32"/>
  <c r="Q39" i="32"/>
  <c r="Q42" i="32"/>
  <c r="Q43" i="32"/>
  <c r="Q44" i="32"/>
  <c r="Q45" i="32"/>
  <c r="Q73" i="32"/>
  <c r="Q83" i="32"/>
  <c r="Q84" i="32"/>
  <c r="Q85" i="32"/>
  <c r="Q86" i="32"/>
  <c r="Q87" i="32"/>
  <c r="Q88" i="32"/>
  <c r="Q89" i="32"/>
  <c r="Q101" i="32"/>
  <c r="Q103" i="32"/>
  <c r="Q106" i="32"/>
  <c r="Q34" i="32"/>
  <c r="Q36" i="32"/>
  <c r="Q40" i="32"/>
  <c r="Q66" i="32"/>
  <c r="Q67" i="32"/>
  <c r="Q68" i="32"/>
  <c r="Q69" i="32"/>
  <c r="Q70" i="32"/>
  <c r="Q71" i="32"/>
  <c r="Q72" i="32"/>
  <c r="Q74" i="32"/>
  <c r="Q75" i="32"/>
  <c r="Q76" i="32"/>
  <c r="Q78" i="32"/>
  <c r="Q79" i="32"/>
  <c r="Q81" i="32"/>
  <c r="Q82" i="32"/>
  <c r="Q95" i="32"/>
  <c r="Q96" i="32"/>
  <c r="Q97" i="32"/>
  <c r="Q98" i="32"/>
  <c r="Q99" i="32"/>
  <c r="Q100" i="32"/>
  <c r="Q102" i="32"/>
  <c r="Q104" i="32"/>
  <c r="Q105" i="32"/>
  <c r="Q107" i="32"/>
  <c r="Q141" i="32"/>
  <c r="Q142" i="32"/>
  <c r="Q37" i="32"/>
  <c r="Q41" i="32"/>
  <c r="Q46" i="32"/>
  <c r="Q47" i="32"/>
  <c r="Q48" i="32"/>
  <c r="Q49" i="32"/>
  <c r="Q50" i="32"/>
  <c r="Q51" i="32"/>
  <c r="Q52" i="32"/>
  <c r="Q53" i="32"/>
  <c r="Q54" i="32"/>
  <c r="Q55" i="32"/>
  <c r="Q56" i="32"/>
  <c r="Q57" i="32"/>
  <c r="Q58" i="32"/>
  <c r="Q15" i="32"/>
  <c r="P17" i="32"/>
  <c r="P19" i="32"/>
  <c r="P20" i="32"/>
  <c r="P21" i="32"/>
  <c r="P22" i="32"/>
  <c r="P35" i="32"/>
  <c r="P59" i="32"/>
  <c r="P60" i="32"/>
  <c r="P61" i="32"/>
  <c r="P62" i="32"/>
  <c r="P63" i="32"/>
  <c r="P64" i="32"/>
  <c r="P65" i="32"/>
  <c r="P77" i="32"/>
  <c r="P80" i="32"/>
  <c r="P121" i="32"/>
  <c r="P122" i="32"/>
  <c r="P123" i="32"/>
  <c r="P124" i="32"/>
  <c r="P125" i="32"/>
  <c r="P126" i="32"/>
  <c r="P127" i="32"/>
  <c r="P128" i="32"/>
  <c r="P129" i="32"/>
  <c r="P130" i="32"/>
  <c r="P131" i="32"/>
  <c r="P23" i="32"/>
  <c r="P24" i="32"/>
  <c r="P25" i="32"/>
  <c r="P26" i="32"/>
  <c r="P27" i="32"/>
  <c r="P29" i="32"/>
  <c r="P30" i="32"/>
  <c r="P31" i="32"/>
  <c r="P32" i="32"/>
  <c r="P33" i="32"/>
  <c r="P90" i="32"/>
  <c r="P91" i="32"/>
  <c r="P92" i="32"/>
  <c r="P93" i="32"/>
  <c r="P94" i="32"/>
  <c r="P11" i="32"/>
  <c r="P12" i="32"/>
  <c r="P13" i="32"/>
  <c r="P14" i="32"/>
  <c r="P28" i="32"/>
  <c r="P38" i="32"/>
  <c r="P39" i="32"/>
  <c r="P42" i="32"/>
  <c r="P43" i="32"/>
  <c r="P44" i="32"/>
  <c r="P45" i="32"/>
  <c r="P73" i="32"/>
  <c r="P83" i="32"/>
  <c r="P84" i="32"/>
  <c r="P85" i="32"/>
  <c r="P86" i="32"/>
  <c r="P87" i="32"/>
  <c r="P88" i="32"/>
  <c r="P89" i="32"/>
  <c r="P101" i="32"/>
  <c r="P103" i="32"/>
  <c r="P106" i="32"/>
  <c r="P34" i="32"/>
  <c r="P36" i="32"/>
  <c r="P40" i="32"/>
  <c r="P66" i="32"/>
  <c r="P67" i="32"/>
  <c r="P68" i="32"/>
  <c r="P69" i="32"/>
  <c r="P70" i="32"/>
  <c r="P71" i="32"/>
  <c r="P72" i="32"/>
  <c r="P74" i="32"/>
  <c r="P75" i="32"/>
  <c r="P76" i="32"/>
  <c r="P78" i="32"/>
  <c r="P79" i="32"/>
  <c r="P81" i="32"/>
  <c r="P82" i="32"/>
  <c r="P95" i="32"/>
  <c r="P96" i="32"/>
  <c r="P97" i="32"/>
  <c r="P98" i="32"/>
  <c r="P99" i="32"/>
  <c r="P100" i="32"/>
  <c r="P102" i="32"/>
  <c r="P104" i="32"/>
  <c r="P105" i="32"/>
  <c r="P107" i="32"/>
  <c r="P141" i="32"/>
  <c r="P142" i="32"/>
  <c r="P37" i="32"/>
  <c r="P41" i="32"/>
  <c r="P46" i="32"/>
  <c r="P47" i="32"/>
  <c r="P48" i="32"/>
  <c r="P49" i="32"/>
  <c r="P50" i="32"/>
  <c r="P51" i="32"/>
  <c r="P52" i="32"/>
  <c r="P53" i="32"/>
  <c r="P54" i="32"/>
  <c r="P55" i="32"/>
  <c r="P56" i="32"/>
  <c r="P57" i="32"/>
  <c r="P58" i="32"/>
  <c r="P15" i="32"/>
  <c r="R11" i="26" l="1"/>
  <c r="R12" i="26"/>
  <c r="R13" i="26"/>
  <c r="R14" i="26"/>
  <c r="R16" i="26"/>
  <c r="R17" i="26"/>
  <c r="R18" i="26"/>
  <c r="R19" i="26"/>
  <c r="R20" i="26"/>
  <c r="R21" i="26"/>
  <c r="R22" i="26"/>
  <c r="R23" i="26"/>
  <c r="R24" i="26"/>
  <c r="R25" i="26"/>
  <c r="R26" i="26"/>
  <c r="R27" i="26"/>
  <c r="R28" i="26"/>
  <c r="R29" i="26"/>
  <c r="R30" i="26"/>
  <c r="R31" i="26"/>
  <c r="R32" i="26"/>
  <c r="R33" i="26"/>
  <c r="R34" i="26"/>
  <c r="R35" i="26"/>
  <c r="R36" i="26"/>
  <c r="R37" i="26"/>
  <c r="R38" i="26"/>
  <c r="R39" i="26"/>
  <c r="R40" i="26"/>
  <c r="R41" i="26"/>
  <c r="R42" i="26"/>
  <c r="R43" i="26"/>
  <c r="R44" i="26"/>
  <c r="R45" i="26"/>
  <c r="R46" i="26"/>
  <c r="R47" i="26"/>
  <c r="R48" i="26"/>
  <c r="R49" i="26"/>
  <c r="R50" i="26"/>
  <c r="R51" i="26"/>
  <c r="R52" i="26"/>
  <c r="R53" i="26"/>
  <c r="R54" i="26"/>
  <c r="R55" i="26"/>
  <c r="R56" i="26"/>
  <c r="R57" i="26"/>
  <c r="R58" i="26"/>
  <c r="R59" i="26"/>
  <c r="R60" i="26"/>
  <c r="R61" i="26"/>
  <c r="R62" i="26"/>
  <c r="R63" i="26"/>
  <c r="R64" i="26"/>
  <c r="R65" i="26"/>
  <c r="R66" i="26"/>
  <c r="R67" i="26"/>
  <c r="R68" i="26"/>
  <c r="R69" i="26"/>
  <c r="R70" i="26"/>
  <c r="R71" i="26"/>
  <c r="R72" i="26"/>
  <c r="R73" i="26"/>
  <c r="R74" i="26"/>
  <c r="R75" i="26"/>
  <c r="R76" i="26"/>
  <c r="R77" i="26"/>
  <c r="R78" i="26"/>
  <c r="R79" i="26"/>
  <c r="R80" i="26"/>
  <c r="R81" i="26"/>
  <c r="R82" i="26"/>
  <c r="R83" i="26"/>
  <c r="R84" i="26"/>
  <c r="R85" i="26"/>
  <c r="R86" i="26"/>
  <c r="R87" i="26"/>
  <c r="R88" i="26"/>
  <c r="R89" i="26"/>
  <c r="R90" i="26"/>
  <c r="R91" i="26"/>
  <c r="R92" i="26"/>
  <c r="R93" i="26"/>
  <c r="R94" i="26"/>
  <c r="R95" i="26"/>
  <c r="R96" i="26"/>
  <c r="R97" i="26"/>
  <c r="R98" i="26"/>
  <c r="R99" i="26"/>
  <c r="R100" i="26"/>
  <c r="R101" i="26"/>
  <c r="R102" i="26"/>
  <c r="R103" i="26"/>
  <c r="R104" i="26"/>
  <c r="R105" i="26"/>
  <c r="R119" i="26"/>
  <c r="R120" i="26"/>
  <c r="R121" i="26"/>
  <c r="R122" i="26"/>
  <c r="R123" i="26"/>
  <c r="R124" i="26"/>
  <c r="R125" i="26"/>
  <c r="R126" i="26"/>
  <c r="R127" i="26"/>
  <c r="R128" i="26"/>
  <c r="R129" i="26"/>
  <c r="R139" i="26"/>
  <c r="R140" i="26"/>
  <c r="Q11" i="26"/>
  <c r="Q12" i="26"/>
  <c r="Q13" i="26"/>
  <c r="Q14" i="26"/>
  <c r="Q16" i="26"/>
  <c r="Q17" i="26"/>
  <c r="Q18" i="26"/>
  <c r="Q19" i="26"/>
  <c r="Q20" i="26"/>
  <c r="Q21" i="26"/>
  <c r="Q22" i="26"/>
  <c r="Q23" i="26"/>
  <c r="Q24" i="26"/>
  <c r="Q25" i="26"/>
  <c r="Q26" i="26"/>
  <c r="Q27" i="26"/>
  <c r="Q28" i="26"/>
  <c r="Q29" i="26"/>
  <c r="Q30" i="26"/>
  <c r="Q31" i="26"/>
  <c r="Q32" i="26"/>
  <c r="Q33" i="26"/>
  <c r="Q34" i="26"/>
  <c r="Q35" i="26"/>
  <c r="Q36" i="26"/>
  <c r="Q37" i="26"/>
  <c r="Q38" i="26"/>
  <c r="Q39" i="26"/>
  <c r="Q40" i="26"/>
  <c r="Q41" i="26"/>
  <c r="Q42" i="26"/>
  <c r="Q43" i="26"/>
  <c r="Q44" i="26"/>
  <c r="Q45" i="26"/>
  <c r="Q46" i="26"/>
  <c r="Q47" i="26"/>
  <c r="Q48" i="26"/>
  <c r="Q49" i="26"/>
  <c r="Q50" i="26"/>
  <c r="Q51" i="26"/>
  <c r="Q52" i="26"/>
  <c r="Q53" i="26"/>
  <c r="Q54" i="26"/>
  <c r="Q55" i="26"/>
  <c r="Q56" i="26"/>
  <c r="Q57" i="26"/>
  <c r="Q58" i="26"/>
  <c r="Q59" i="26"/>
  <c r="Q60" i="26"/>
  <c r="Q61" i="26"/>
  <c r="Q62" i="26"/>
  <c r="Q63" i="26"/>
  <c r="Q64" i="26"/>
  <c r="Q65" i="26"/>
  <c r="Q66" i="26"/>
  <c r="Q67" i="26"/>
  <c r="Q68" i="26"/>
  <c r="Q69" i="26"/>
  <c r="Q70" i="26"/>
  <c r="Q71" i="26"/>
  <c r="Q72" i="26"/>
  <c r="Q73" i="26"/>
  <c r="Q74" i="26"/>
  <c r="Q75" i="26"/>
  <c r="Q76" i="26"/>
  <c r="Q77" i="26"/>
  <c r="Q78" i="26"/>
  <c r="Q79" i="26"/>
  <c r="Q80" i="26"/>
  <c r="Q81" i="26"/>
  <c r="Q82" i="26"/>
  <c r="Q83" i="26"/>
  <c r="Q84" i="26"/>
  <c r="Q85" i="26"/>
  <c r="Q86" i="26"/>
  <c r="Q87" i="26"/>
  <c r="Q88" i="26"/>
  <c r="Q89" i="26"/>
  <c r="Q90" i="26"/>
  <c r="Q91" i="26"/>
  <c r="Q92" i="26"/>
  <c r="Q93" i="26"/>
  <c r="Q94" i="26"/>
  <c r="Q95" i="26"/>
  <c r="Q96" i="26"/>
  <c r="Q97" i="26"/>
  <c r="Q98" i="26"/>
  <c r="Q99" i="26"/>
  <c r="Q100" i="26"/>
  <c r="Q101" i="26"/>
  <c r="Q102" i="26"/>
  <c r="Q103" i="26"/>
  <c r="Q104" i="26"/>
  <c r="Q105" i="26"/>
  <c r="Q119" i="26"/>
  <c r="Q120" i="26"/>
  <c r="Q121" i="26"/>
  <c r="Q122" i="26"/>
  <c r="Q123" i="26"/>
  <c r="Q124" i="26"/>
  <c r="Q125" i="26"/>
  <c r="Q126" i="26"/>
  <c r="Q127" i="26"/>
  <c r="Q128" i="26"/>
  <c r="Q129" i="26"/>
  <c r="Q139" i="26"/>
  <c r="Q140" i="26"/>
  <c r="P11" i="26"/>
  <c r="P12" i="26"/>
  <c r="P13" i="26"/>
  <c r="P14"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P46" i="26"/>
  <c r="P47" i="26"/>
  <c r="P48" i="26"/>
  <c r="P49" i="26"/>
  <c r="P50" i="26"/>
  <c r="P51" i="26"/>
  <c r="P52" i="26"/>
  <c r="P53" i="26"/>
  <c r="P54" i="26"/>
  <c r="P55" i="26"/>
  <c r="P56" i="26"/>
  <c r="P57" i="26"/>
  <c r="P58" i="26"/>
  <c r="P59" i="26"/>
  <c r="P60" i="26"/>
  <c r="P61" i="26"/>
  <c r="P62" i="26"/>
  <c r="P63" i="26"/>
  <c r="P64" i="26"/>
  <c r="P65" i="26"/>
  <c r="P66" i="26"/>
  <c r="P67" i="26"/>
  <c r="P68" i="26"/>
  <c r="P69" i="26"/>
  <c r="P70" i="26"/>
  <c r="P71" i="26"/>
  <c r="P72" i="26"/>
  <c r="P73" i="26"/>
  <c r="P74" i="26"/>
  <c r="P75" i="26"/>
  <c r="P76" i="26"/>
  <c r="P77" i="26"/>
  <c r="P78" i="26"/>
  <c r="P79" i="26"/>
  <c r="P80" i="26"/>
  <c r="P81" i="26"/>
  <c r="P82" i="26"/>
  <c r="P83" i="26"/>
  <c r="P84" i="26"/>
  <c r="P85" i="26"/>
  <c r="P86" i="26"/>
  <c r="P87" i="26"/>
  <c r="P88" i="26"/>
  <c r="P89" i="26"/>
  <c r="P90" i="26"/>
  <c r="P91" i="26"/>
  <c r="P92" i="26"/>
  <c r="P93" i="26"/>
  <c r="P94" i="26"/>
  <c r="P95" i="26"/>
  <c r="P96" i="26"/>
  <c r="P97" i="26"/>
  <c r="P98" i="26"/>
  <c r="P99" i="26"/>
  <c r="P100" i="26"/>
  <c r="P101" i="26"/>
  <c r="P102" i="26"/>
  <c r="P103" i="26"/>
  <c r="P104" i="26"/>
  <c r="P105" i="26"/>
  <c r="P119" i="26"/>
  <c r="P120" i="26"/>
  <c r="P121" i="26"/>
  <c r="P122" i="26"/>
  <c r="P123" i="26"/>
  <c r="P124" i="26"/>
  <c r="P125" i="26"/>
  <c r="P126" i="26"/>
  <c r="P127" i="26"/>
  <c r="P128" i="26"/>
  <c r="P129" i="26"/>
  <c r="P139" i="26"/>
  <c r="O11" i="26"/>
  <c r="O12" i="26"/>
  <c r="O13" i="26"/>
  <c r="O14" i="26"/>
  <c r="O16" i="26"/>
  <c r="O17" i="26"/>
  <c r="O18" i="26"/>
  <c r="O19" i="26"/>
  <c r="O20" i="26"/>
  <c r="O21" i="26"/>
  <c r="O22" i="26"/>
  <c r="O23" i="26"/>
  <c r="O24" i="26"/>
  <c r="O25" i="26"/>
  <c r="O26" i="26"/>
  <c r="O27" i="26"/>
  <c r="O28" i="26"/>
  <c r="O29" i="26"/>
  <c r="O30" i="26"/>
  <c r="O31" i="26"/>
  <c r="O32" i="26"/>
  <c r="O33" i="26"/>
  <c r="O34" i="26"/>
  <c r="O35" i="26"/>
  <c r="O36" i="26"/>
  <c r="O37" i="26"/>
  <c r="O38" i="26"/>
  <c r="O39" i="26"/>
  <c r="O40" i="26"/>
  <c r="O41" i="26"/>
  <c r="O42" i="26"/>
  <c r="O43" i="26"/>
  <c r="O44" i="26"/>
  <c r="O45" i="26"/>
  <c r="O46" i="26"/>
  <c r="O47" i="26"/>
  <c r="O48" i="26"/>
  <c r="O49" i="26"/>
  <c r="O50" i="26"/>
  <c r="O51" i="26"/>
  <c r="O52" i="26"/>
  <c r="O53" i="26"/>
  <c r="O54" i="26"/>
  <c r="O55" i="26"/>
  <c r="O56" i="26"/>
  <c r="O57" i="26"/>
  <c r="O58" i="26"/>
  <c r="O59" i="26"/>
  <c r="O60" i="26"/>
  <c r="O61" i="26"/>
  <c r="O62" i="26"/>
  <c r="O63" i="26"/>
  <c r="O64" i="26"/>
  <c r="O65" i="26"/>
  <c r="O66" i="26"/>
  <c r="O67" i="26"/>
  <c r="O68" i="26"/>
  <c r="O69" i="26"/>
  <c r="O70" i="26"/>
  <c r="O71" i="26"/>
  <c r="O72" i="26"/>
  <c r="O73" i="26"/>
  <c r="O74" i="26"/>
  <c r="O75" i="26"/>
  <c r="O76" i="26"/>
  <c r="O77" i="26"/>
  <c r="O78" i="26"/>
  <c r="O79" i="26"/>
  <c r="O80" i="26"/>
  <c r="O81" i="26"/>
  <c r="O82" i="26"/>
  <c r="O83" i="26"/>
  <c r="O84" i="26"/>
  <c r="O85" i="26"/>
  <c r="O86" i="26"/>
  <c r="O87" i="26"/>
  <c r="O88" i="26"/>
  <c r="O89" i="26"/>
  <c r="O90" i="26"/>
  <c r="O91" i="26"/>
  <c r="O92" i="26"/>
  <c r="O93" i="26"/>
  <c r="O94" i="26"/>
  <c r="O95" i="26"/>
  <c r="O96" i="26"/>
  <c r="O97" i="26"/>
  <c r="O98" i="26"/>
  <c r="O99" i="26"/>
  <c r="O100" i="26"/>
  <c r="O101" i="26"/>
  <c r="O102" i="26"/>
  <c r="O103" i="26"/>
  <c r="O104" i="26"/>
  <c r="O105" i="26"/>
  <c r="O119" i="26"/>
  <c r="O120" i="26"/>
  <c r="O121" i="26"/>
  <c r="O122" i="26"/>
  <c r="O123" i="26"/>
  <c r="O124" i="26"/>
  <c r="O125" i="26"/>
  <c r="O126" i="26"/>
  <c r="O127" i="26"/>
  <c r="O128" i="26"/>
  <c r="O129" i="26"/>
  <c r="O139" i="26"/>
  <c r="O140" i="26"/>
  <c r="G13" i="28"/>
  <c r="G14" i="28"/>
  <c r="G15" i="28"/>
  <c r="G16" i="28"/>
  <c r="G12" i="28"/>
  <c r="G11" i="28"/>
  <c r="F13" i="28"/>
  <c r="AN11" i="32" s="1"/>
  <c r="F14" i="28"/>
  <c r="F15" i="28"/>
  <c r="F12" i="28"/>
  <c r="F11" i="28"/>
  <c r="F16" i="28"/>
  <c r="E13" i="28"/>
  <c r="E14" i="28"/>
  <c r="E15" i="28"/>
  <c r="E16" i="28"/>
  <c r="E12" i="28"/>
  <c r="E11" i="28"/>
  <c r="D11" i="28"/>
  <c r="D12" i="28"/>
  <c r="D13" i="28"/>
  <c r="D14" i="28"/>
  <c r="D15" i="28"/>
  <c r="D16" i="28"/>
  <c r="I9" i="18"/>
  <c r="E35" i="28"/>
  <c r="D134" i="36"/>
  <c r="E134" i="36" s="1"/>
  <c r="D133" i="36"/>
  <c r="E133" i="36" s="1"/>
  <c r="D132" i="36"/>
  <c r="E132" i="36" s="1"/>
  <c r="D131" i="36"/>
  <c r="E131" i="36" s="1"/>
  <c r="D130" i="36"/>
  <c r="E130" i="36" s="1"/>
  <c r="D129" i="36"/>
  <c r="E129" i="36" s="1"/>
  <c r="D128" i="36"/>
  <c r="E128" i="36" s="1"/>
  <c r="D127" i="36"/>
  <c r="E127" i="36" s="1"/>
  <c r="D126" i="36"/>
  <c r="E126" i="36" s="1"/>
  <c r="D125" i="36"/>
  <c r="E125" i="36" s="1"/>
  <c r="D124" i="36"/>
  <c r="E124" i="36" s="1"/>
  <c r="D123" i="36"/>
  <c r="E123" i="36" s="1"/>
  <c r="D122" i="36"/>
  <c r="E122" i="36" s="1"/>
  <c r="D121" i="36"/>
  <c r="E121" i="36" s="1"/>
  <c r="D120" i="36"/>
  <c r="E120" i="36" s="1"/>
  <c r="D119" i="36"/>
  <c r="E119" i="36" s="1"/>
  <c r="D118" i="36"/>
  <c r="E118" i="36" s="1"/>
  <c r="D117" i="36"/>
  <c r="E117" i="36" s="1"/>
  <c r="D116" i="36"/>
  <c r="E116" i="36" s="1"/>
  <c r="D115" i="36"/>
  <c r="E115" i="36" s="1"/>
  <c r="D114" i="36"/>
  <c r="E114" i="36" s="1"/>
  <c r="D113" i="36"/>
  <c r="E113" i="36" s="1"/>
  <c r="D112" i="36"/>
  <c r="E112" i="36" s="1"/>
  <c r="D111" i="36"/>
  <c r="E111" i="36" s="1"/>
  <c r="D110" i="36"/>
  <c r="E110" i="36" s="1"/>
  <c r="D109" i="36"/>
  <c r="E109" i="36" s="1"/>
  <c r="D108" i="36"/>
  <c r="E108" i="36" s="1"/>
  <c r="D107" i="36"/>
  <c r="E107" i="36" s="1"/>
  <c r="D106" i="36"/>
  <c r="E106" i="36" s="1"/>
  <c r="D105" i="36"/>
  <c r="E105" i="36" s="1"/>
  <c r="D104" i="36"/>
  <c r="E104" i="36" s="1"/>
  <c r="D103" i="36"/>
  <c r="E103" i="36" s="1"/>
  <c r="D102" i="36"/>
  <c r="E102" i="36" s="1"/>
  <c r="D101" i="36"/>
  <c r="E101" i="36" s="1"/>
  <c r="D100" i="36"/>
  <c r="E100" i="36" s="1"/>
  <c r="D99" i="36"/>
  <c r="E99" i="36" s="1"/>
  <c r="D98" i="36"/>
  <c r="E98" i="36" s="1"/>
  <c r="D97" i="36"/>
  <c r="E97" i="36" s="1"/>
  <c r="D96" i="36"/>
  <c r="E96" i="36" s="1"/>
  <c r="D95" i="36"/>
  <c r="E95" i="36" s="1"/>
  <c r="D94" i="36"/>
  <c r="E94" i="36" s="1"/>
  <c r="D93" i="36"/>
  <c r="E93" i="36" s="1"/>
  <c r="D92" i="36"/>
  <c r="E92" i="36" s="1"/>
  <c r="D91" i="36"/>
  <c r="E91" i="36" s="1"/>
  <c r="D90" i="36"/>
  <c r="E90" i="36" s="1"/>
  <c r="D89" i="36"/>
  <c r="E89" i="36" s="1"/>
  <c r="D88" i="36"/>
  <c r="E88" i="36" s="1"/>
  <c r="D87" i="36"/>
  <c r="E87" i="36" s="1"/>
  <c r="D86" i="36"/>
  <c r="E86" i="36" s="1"/>
  <c r="D85" i="36"/>
  <c r="E85" i="36" s="1"/>
  <c r="D84" i="36"/>
  <c r="E84" i="36" s="1"/>
  <c r="D83" i="36"/>
  <c r="E83" i="36" s="1"/>
  <c r="D82" i="36"/>
  <c r="E82" i="36" s="1"/>
  <c r="D81" i="36"/>
  <c r="E81" i="36" s="1"/>
  <c r="D80" i="36"/>
  <c r="E80" i="36" s="1"/>
  <c r="D79" i="36"/>
  <c r="E79" i="36" s="1"/>
  <c r="D78" i="36"/>
  <c r="E78" i="36" s="1"/>
  <c r="D77" i="36"/>
  <c r="E77" i="36" s="1"/>
  <c r="D76" i="36"/>
  <c r="E76" i="36" s="1"/>
  <c r="D75" i="36"/>
  <c r="E75" i="36" s="1"/>
  <c r="D74" i="36"/>
  <c r="E74" i="36" s="1"/>
  <c r="D73" i="36"/>
  <c r="E73" i="36" s="1"/>
  <c r="D72" i="36"/>
  <c r="E72" i="36" s="1"/>
  <c r="D71" i="36"/>
  <c r="E71" i="36" s="1"/>
  <c r="D70" i="36"/>
  <c r="E70" i="36" s="1"/>
  <c r="D69" i="36"/>
  <c r="E69" i="36" s="1"/>
  <c r="D68" i="36"/>
  <c r="E68" i="36" s="1"/>
  <c r="D67" i="36"/>
  <c r="E67" i="36" s="1"/>
  <c r="D66" i="36"/>
  <c r="E66" i="36" s="1"/>
  <c r="D65" i="36"/>
  <c r="E65" i="36" s="1"/>
  <c r="D64" i="36"/>
  <c r="E64" i="36" s="1"/>
  <c r="D63" i="36"/>
  <c r="E63" i="36" s="1"/>
  <c r="D62" i="36"/>
  <c r="E62" i="36" s="1"/>
  <c r="D61" i="36"/>
  <c r="E61" i="36" s="1"/>
  <c r="D60" i="36"/>
  <c r="E60" i="36" s="1"/>
  <c r="D59" i="36"/>
  <c r="E59" i="36" s="1"/>
  <c r="D58" i="36"/>
  <c r="E58" i="36" s="1"/>
  <c r="D57" i="36"/>
  <c r="E57" i="36" s="1"/>
  <c r="D56" i="36"/>
  <c r="E56" i="36" s="1"/>
  <c r="D55" i="36"/>
  <c r="E55" i="36" s="1"/>
  <c r="D54" i="36"/>
  <c r="E54" i="36" s="1"/>
  <c r="D53" i="36"/>
  <c r="E53" i="36" s="1"/>
  <c r="D52" i="36"/>
  <c r="E52" i="36" s="1"/>
  <c r="D51" i="36"/>
  <c r="E51" i="36" s="1"/>
  <c r="D50" i="36"/>
  <c r="E50" i="36" s="1"/>
  <c r="D49" i="36"/>
  <c r="E49" i="36" s="1"/>
  <c r="D48" i="36"/>
  <c r="E48" i="36" s="1"/>
  <c r="D47" i="36"/>
  <c r="E47" i="36" s="1"/>
  <c r="D46" i="36"/>
  <c r="E46" i="36" s="1"/>
  <c r="D45" i="36"/>
  <c r="E45" i="36" s="1"/>
  <c r="D44" i="36"/>
  <c r="E44" i="36" s="1"/>
  <c r="D43" i="36"/>
  <c r="E43" i="36" s="1"/>
  <c r="D42" i="36"/>
  <c r="E42" i="36" s="1"/>
  <c r="D41" i="36"/>
  <c r="E41" i="36" s="1"/>
  <c r="D40" i="36"/>
  <c r="E40" i="36" s="1"/>
  <c r="D39" i="36"/>
  <c r="E39" i="36" s="1"/>
  <c r="D38" i="36"/>
  <c r="E38" i="36" s="1"/>
  <c r="D37" i="36"/>
  <c r="E37" i="36" s="1"/>
  <c r="D36" i="36"/>
  <c r="E36" i="36" s="1"/>
  <c r="D35" i="36"/>
  <c r="E35" i="36" s="1"/>
  <c r="D34" i="36"/>
  <c r="E34" i="36" s="1"/>
  <c r="D33" i="36"/>
  <c r="E33" i="36" s="1"/>
  <c r="D32" i="36"/>
  <c r="E32" i="36" s="1"/>
  <c r="D31" i="36"/>
  <c r="E31" i="36" s="1"/>
  <c r="D30" i="36"/>
  <c r="E30" i="36" s="1"/>
  <c r="D29" i="36"/>
  <c r="E29" i="36" s="1"/>
  <c r="D28" i="36"/>
  <c r="E28" i="36" s="1"/>
  <c r="D27" i="36"/>
  <c r="E27" i="36" s="1"/>
  <c r="D26" i="36"/>
  <c r="E26" i="36" s="1"/>
  <c r="D25" i="36"/>
  <c r="E25" i="36" s="1"/>
  <c r="D24" i="36"/>
  <c r="E24" i="36" s="1"/>
  <c r="D23" i="36"/>
  <c r="E23" i="36" s="1"/>
  <c r="D22" i="36"/>
  <c r="E22" i="36" s="1"/>
  <c r="D21" i="36"/>
  <c r="E21" i="36" s="1"/>
  <c r="D20" i="36"/>
  <c r="E20" i="36" s="1"/>
  <c r="D19" i="36"/>
  <c r="E19" i="36" s="1"/>
  <c r="D18" i="36"/>
  <c r="E18" i="36" s="1"/>
  <c r="D17" i="36"/>
  <c r="E17" i="36" s="1"/>
  <c r="D16" i="36"/>
  <c r="E16" i="36" s="1"/>
  <c r="D15" i="36"/>
  <c r="E15" i="36" s="1"/>
  <c r="D14" i="36"/>
  <c r="E14" i="36" s="1"/>
  <c r="D13" i="36"/>
  <c r="E13" i="36" s="1"/>
  <c r="D12" i="36"/>
  <c r="E12" i="36" s="1"/>
  <c r="D11" i="36"/>
  <c r="E11" i="36" s="1"/>
  <c r="D10" i="36"/>
  <c r="E10" i="36" s="1"/>
  <c r="D9" i="36"/>
  <c r="E9" i="36" s="1"/>
  <c r="D8" i="36"/>
  <c r="E8" i="36" s="1"/>
  <c r="D7" i="36"/>
  <c r="E7" i="36" s="1"/>
  <c r="D6" i="36"/>
  <c r="E6" i="36" s="1"/>
  <c r="D5" i="36"/>
  <c r="E5" i="36" s="1"/>
  <c r="J143" i="35"/>
  <c r="I143" i="35"/>
  <c r="H143" i="35"/>
  <c r="G143" i="35"/>
  <c r="K143" i="35" s="1"/>
  <c r="L143" i="35" s="1"/>
  <c r="J142" i="35"/>
  <c r="I142" i="35"/>
  <c r="H142" i="35"/>
  <c r="G142" i="35"/>
  <c r="K142" i="35" s="1"/>
  <c r="L142" i="35" s="1"/>
  <c r="J141" i="35"/>
  <c r="I141" i="35"/>
  <c r="H141" i="35"/>
  <c r="G141" i="35"/>
  <c r="K141" i="35" s="1"/>
  <c r="L141" i="35" s="1"/>
  <c r="J140" i="35"/>
  <c r="I140" i="35"/>
  <c r="H140" i="35"/>
  <c r="G140" i="35"/>
  <c r="K140" i="35" s="1"/>
  <c r="L140" i="35" s="1"/>
  <c r="J139" i="35"/>
  <c r="I139" i="35"/>
  <c r="H139" i="35"/>
  <c r="G139" i="35"/>
  <c r="K139" i="35" s="1"/>
  <c r="L139" i="35" s="1"/>
  <c r="J138" i="35"/>
  <c r="I138" i="35"/>
  <c r="H138" i="35"/>
  <c r="G138" i="35"/>
  <c r="K138" i="35" s="1"/>
  <c r="L138" i="35" s="1"/>
  <c r="J137" i="35"/>
  <c r="I137" i="35"/>
  <c r="H137" i="35"/>
  <c r="G137" i="35"/>
  <c r="K137" i="35" s="1"/>
  <c r="L137" i="35" s="1"/>
  <c r="J136" i="35"/>
  <c r="I136" i="35"/>
  <c r="H136" i="35"/>
  <c r="G136" i="35"/>
  <c r="K136" i="35" s="1"/>
  <c r="L136" i="35" s="1"/>
  <c r="J135" i="35"/>
  <c r="I135" i="35"/>
  <c r="H135" i="35"/>
  <c r="G135" i="35"/>
  <c r="K135" i="35" s="1"/>
  <c r="L135" i="35" s="1"/>
  <c r="J134" i="35"/>
  <c r="I134" i="35"/>
  <c r="H134" i="35"/>
  <c r="G134" i="35"/>
  <c r="K134" i="35" s="1"/>
  <c r="L134" i="35" s="1"/>
  <c r="J133" i="35"/>
  <c r="I133" i="35"/>
  <c r="H133" i="35"/>
  <c r="G133" i="35"/>
  <c r="K133" i="35" s="1"/>
  <c r="L133" i="35" s="1"/>
  <c r="J132" i="35"/>
  <c r="I132" i="35"/>
  <c r="H132" i="35"/>
  <c r="G132" i="35"/>
  <c r="K132" i="35" s="1"/>
  <c r="L132" i="35" s="1"/>
  <c r="J131" i="35"/>
  <c r="I131" i="35"/>
  <c r="H131" i="35"/>
  <c r="G131" i="35"/>
  <c r="K131" i="35" s="1"/>
  <c r="L131" i="35" s="1"/>
  <c r="J130" i="35"/>
  <c r="I130" i="35"/>
  <c r="H130" i="35"/>
  <c r="G130" i="35"/>
  <c r="K130" i="35" s="1"/>
  <c r="L130" i="35" s="1"/>
  <c r="J129" i="35"/>
  <c r="I129" i="35"/>
  <c r="H129" i="35"/>
  <c r="G129" i="35"/>
  <c r="K129" i="35" s="1"/>
  <c r="L129" i="35" s="1"/>
  <c r="J128" i="35"/>
  <c r="I128" i="35"/>
  <c r="H128" i="35"/>
  <c r="G128" i="35"/>
  <c r="K128" i="35" s="1"/>
  <c r="L128" i="35" s="1"/>
  <c r="J127" i="35"/>
  <c r="I127" i="35"/>
  <c r="H127" i="35"/>
  <c r="G127" i="35"/>
  <c r="K127" i="35" s="1"/>
  <c r="L127" i="35" s="1"/>
  <c r="J126" i="35"/>
  <c r="I126" i="35"/>
  <c r="H126" i="35"/>
  <c r="G126" i="35"/>
  <c r="K126" i="35" s="1"/>
  <c r="L126" i="35" s="1"/>
  <c r="J125" i="35"/>
  <c r="I125" i="35"/>
  <c r="H125" i="35"/>
  <c r="G125" i="35"/>
  <c r="K125" i="35" s="1"/>
  <c r="L125" i="35" s="1"/>
  <c r="J124" i="35"/>
  <c r="I124" i="35"/>
  <c r="H124" i="35"/>
  <c r="G124" i="35"/>
  <c r="K124" i="35" s="1"/>
  <c r="L124" i="35" s="1"/>
  <c r="J123" i="35"/>
  <c r="I123" i="35"/>
  <c r="H123" i="35"/>
  <c r="G123" i="35"/>
  <c r="K123" i="35" s="1"/>
  <c r="L123" i="35" s="1"/>
  <c r="J122" i="35"/>
  <c r="I122" i="35"/>
  <c r="H122" i="35"/>
  <c r="G122" i="35"/>
  <c r="K122" i="35" s="1"/>
  <c r="L122" i="35" s="1"/>
  <c r="J121" i="35"/>
  <c r="I121" i="35"/>
  <c r="H121" i="35"/>
  <c r="G121" i="35"/>
  <c r="K121" i="35" s="1"/>
  <c r="L121" i="35" s="1"/>
  <c r="J120" i="35"/>
  <c r="I120" i="35"/>
  <c r="H120" i="35"/>
  <c r="G120" i="35"/>
  <c r="K120" i="35" s="1"/>
  <c r="L120" i="35" s="1"/>
  <c r="J119" i="35"/>
  <c r="I119" i="35"/>
  <c r="H119" i="35"/>
  <c r="G119" i="35"/>
  <c r="K119" i="35" s="1"/>
  <c r="L119" i="35" s="1"/>
  <c r="J118" i="35"/>
  <c r="I118" i="35"/>
  <c r="H118" i="35"/>
  <c r="G118" i="35"/>
  <c r="K118" i="35" s="1"/>
  <c r="L118" i="35" s="1"/>
  <c r="J117" i="35"/>
  <c r="I117" i="35"/>
  <c r="H117" i="35"/>
  <c r="G117" i="35"/>
  <c r="K117" i="35" s="1"/>
  <c r="L117" i="35" s="1"/>
  <c r="J116" i="35"/>
  <c r="I116" i="35"/>
  <c r="H116" i="35"/>
  <c r="G116" i="35"/>
  <c r="K116" i="35" s="1"/>
  <c r="L116" i="35" s="1"/>
  <c r="J115" i="35"/>
  <c r="I115" i="35"/>
  <c r="H115" i="35"/>
  <c r="G115" i="35"/>
  <c r="K115" i="35" s="1"/>
  <c r="L115" i="35" s="1"/>
  <c r="J114" i="35"/>
  <c r="I114" i="35"/>
  <c r="H114" i="35"/>
  <c r="G114" i="35"/>
  <c r="K114" i="35" s="1"/>
  <c r="L114" i="35" s="1"/>
  <c r="J113" i="35"/>
  <c r="I113" i="35"/>
  <c r="H113" i="35"/>
  <c r="G113" i="35"/>
  <c r="K113" i="35" s="1"/>
  <c r="L113" i="35" s="1"/>
  <c r="J112" i="35"/>
  <c r="I112" i="35"/>
  <c r="H112" i="35"/>
  <c r="G112" i="35"/>
  <c r="K112" i="35" s="1"/>
  <c r="L112" i="35" s="1"/>
  <c r="J111" i="35"/>
  <c r="I111" i="35"/>
  <c r="H111" i="35"/>
  <c r="G111" i="35"/>
  <c r="K111" i="35" s="1"/>
  <c r="L111" i="35" s="1"/>
  <c r="J110" i="35"/>
  <c r="I110" i="35"/>
  <c r="H110" i="35"/>
  <c r="G110" i="35"/>
  <c r="K110" i="35" s="1"/>
  <c r="L110" i="35" s="1"/>
  <c r="J109" i="35"/>
  <c r="I109" i="35"/>
  <c r="H109" i="35"/>
  <c r="G109" i="35"/>
  <c r="K109" i="35" s="1"/>
  <c r="L109" i="35" s="1"/>
  <c r="J108" i="35"/>
  <c r="I108" i="35"/>
  <c r="H108" i="35"/>
  <c r="G108" i="35"/>
  <c r="K108" i="35" s="1"/>
  <c r="L108" i="35" s="1"/>
  <c r="J107" i="35"/>
  <c r="I107" i="35"/>
  <c r="H107" i="35"/>
  <c r="G107" i="35"/>
  <c r="K107" i="35" s="1"/>
  <c r="L107" i="35" s="1"/>
  <c r="J106" i="35"/>
  <c r="I106" i="35"/>
  <c r="H106" i="35"/>
  <c r="G106" i="35"/>
  <c r="K106" i="35" s="1"/>
  <c r="L106" i="35" s="1"/>
  <c r="J105" i="35"/>
  <c r="I105" i="35"/>
  <c r="H105" i="35"/>
  <c r="G105" i="35"/>
  <c r="K105" i="35" s="1"/>
  <c r="L105" i="35" s="1"/>
  <c r="J104" i="35"/>
  <c r="I104" i="35"/>
  <c r="H104" i="35"/>
  <c r="G104" i="35"/>
  <c r="K104" i="35" s="1"/>
  <c r="L104" i="35" s="1"/>
  <c r="J103" i="35"/>
  <c r="I103" i="35"/>
  <c r="H103" i="35"/>
  <c r="G103" i="35"/>
  <c r="K103" i="35" s="1"/>
  <c r="L103" i="35" s="1"/>
  <c r="J102" i="35"/>
  <c r="I102" i="35"/>
  <c r="H102" i="35"/>
  <c r="G102" i="35"/>
  <c r="K102" i="35" s="1"/>
  <c r="L102" i="35" s="1"/>
  <c r="J101" i="35"/>
  <c r="I101" i="35"/>
  <c r="H101" i="35"/>
  <c r="G101" i="35"/>
  <c r="K101" i="35" s="1"/>
  <c r="L101" i="35" s="1"/>
  <c r="J100" i="35"/>
  <c r="I100" i="35"/>
  <c r="H100" i="35"/>
  <c r="G100" i="35"/>
  <c r="K100" i="35" s="1"/>
  <c r="L100" i="35" s="1"/>
  <c r="J99" i="35"/>
  <c r="I99" i="35"/>
  <c r="H99" i="35"/>
  <c r="G99" i="35"/>
  <c r="K99" i="35" s="1"/>
  <c r="L99" i="35" s="1"/>
  <c r="J98" i="35"/>
  <c r="I98" i="35"/>
  <c r="H98" i="35"/>
  <c r="G98" i="35"/>
  <c r="K98" i="35" s="1"/>
  <c r="L98" i="35" s="1"/>
  <c r="J97" i="35"/>
  <c r="I97" i="35"/>
  <c r="H97" i="35"/>
  <c r="G97" i="35"/>
  <c r="K97" i="35" s="1"/>
  <c r="L97" i="35" s="1"/>
  <c r="J96" i="35"/>
  <c r="I96" i="35"/>
  <c r="H96" i="35"/>
  <c r="G96" i="35"/>
  <c r="K96" i="35" s="1"/>
  <c r="L96" i="35" s="1"/>
  <c r="J95" i="35"/>
  <c r="I95" i="35"/>
  <c r="H95" i="35"/>
  <c r="G95" i="35"/>
  <c r="K95" i="35" s="1"/>
  <c r="L95" i="35" s="1"/>
  <c r="J94" i="35"/>
  <c r="I94" i="35"/>
  <c r="H94" i="35"/>
  <c r="G94" i="35"/>
  <c r="K94" i="35" s="1"/>
  <c r="L94" i="35" s="1"/>
  <c r="J93" i="35"/>
  <c r="I93" i="35"/>
  <c r="H93" i="35"/>
  <c r="G93" i="35"/>
  <c r="K93" i="35" s="1"/>
  <c r="L93" i="35" s="1"/>
  <c r="J92" i="35"/>
  <c r="I92" i="35"/>
  <c r="H92" i="35"/>
  <c r="G92" i="35"/>
  <c r="K92" i="35" s="1"/>
  <c r="L92" i="35" s="1"/>
  <c r="J91" i="35"/>
  <c r="I91" i="35"/>
  <c r="H91" i="35"/>
  <c r="G91" i="35"/>
  <c r="K91" i="35" s="1"/>
  <c r="L91" i="35" s="1"/>
  <c r="J90" i="35"/>
  <c r="I90" i="35"/>
  <c r="H90" i="35"/>
  <c r="G90" i="35"/>
  <c r="K90" i="35" s="1"/>
  <c r="L90" i="35" s="1"/>
  <c r="J89" i="35"/>
  <c r="I89" i="35"/>
  <c r="H89" i="35"/>
  <c r="G89" i="35"/>
  <c r="K89" i="35" s="1"/>
  <c r="L89" i="35" s="1"/>
  <c r="J88" i="35"/>
  <c r="I88" i="35"/>
  <c r="H88" i="35"/>
  <c r="G88" i="35"/>
  <c r="K88" i="35" s="1"/>
  <c r="L88" i="35" s="1"/>
  <c r="J87" i="35"/>
  <c r="I87" i="35"/>
  <c r="H87" i="35"/>
  <c r="G87" i="35"/>
  <c r="K87" i="35" s="1"/>
  <c r="L87" i="35" s="1"/>
  <c r="J86" i="35"/>
  <c r="I86" i="35"/>
  <c r="H86" i="35"/>
  <c r="G86" i="35"/>
  <c r="K86" i="35" s="1"/>
  <c r="L86" i="35" s="1"/>
  <c r="J85" i="35"/>
  <c r="I85" i="35"/>
  <c r="H85" i="35"/>
  <c r="G85" i="35"/>
  <c r="K85" i="35" s="1"/>
  <c r="L85" i="35" s="1"/>
  <c r="J84" i="35"/>
  <c r="I84" i="35"/>
  <c r="H84" i="35"/>
  <c r="G84" i="35"/>
  <c r="K84" i="35" s="1"/>
  <c r="L84" i="35" s="1"/>
  <c r="J83" i="35"/>
  <c r="I83" i="35"/>
  <c r="H83" i="35"/>
  <c r="G83" i="35"/>
  <c r="K83" i="35" s="1"/>
  <c r="L83" i="35" s="1"/>
  <c r="J82" i="35"/>
  <c r="I82" i="35"/>
  <c r="H82" i="35"/>
  <c r="G82" i="35"/>
  <c r="K82" i="35" s="1"/>
  <c r="L82" i="35" s="1"/>
  <c r="J81" i="35"/>
  <c r="I81" i="35"/>
  <c r="H81" i="35"/>
  <c r="G81" i="35"/>
  <c r="K81" i="35" s="1"/>
  <c r="L81" i="35" s="1"/>
  <c r="J80" i="35"/>
  <c r="I80" i="35"/>
  <c r="H80" i="35"/>
  <c r="G80" i="35"/>
  <c r="K80" i="35" s="1"/>
  <c r="L80" i="35" s="1"/>
  <c r="J79" i="35"/>
  <c r="I79" i="35"/>
  <c r="H79" i="35"/>
  <c r="G79" i="35"/>
  <c r="K79" i="35" s="1"/>
  <c r="L79" i="35" s="1"/>
  <c r="J78" i="35"/>
  <c r="I78" i="35"/>
  <c r="H78" i="35"/>
  <c r="G78" i="35"/>
  <c r="K78" i="35" s="1"/>
  <c r="L78" i="35" s="1"/>
  <c r="J77" i="35"/>
  <c r="I77" i="35"/>
  <c r="H77" i="35"/>
  <c r="G77" i="35"/>
  <c r="K77" i="35" s="1"/>
  <c r="L77" i="35" s="1"/>
  <c r="J76" i="35"/>
  <c r="I76" i="35"/>
  <c r="H76" i="35"/>
  <c r="G76" i="35"/>
  <c r="K76" i="35" s="1"/>
  <c r="L76" i="35" s="1"/>
  <c r="J75" i="35"/>
  <c r="I75" i="35"/>
  <c r="H75" i="35"/>
  <c r="G75" i="35"/>
  <c r="K75" i="35" s="1"/>
  <c r="L75" i="35" s="1"/>
  <c r="J74" i="35"/>
  <c r="I74" i="35"/>
  <c r="H74" i="35"/>
  <c r="G74" i="35"/>
  <c r="K74" i="35" s="1"/>
  <c r="L74" i="35" s="1"/>
  <c r="J73" i="35"/>
  <c r="I73" i="35"/>
  <c r="H73" i="35"/>
  <c r="G73" i="35"/>
  <c r="K73" i="35" s="1"/>
  <c r="L73" i="35" s="1"/>
  <c r="J72" i="35"/>
  <c r="I72" i="35"/>
  <c r="H72" i="35"/>
  <c r="G72" i="35"/>
  <c r="K72" i="35" s="1"/>
  <c r="L72" i="35" s="1"/>
  <c r="J71" i="35"/>
  <c r="I71" i="35"/>
  <c r="H71" i="35"/>
  <c r="G71" i="35"/>
  <c r="K71" i="35" s="1"/>
  <c r="L71" i="35" s="1"/>
  <c r="J70" i="35"/>
  <c r="I70" i="35"/>
  <c r="H70" i="35"/>
  <c r="G70" i="35"/>
  <c r="K70" i="35" s="1"/>
  <c r="L70" i="35" s="1"/>
  <c r="J69" i="35"/>
  <c r="I69" i="35"/>
  <c r="H69" i="35"/>
  <c r="G69" i="35"/>
  <c r="J68" i="35"/>
  <c r="I68" i="35"/>
  <c r="H68" i="35"/>
  <c r="G68" i="35"/>
  <c r="J67" i="35"/>
  <c r="I67" i="35"/>
  <c r="H67" i="35"/>
  <c r="G67" i="35"/>
  <c r="J66" i="35"/>
  <c r="I66" i="35"/>
  <c r="H66" i="35"/>
  <c r="G66" i="35"/>
  <c r="J65" i="35"/>
  <c r="I65" i="35"/>
  <c r="H65" i="35"/>
  <c r="G65" i="35"/>
  <c r="J64" i="35"/>
  <c r="I64" i="35"/>
  <c r="H64" i="35"/>
  <c r="G64" i="35"/>
  <c r="J63" i="35"/>
  <c r="I63" i="35"/>
  <c r="H63" i="35"/>
  <c r="G63" i="35"/>
  <c r="J62" i="35"/>
  <c r="I62" i="35"/>
  <c r="H62" i="35"/>
  <c r="G62" i="35"/>
  <c r="J61" i="35"/>
  <c r="I61" i="35"/>
  <c r="H61" i="35"/>
  <c r="G61" i="35"/>
  <c r="J60" i="35"/>
  <c r="I60" i="35"/>
  <c r="H60" i="35"/>
  <c r="G60" i="35"/>
  <c r="J59" i="35"/>
  <c r="I59" i="35"/>
  <c r="H59" i="35"/>
  <c r="G59" i="35"/>
  <c r="J58" i="35"/>
  <c r="I58" i="35"/>
  <c r="H58" i="35"/>
  <c r="G58" i="35"/>
  <c r="J57" i="35"/>
  <c r="I57" i="35"/>
  <c r="H57" i="35"/>
  <c r="G57" i="35"/>
  <c r="J56" i="35"/>
  <c r="I56" i="35"/>
  <c r="H56" i="35"/>
  <c r="G56" i="35"/>
  <c r="J55" i="35"/>
  <c r="I55" i="35"/>
  <c r="H55" i="35"/>
  <c r="G55" i="35"/>
  <c r="J54" i="35"/>
  <c r="I54" i="35"/>
  <c r="H54" i="35"/>
  <c r="G54" i="35"/>
  <c r="J53" i="35"/>
  <c r="I53" i="35"/>
  <c r="H53" i="35"/>
  <c r="G53" i="35"/>
  <c r="J52" i="35"/>
  <c r="I52" i="35"/>
  <c r="H52" i="35"/>
  <c r="G52" i="35"/>
  <c r="J51" i="35"/>
  <c r="I51" i="35"/>
  <c r="H51" i="35"/>
  <c r="G51" i="35"/>
  <c r="J50" i="35"/>
  <c r="I50" i="35"/>
  <c r="H50" i="35"/>
  <c r="G50" i="35"/>
  <c r="J49" i="35"/>
  <c r="I49" i="35"/>
  <c r="H49" i="35"/>
  <c r="G49" i="35"/>
  <c r="J48" i="35"/>
  <c r="I48" i="35"/>
  <c r="H48" i="35"/>
  <c r="G48" i="35"/>
  <c r="J47" i="35"/>
  <c r="I47" i="35"/>
  <c r="H47" i="35"/>
  <c r="G47" i="35"/>
  <c r="J46" i="35"/>
  <c r="I46" i="35"/>
  <c r="H46" i="35"/>
  <c r="G46" i="35"/>
  <c r="J45" i="35"/>
  <c r="I45" i="35"/>
  <c r="H45" i="35"/>
  <c r="G45" i="35"/>
  <c r="J44" i="35"/>
  <c r="I44" i="35"/>
  <c r="H44" i="35"/>
  <c r="G44" i="35"/>
  <c r="J43" i="35"/>
  <c r="I43" i="35"/>
  <c r="H43" i="35"/>
  <c r="G43" i="35"/>
  <c r="J42" i="35"/>
  <c r="I42" i="35"/>
  <c r="H42" i="35"/>
  <c r="G42" i="35"/>
  <c r="J41" i="35"/>
  <c r="I41" i="35"/>
  <c r="H41" i="35"/>
  <c r="G41" i="35"/>
  <c r="J40" i="35"/>
  <c r="I40" i="35"/>
  <c r="H40" i="35"/>
  <c r="G40" i="35"/>
  <c r="J39" i="35"/>
  <c r="I39" i="35"/>
  <c r="H39" i="35"/>
  <c r="G39" i="35"/>
  <c r="J38" i="35"/>
  <c r="I38" i="35"/>
  <c r="H38" i="35"/>
  <c r="G38" i="35"/>
  <c r="J37" i="35"/>
  <c r="I37" i="35"/>
  <c r="H37" i="35"/>
  <c r="G37" i="35"/>
  <c r="J36" i="35"/>
  <c r="I36" i="35"/>
  <c r="H36" i="35"/>
  <c r="G36" i="35"/>
  <c r="J35" i="35"/>
  <c r="I35" i="35"/>
  <c r="H35" i="35"/>
  <c r="G35" i="35"/>
  <c r="J34" i="35"/>
  <c r="I34" i="35"/>
  <c r="H34" i="35"/>
  <c r="G34" i="35"/>
  <c r="J33" i="35"/>
  <c r="I33" i="35"/>
  <c r="H33" i="35"/>
  <c r="G33" i="35"/>
  <c r="J32" i="35"/>
  <c r="I32" i="35"/>
  <c r="H32" i="35"/>
  <c r="G32" i="35"/>
  <c r="J31" i="35"/>
  <c r="I31" i="35"/>
  <c r="H31" i="35"/>
  <c r="G31" i="35"/>
  <c r="J30" i="35"/>
  <c r="I30" i="35"/>
  <c r="H30" i="35"/>
  <c r="G30" i="35"/>
  <c r="J29" i="35"/>
  <c r="I29" i="35"/>
  <c r="H29" i="35"/>
  <c r="G29" i="35"/>
  <c r="J28" i="35"/>
  <c r="I28" i="35"/>
  <c r="H28" i="35"/>
  <c r="G28" i="35"/>
  <c r="J27" i="35"/>
  <c r="I27" i="35"/>
  <c r="H27" i="35"/>
  <c r="G27" i="35"/>
  <c r="J26" i="35"/>
  <c r="I26" i="35"/>
  <c r="H26" i="35"/>
  <c r="G26" i="35"/>
  <c r="J25" i="35"/>
  <c r="I25" i="35"/>
  <c r="H25" i="35"/>
  <c r="G25" i="35"/>
  <c r="J24" i="35"/>
  <c r="I24" i="35"/>
  <c r="H24" i="35"/>
  <c r="G24" i="35"/>
  <c r="J23" i="35"/>
  <c r="I23" i="35"/>
  <c r="H23" i="35"/>
  <c r="G23" i="35"/>
  <c r="J22" i="35"/>
  <c r="I22" i="35"/>
  <c r="H22" i="35"/>
  <c r="G22" i="35"/>
  <c r="J21" i="35"/>
  <c r="I21" i="35"/>
  <c r="H21" i="35"/>
  <c r="G21" i="35"/>
  <c r="J20" i="35"/>
  <c r="I20" i="35"/>
  <c r="H20" i="35"/>
  <c r="G20" i="35"/>
  <c r="J19" i="35"/>
  <c r="I19" i="35"/>
  <c r="H19" i="35"/>
  <c r="G19" i="35"/>
  <c r="J18" i="35"/>
  <c r="I18" i="35"/>
  <c r="H18" i="35"/>
  <c r="G18" i="35"/>
  <c r="J17" i="35"/>
  <c r="I17" i="35"/>
  <c r="H17" i="35"/>
  <c r="G17" i="35"/>
  <c r="J16" i="35"/>
  <c r="I16" i="35"/>
  <c r="H16" i="35"/>
  <c r="G16" i="35"/>
  <c r="J15" i="35"/>
  <c r="I15" i="35"/>
  <c r="H15" i="35"/>
  <c r="G15" i="35"/>
  <c r="J14" i="35"/>
  <c r="I14" i="35"/>
  <c r="H14" i="35"/>
  <c r="G14" i="35"/>
  <c r="J143" i="34"/>
  <c r="I143" i="34"/>
  <c r="H143" i="34"/>
  <c r="G143" i="34"/>
  <c r="K143" i="34" s="1"/>
  <c r="L143" i="34" s="1"/>
  <c r="J142" i="34"/>
  <c r="I142" i="34"/>
  <c r="H142" i="34"/>
  <c r="G142" i="34"/>
  <c r="K142" i="34" s="1"/>
  <c r="L142" i="34" s="1"/>
  <c r="J141" i="34"/>
  <c r="I141" i="34"/>
  <c r="H141" i="34"/>
  <c r="G141" i="34"/>
  <c r="K141" i="34" s="1"/>
  <c r="L141" i="34" s="1"/>
  <c r="J140" i="34"/>
  <c r="I140" i="34"/>
  <c r="H140" i="34"/>
  <c r="G140" i="34"/>
  <c r="K140" i="34" s="1"/>
  <c r="L140" i="34" s="1"/>
  <c r="J139" i="34"/>
  <c r="I139" i="34"/>
  <c r="H139" i="34"/>
  <c r="G139" i="34"/>
  <c r="K139" i="34" s="1"/>
  <c r="L139" i="34" s="1"/>
  <c r="J138" i="34"/>
  <c r="I138" i="34"/>
  <c r="H138" i="34"/>
  <c r="G138" i="34"/>
  <c r="K138" i="34" s="1"/>
  <c r="L138" i="34" s="1"/>
  <c r="J137" i="34"/>
  <c r="I137" i="34"/>
  <c r="H137" i="34"/>
  <c r="G137" i="34"/>
  <c r="K137" i="34" s="1"/>
  <c r="L137" i="34" s="1"/>
  <c r="J136" i="34"/>
  <c r="I136" i="34"/>
  <c r="H136" i="34"/>
  <c r="G136" i="34"/>
  <c r="K136" i="34" s="1"/>
  <c r="L136" i="34" s="1"/>
  <c r="J135" i="34"/>
  <c r="I135" i="34"/>
  <c r="H135" i="34"/>
  <c r="G135" i="34"/>
  <c r="K135" i="34" s="1"/>
  <c r="L135" i="34" s="1"/>
  <c r="J134" i="34"/>
  <c r="I134" i="34"/>
  <c r="H134" i="34"/>
  <c r="G134" i="34"/>
  <c r="K134" i="34" s="1"/>
  <c r="L134" i="34" s="1"/>
  <c r="J133" i="34"/>
  <c r="I133" i="34"/>
  <c r="H133" i="34"/>
  <c r="G133" i="34"/>
  <c r="K133" i="34" s="1"/>
  <c r="L133" i="34" s="1"/>
  <c r="J132" i="34"/>
  <c r="I132" i="34"/>
  <c r="H132" i="34"/>
  <c r="G132" i="34"/>
  <c r="K132" i="34" s="1"/>
  <c r="L132" i="34" s="1"/>
  <c r="J131" i="34"/>
  <c r="I131" i="34"/>
  <c r="H131" i="34"/>
  <c r="G131" i="34"/>
  <c r="K131" i="34" s="1"/>
  <c r="L131" i="34" s="1"/>
  <c r="J130" i="34"/>
  <c r="I130" i="34"/>
  <c r="H130" i="34"/>
  <c r="G130" i="34"/>
  <c r="K130" i="34" s="1"/>
  <c r="L130" i="34" s="1"/>
  <c r="J129" i="34"/>
  <c r="I129" i="34"/>
  <c r="H129" i="34"/>
  <c r="G129" i="34"/>
  <c r="K129" i="34" s="1"/>
  <c r="L129" i="34" s="1"/>
  <c r="J128" i="34"/>
  <c r="I128" i="34"/>
  <c r="H128" i="34"/>
  <c r="G128" i="34"/>
  <c r="K128" i="34" s="1"/>
  <c r="L128" i="34" s="1"/>
  <c r="J127" i="34"/>
  <c r="I127" i="34"/>
  <c r="H127" i="34"/>
  <c r="G127" i="34"/>
  <c r="K127" i="34" s="1"/>
  <c r="L127" i="34" s="1"/>
  <c r="J126" i="34"/>
  <c r="I126" i="34"/>
  <c r="H126" i="34"/>
  <c r="G126" i="34"/>
  <c r="K126" i="34" s="1"/>
  <c r="L126" i="34" s="1"/>
  <c r="J125" i="34"/>
  <c r="I125" i="34"/>
  <c r="H125" i="34"/>
  <c r="G125" i="34"/>
  <c r="K125" i="34" s="1"/>
  <c r="L125" i="34" s="1"/>
  <c r="J124" i="34"/>
  <c r="I124" i="34"/>
  <c r="H124" i="34"/>
  <c r="G124" i="34"/>
  <c r="K124" i="34" s="1"/>
  <c r="L124" i="34" s="1"/>
  <c r="J123" i="34"/>
  <c r="I123" i="34"/>
  <c r="H123" i="34"/>
  <c r="G123" i="34"/>
  <c r="K123" i="34" s="1"/>
  <c r="L123" i="34" s="1"/>
  <c r="J122" i="34"/>
  <c r="I122" i="34"/>
  <c r="H122" i="34"/>
  <c r="G122" i="34"/>
  <c r="K122" i="34" s="1"/>
  <c r="L122" i="34" s="1"/>
  <c r="J121" i="34"/>
  <c r="I121" i="34"/>
  <c r="H121" i="34"/>
  <c r="G121" i="34"/>
  <c r="K121" i="34" s="1"/>
  <c r="L121" i="34" s="1"/>
  <c r="J120" i="34"/>
  <c r="I120" i="34"/>
  <c r="H120" i="34"/>
  <c r="G120" i="34"/>
  <c r="K120" i="34" s="1"/>
  <c r="L120" i="34" s="1"/>
  <c r="J119" i="34"/>
  <c r="I119" i="34"/>
  <c r="H119" i="34"/>
  <c r="G119" i="34"/>
  <c r="K119" i="34" s="1"/>
  <c r="L119" i="34" s="1"/>
  <c r="J118" i="34"/>
  <c r="I118" i="34"/>
  <c r="H118" i="34"/>
  <c r="G118" i="34"/>
  <c r="K118" i="34" s="1"/>
  <c r="L118" i="34" s="1"/>
  <c r="J117" i="34"/>
  <c r="I117" i="34"/>
  <c r="H117" i="34"/>
  <c r="G117" i="34"/>
  <c r="K117" i="34" s="1"/>
  <c r="L117" i="34" s="1"/>
  <c r="J116" i="34"/>
  <c r="I116" i="34"/>
  <c r="H116" i="34"/>
  <c r="G116" i="34"/>
  <c r="K116" i="34" s="1"/>
  <c r="L116" i="34" s="1"/>
  <c r="J115" i="34"/>
  <c r="I115" i="34"/>
  <c r="H115" i="34"/>
  <c r="G115" i="34"/>
  <c r="K115" i="34" s="1"/>
  <c r="L115" i="34" s="1"/>
  <c r="J114" i="34"/>
  <c r="I114" i="34"/>
  <c r="H114" i="34"/>
  <c r="G114" i="34"/>
  <c r="K114" i="34" s="1"/>
  <c r="L114" i="34" s="1"/>
  <c r="J113" i="34"/>
  <c r="I113" i="34"/>
  <c r="H113" i="34"/>
  <c r="G113" i="34"/>
  <c r="K113" i="34" s="1"/>
  <c r="L113" i="34" s="1"/>
  <c r="J112" i="34"/>
  <c r="I112" i="34"/>
  <c r="H112" i="34"/>
  <c r="G112" i="34"/>
  <c r="K112" i="34" s="1"/>
  <c r="L112" i="34" s="1"/>
  <c r="J111" i="34"/>
  <c r="I111" i="34"/>
  <c r="H111" i="34"/>
  <c r="G111" i="34"/>
  <c r="K111" i="34" s="1"/>
  <c r="L111" i="34" s="1"/>
  <c r="J110" i="34"/>
  <c r="I110" i="34"/>
  <c r="H110" i="34"/>
  <c r="G110" i="34"/>
  <c r="K110" i="34" s="1"/>
  <c r="L110" i="34" s="1"/>
  <c r="J109" i="34"/>
  <c r="I109" i="34"/>
  <c r="H109" i="34"/>
  <c r="G109" i="34"/>
  <c r="K109" i="34" s="1"/>
  <c r="L109" i="34" s="1"/>
  <c r="J108" i="34"/>
  <c r="I108" i="34"/>
  <c r="H108" i="34"/>
  <c r="G108" i="34"/>
  <c r="K108" i="34" s="1"/>
  <c r="L108" i="34" s="1"/>
  <c r="J107" i="34"/>
  <c r="I107" i="34"/>
  <c r="H107" i="34"/>
  <c r="G107" i="34"/>
  <c r="K107" i="34" s="1"/>
  <c r="L107" i="34" s="1"/>
  <c r="J106" i="34"/>
  <c r="I106" i="34"/>
  <c r="H106" i="34"/>
  <c r="G106" i="34"/>
  <c r="K106" i="34" s="1"/>
  <c r="L106" i="34" s="1"/>
  <c r="J105" i="34"/>
  <c r="I105" i="34"/>
  <c r="H105" i="34"/>
  <c r="G105" i="34"/>
  <c r="K105" i="34" s="1"/>
  <c r="L105" i="34" s="1"/>
  <c r="J104" i="34"/>
  <c r="I104" i="34"/>
  <c r="H104" i="34"/>
  <c r="G104" i="34"/>
  <c r="K104" i="34" s="1"/>
  <c r="L104" i="34" s="1"/>
  <c r="J103" i="34"/>
  <c r="I103" i="34"/>
  <c r="H103" i="34"/>
  <c r="G103" i="34"/>
  <c r="K103" i="34" s="1"/>
  <c r="L103" i="34" s="1"/>
  <c r="J102" i="34"/>
  <c r="I102" i="34"/>
  <c r="H102" i="34"/>
  <c r="G102" i="34"/>
  <c r="K102" i="34" s="1"/>
  <c r="L102" i="34" s="1"/>
  <c r="J101" i="34"/>
  <c r="I101" i="34"/>
  <c r="H101" i="34"/>
  <c r="G101" i="34"/>
  <c r="K101" i="34" s="1"/>
  <c r="L101" i="34" s="1"/>
  <c r="J100" i="34"/>
  <c r="I100" i="34"/>
  <c r="H100" i="34"/>
  <c r="G100" i="34"/>
  <c r="K100" i="34" s="1"/>
  <c r="L100" i="34" s="1"/>
  <c r="J99" i="34"/>
  <c r="I99" i="34"/>
  <c r="H99" i="34"/>
  <c r="G99" i="34"/>
  <c r="K99" i="34" s="1"/>
  <c r="L99" i="34" s="1"/>
  <c r="J98" i="34"/>
  <c r="I98" i="34"/>
  <c r="H98" i="34"/>
  <c r="G98" i="34"/>
  <c r="K98" i="34" s="1"/>
  <c r="L98" i="34" s="1"/>
  <c r="J97" i="34"/>
  <c r="I97" i="34"/>
  <c r="H97" i="34"/>
  <c r="G97" i="34"/>
  <c r="K97" i="34" s="1"/>
  <c r="L97" i="34" s="1"/>
  <c r="J96" i="34"/>
  <c r="I96" i="34"/>
  <c r="H96" i="34"/>
  <c r="G96" i="34"/>
  <c r="K96" i="34" s="1"/>
  <c r="L96" i="34" s="1"/>
  <c r="J95" i="34"/>
  <c r="I95" i="34"/>
  <c r="H95" i="34"/>
  <c r="G95" i="34"/>
  <c r="K95" i="34" s="1"/>
  <c r="L95" i="34" s="1"/>
  <c r="J94" i="34"/>
  <c r="I94" i="34"/>
  <c r="H94" i="34"/>
  <c r="G94" i="34"/>
  <c r="K94" i="34" s="1"/>
  <c r="L94" i="34" s="1"/>
  <c r="J93" i="34"/>
  <c r="I93" i="34"/>
  <c r="H93" i="34"/>
  <c r="G93" i="34"/>
  <c r="K93" i="34" s="1"/>
  <c r="L93" i="34" s="1"/>
  <c r="J92" i="34"/>
  <c r="I92" i="34"/>
  <c r="H92" i="34"/>
  <c r="G92" i="34"/>
  <c r="K92" i="34" s="1"/>
  <c r="L92" i="34" s="1"/>
  <c r="J91" i="34"/>
  <c r="I91" i="34"/>
  <c r="H91" i="34"/>
  <c r="G91" i="34"/>
  <c r="K91" i="34" s="1"/>
  <c r="L91" i="34" s="1"/>
  <c r="J90" i="34"/>
  <c r="I90" i="34"/>
  <c r="H90" i="34"/>
  <c r="G90" i="34"/>
  <c r="K90" i="34" s="1"/>
  <c r="L90" i="34" s="1"/>
  <c r="J89" i="34"/>
  <c r="I89" i="34"/>
  <c r="H89" i="34"/>
  <c r="G89" i="34"/>
  <c r="K89" i="34" s="1"/>
  <c r="L89" i="34" s="1"/>
  <c r="J88" i="34"/>
  <c r="I88" i="34"/>
  <c r="H88" i="34"/>
  <c r="G88" i="34"/>
  <c r="K88" i="34" s="1"/>
  <c r="L88" i="34" s="1"/>
  <c r="J87" i="34"/>
  <c r="I87" i="34"/>
  <c r="H87" i="34"/>
  <c r="G87" i="34"/>
  <c r="K87" i="34" s="1"/>
  <c r="L87" i="34" s="1"/>
  <c r="J86" i="34"/>
  <c r="I86" i="34"/>
  <c r="H86" i="34"/>
  <c r="G86" i="34"/>
  <c r="K86" i="34" s="1"/>
  <c r="L86" i="34" s="1"/>
  <c r="J85" i="34"/>
  <c r="I85" i="34"/>
  <c r="H85" i="34"/>
  <c r="G85" i="34"/>
  <c r="K85" i="34" s="1"/>
  <c r="L85" i="34" s="1"/>
  <c r="J84" i="34"/>
  <c r="I84" i="34"/>
  <c r="H84" i="34"/>
  <c r="G84" i="34"/>
  <c r="K84" i="34" s="1"/>
  <c r="L84" i="34" s="1"/>
  <c r="J83" i="34"/>
  <c r="I83" i="34"/>
  <c r="H83" i="34"/>
  <c r="G83" i="34"/>
  <c r="K83" i="34" s="1"/>
  <c r="L83" i="34" s="1"/>
  <c r="J82" i="34"/>
  <c r="I82" i="34"/>
  <c r="H82" i="34"/>
  <c r="G82" i="34"/>
  <c r="K82" i="34" s="1"/>
  <c r="L82" i="34" s="1"/>
  <c r="J81" i="34"/>
  <c r="I81" i="34"/>
  <c r="H81" i="34"/>
  <c r="G81" i="34"/>
  <c r="K81" i="34" s="1"/>
  <c r="L81" i="34" s="1"/>
  <c r="J80" i="34"/>
  <c r="I80" i="34"/>
  <c r="H80" i="34"/>
  <c r="G80" i="34"/>
  <c r="K80" i="34" s="1"/>
  <c r="L80" i="34" s="1"/>
  <c r="J79" i="34"/>
  <c r="I79" i="34"/>
  <c r="H79" i="34"/>
  <c r="G79" i="34"/>
  <c r="K79" i="34" s="1"/>
  <c r="L79" i="34" s="1"/>
  <c r="J78" i="34"/>
  <c r="I78" i="34"/>
  <c r="H78" i="34"/>
  <c r="G78" i="34"/>
  <c r="K78" i="34" s="1"/>
  <c r="L78" i="34" s="1"/>
  <c r="J77" i="34"/>
  <c r="I77" i="34"/>
  <c r="H77" i="34"/>
  <c r="G77" i="34"/>
  <c r="K77" i="34" s="1"/>
  <c r="L77" i="34" s="1"/>
  <c r="J76" i="34"/>
  <c r="I76" i="34"/>
  <c r="H76" i="34"/>
  <c r="G76" i="34"/>
  <c r="K76" i="34" s="1"/>
  <c r="L76" i="34" s="1"/>
  <c r="J75" i="34"/>
  <c r="I75" i="34"/>
  <c r="H75" i="34"/>
  <c r="G75" i="34"/>
  <c r="K75" i="34" s="1"/>
  <c r="L75" i="34" s="1"/>
  <c r="J74" i="34"/>
  <c r="I74" i="34"/>
  <c r="H74" i="34"/>
  <c r="G74" i="34"/>
  <c r="K74" i="34" s="1"/>
  <c r="L74" i="34" s="1"/>
  <c r="J73" i="34"/>
  <c r="I73" i="34"/>
  <c r="H73" i="34"/>
  <c r="G73" i="34"/>
  <c r="K73" i="34" s="1"/>
  <c r="L73" i="34" s="1"/>
  <c r="J72" i="34"/>
  <c r="I72" i="34"/>
  <c r="H72" i="34"/>
  <c r="G72" i="34"/>
  <c r="K72" i="34" s="1"/>
  <c r="L72" i="34" s="1"/>
  <c r="J71" i="34"/>
  <c r="I71" i="34"/>
  <c r="H71" i="34"/>
  <c r="G71" i="34"/>
  <c r="K71" i="34" s="1"/>
  <c r="L71" i="34" s="1"/>
  <c r="J70" i="34"/>
  <c r="I70" i="34"/>
  <c r="H70" i="34"/>
  <c r="G70" i="34"/>
  <c r="K70" i="34" s="1"/>
  <c r="L70" i="34" s="1"/>
  <c r="J69" i="34"/>
  <c r="I69" i="34"/>
  <c r="H69" i="34"/>
  <c r="G69" i="34"/>
  <c r="K69" i="34" s="1"/>
  <c r="L69" i="34" s="1"/>
  <c r="J68" i="34"/>
  <c r="I68" i="34"/>
  <c r="H68" i="34"/>
  <c r="G68" i="34"/>
  <c r="K68" i="34" s="1"/>
  <c r="L68" i="34" s="1"/>
  <c r="J67" i="34"/>
  <c r="I67" i="34"/>
  <c r="H67" i="34"/>
  <c r="G67" i="34"/>
  <c r="K67" i="34" s="1"/>
  <c r="L67" i="34" s="1"/>
  <c r="J66" i="34"/>
  <c r="I66" i="34"/>
  <c r="H66" i="34"/>
  <c r="G66" i="34"/>
  <c r="K66" i="34" s="1"/>
  <c r="L66" i="34" s="1"/>
  <c r="J65" i="34"/>
  <c r="I65" i="34"/>
  <c r="H65" i="34"/>
  <c r="G65" i="34"/>
  <c r="K65" i="34" s="1"/>
  <c r="L65" i="34" s="1"/>
  <c r="J64" i="34"/>
  <c r="I64" i="34"/>
  <c r="H64" i="34"/>
  <c r="G64" i="34"/>
  <c r="K64" i="34" s="1"/>
  <c r="L64" i="34" s="1"/>
  <c r="J63" i="34"/>
  <c r="I63" i="34"/>
  <c r="H63" i="34"/>
  <c r="G63" i="34"/>
  <c r="K63" i="34" s="1"/>
  <c r="L63" i="34" s="1"/>
  <c r="J62" i="34"/>
  <c r="I62" i="34"/>
  <c r="H62" i="34"/>
  <c r="G62" i="34"/>
  <c r="K62" i="34" s="1"/>
  <c r="L62" i="34" s="1"/>
  <c r="J61" i="34"/>
  <c r="I61" i="34"/>
  <c r="H61" i="34"/>
  <c r="G61" i="34"/>
  <c r="K61" i="34" s="1"/>
  <c r="L61" i="34" s="1"/>
  <c r="J60" i="34"/>
  <c r="I60" i="34"/>
  <c r="H60" i="34"/>
  <c r="G60" i="34"/>
  <c r="K60" i="34" s="1"/>
  <c r="L60" i="34" s="1"/>
  <c r="J59" i="34"/>
  <c r="I59" i="34"/>
  <c r="H59" i="34"/>
  <c r="G59" i="34"/>
  <c r="K59" i="34" s="1"/>
  <c r="L59" i="34" s="1"/>
  <c r="J58" i="34"/>
  <c r="I58" i="34"/>
  <c r="H58" i="34"/>
  <c r="G58" i="34"/>
  <c r="K58" i="34" s="1"/>
  <c r="L58" i="34" s="1"/>
  <c r="J57" i="34"/>
  <c r="I57" i="34"/>
  <c r="H57" i="34"/>
  <c r="G57" i="34"/>
  <c r="K57" i="34" s="1"/>
  <c r="L57" i="34" s="1"/>
  <c r="J56" i="34"/>
  <c r="I56" i="34"/>
  <c r="H56" i="34"/>
  <c r="G56" i="34"/>
  <c r="K56" i="34" s="1"/>
  <c r="L56" i="34" s="1"/>
  <c r="J55" i="34"/>
  <c r="I55" i="34"/>
  <c r="H55" i="34"/>
  <c r="G55" i="34"/>
  <c r="K55" i="34" s="1"/>
  <c r="L55" i="34" s="1"/>
  <c r="J54" i="34"/>
  <c r="I54" i="34"/>
  <c r="H54" i="34"/>
  <c r="G54" i="34"/>
  <c r="K54" i="34" s="1"/>
  <c r="L54" i="34" s="1"/>
  <c r="J53" i="34"/>
  <c r="I53" i="34"/>
  <c r="H53" i="34"/>
  <c r="G53" i="34"/>
  <c r="K53" i="34" s="1"/>
  <c r="L53" i="34" s="1"/>
  <c r="J52" i="34"/>
  <c r="I52" i="34"/>
  <c r="H52" i="34"/>
  <c r="G52" i="34"/>
  <c r="K52" i="34" s="1"/>
  <c r="L52" i="34" s="1"/>
  <c r="J51" i="34"/>
  <c r="I51" i="34"/>
  <c r="H51" i="34"/>
  <c r="G51" i="34"/>
  <c r="K51" i="34" s="1"/>
  <c r="L51" i="34" s="1"/>
  <c r="J50" i="34"/>
  <c r="I50" i="34"/>
  <c r="H50" i="34"/>
  <c r="G50" i="34"/>
  <c r="K50" i="34" s="1"/>
  <c r="L50" i="34" s="1"/>
  <c r="J49" i="34"/>
  <c r="I49" i="34"/>
  <c r="H49" i="34"/>
  <c r="G49" i="34"/>
  <c r="K49" i="34" s="1"/>
  <c r="L49" i="34" s="1"/>
  <c r="J48" i="34"/>
  <c r="I48" i="34"/>
  <c r="H48" i="34"/>
  <c r="G48" i="34"/>
  <c r="K48" i="34" s="1"/>
  <c r="L48" i="34" s="1"/>
  <c r="J47" i="34"/>
  <c r="I47" i="34"/>
  <c r="H47" i="34"/>
  <c r="G47" i="34"/>
  <c r="K47" i="34" s="1"/>
  <c r="L47" i="34" s="1"/>
  <c r="J46" i="34"/>
  <c r="I46" i="34"/>
  <c r="H46" i="34"/>
  <c r="G46" i="34"/>
  <c r="K46" i="34" s="1"/>
  <c r="L46" i="34" s="1"/>
  <c r="J45" i="34"/>
  <c r="I45" i="34"/>
  <c r="H45" i="34"/>
  <c r="G45" i="34"/>
  <c r="K45" i="34" s="1"/>
  <c r="L45" i="34" s="1"/>
  <c r="J44" i="34"/>
  <c r="I44" i="34"/>
  <c r="H44" i="34"/>
  <c r="G44" i="34"/>
  <c r="K44" i="34" s="1"/>
  <c r="L44" i="34" s="1"/>
  <c r="J43" i="34"/>
  <c r="I43" i="34"/>
  <c r="H43" i="34"/>
  <c r="G43" i="34"/>
  <c r="K43" i="34" s="1"/>
  <c r="L43" i="34" s="1"/>
  <c r="J42" i="34"/>
  <c r="I42" i="34"/>
  <c r="H42" i="34"/>
  <c r="G42" i="34"/>
  <c r="K42" i="34" s="1"/>
  <c r="L42" i="34" s="1"/>
  <c r="J41" i="34"/>
  <c r="I41" i="34"/>
  <c r="H41" i="34"/>
  <c r="G41" i="34"/>
  <c r="K41" i="34" s="1"/>
  <c r="L41" i="34" s="1"/>
  <c r="J40" i="34"/>
  <c r="I40" i="34"/>
  <c r="H40" i="34"/>
  <c r="G40" i="34"/>
  <c r="K40" i="34" s="1"/>
  <c r="L40" i="34" s="1"/>
  <c r="J39" i="34"/>
  <c r="I39" i="34"/>
  <c r="H39" i="34"/>
  <c r="G39" i="34"/>
  <c r="K39" i="34" s="1"/>
  <c r="L39" i="34" s="1"/>
  <c r="J38" i="34"/>
  <c r="I38" i="34"/>
  <c r="H38" i="34"/>
  <c r="G38" i="34"/>
  <c r="K38" i="34" s="1"/>
  <c r="L38" i="34" s="1"/>
  <c r="J37" i="34"/>
  <c r="I37" i="34"/>
  <c r="H37" i="34"/>
  <c r="G37" i="34"/>
  <c r="K37" i="34" s="1"/>
  <c r="L37" i="34" s="1"/>
  <c r="J36" i="34"/>
  <c r="I36" i="34"/>
  <c r="H36" i="34"/>
  <c r="G36" i="34"/>
  <c r="K36" i="34" s="1"/>
  <c r="L36" i="34" s="1"/>
  <c r="J35" i="34"/>
  <c r="I35" i="34"/>
  <c r="H35" i="34"/>
  <c r="G35" i="34"/>
  <c r="K35" i="34" s="1"/>
  <c r="L35" i="34" s="1"/>
  <c r="J34" i="34"/>
  <c r="I34" i="34"/>
  <c r="H34" i="34"/>
  <c r="G34" i="34"/>
  <c r="K34" i="34" s="1"/>
  <c r="L34" i="34" s="1"/>
  <c r="J33" i="34"/>
  <c r="I33" i="34"/>
  <c r="H33" i="34"/>
  <c r="G33" i="34"/>
  <c r="K33" i="34" s="1"/>
  <c r="L33" i="34" s="1"/>
  <c r="J32" i="34"/>
  <c r="I32" i="34"/>
  <c r="H32" i="34"/>
  <c r="G32" i="34"/>
  <c r="K32" i="34" s="1"/>
  <c r="L32" i="34" s="1"/>
  <c r="J31" i="34"/>
  <c r="I31" i="34"/>
  <c r="H31" i="34"/>
  <c r="G31" i="34"/>
  <c r="K31" i="34" s="1"/>
  <c r="L31" i="34" s="1"/>
  <c r="J30" i="34"/>
  <c r="I30" i="34"/>
  <c r="H30" i="34"/>
  <c r="G30" i="34"/>
  <c r="K30" i="34" s="1"/>
  <c r="L30" i="34" s="1"/>
  <c r="J29" i="34"/>
  <c r="I29" i="34"/>
  <c r="H29" i="34"/>
  <c r="G29" i="34"/>
  <c r="K29" i="34" s="1"/>
  <c r="L29" i="34" s="1"/>
  <c r="J28" i="34"/>
  <c r="I28" i="34"/>
  <c r="H28" i="34"/>
  <c r="G28" i="34"/>
  <c r="K28" i="34" s="1"/>
  <c r="L28" i="34" s="1"/>
  <c r="J27" i="34"/>
  <c r="I27" i="34"/>
  <c r="H27" i="34"/>
  <c r="G27" i="34"/>
  <c r="K27" i="34" s="1"/>
  <c r="L27" i="34" s="1"/>
  <c r="J26" i="34"/>
  <c r="I26" i="34"/>
  <c r="H26" i="34"/>
  <c r="G26" i="34"/>
  <c r="K26" i="34" s="1"/>
  <c r="L26" i="34" s="1"/>
  <c r="J25" i="34"/>
  <c r="I25" i="34"/>
  <c r="H25" i="34"/>
  <c r="G25" i="34"/>
  <c r="K25" i="34" s="1"/>
  <c r="L25" i="34" s="1"/>
  <c r="J24" i="34"/>
  <c r="I24" i="34"/>
  <c r="H24" i="34"/>
  <c r="G24" i="34"/>
  <c r="K24" i="34" s="1"/>
  <c r="L24" i="34" s="1"/>
  <c r="J23" i="34"/>
  <c r="I23" i="34"/>
  <c r="H23" i="34"/>
  <c r="G23" i="34"/>
  <c r="K23" i="34" s="1"/>
  <c r="L23" i="34" s="1"/>
  <c r="J22" i="34"/>
  <c r="I22" i="34"/>
  <c r="H22" i="34"/>
  <c r="G22" i="34"/>
  <c r="K22" i="34" s="1"/>
  <c r="L22" i="34" s="1"/>
  <c r="J21" i="34"/>
  <c r="I21" i="34"/>
  <c r="H21" i="34"/>
  <c r="G21" i="34"/>
  <c r="K21" i="34" s="1"/>
  <c r="L21" i="34" s="1"/>
  <c r="J20" i="34"/>
  <c r="I20" i="34"/>
  <c r="H20" i="34"/>
  <c r="G20" i="34"/>
  <c r="K20" i="34" s="1"/>
  <c r="L20" i="34" s="1"/>
  <c r="J19" i="34"/>
  <c r="I19" i="34"/>
  <c r="H19" i="34"/>
  <c r="G19" i="34"/>
  <c r="K19" i="34" s="1"/>
  <c r="L19" i="34" s="1"/>
  <c r="J18" i="34"/>
  <c r="I18" i="34"/>
  <c r="H18" i="34"/>
  <c r="G18" i="34"/>
  <c r="K18" i="34" s="1"/>
  <c r="L18" i="34" s="1"/>
  <c r="J17" i="34"/>
  <c r="I17" i="34"/>
  <c r="H17" i="34"/>
  <c r="G17" i="34"/>
  <c r="K17" i="34" s="1"/>
  <c r="L17" i="34" s="1"/>
  <c r="J16" i="34"/>
  <c r="I16" i="34"/>
  <c r="H16" i="34"/>
  <c r="G16" i="34"/>
  <c r="K16" i="34" s="1"/>
  <c r="L16" i="34" s="1"/>
  <c r="J15" i="34"/>
  <c r="I15" i="34"/>
  <c r="H15" i="34"/>
  <c r="G15" i="34"/>
  <c r="K15" i="34" s="1"/>
  <c r="L15" i="34" s="1"/>
  <c r="J14" i="34"/>
  <c r="I14" i="34"/>
  <c r="H14" i="34"/>
  <c r="G14" i="34"/>
  <c r="K14" i="34" s="1"/>
  <c r="L14" i="34" s="1"/>
  <c r="D134" i="33"/>
  <c r="E134" i="33" s="1"/>
  <c r="D133" i="33"/>
  <c r="E133" i="33" s="1"/>
  <c r="D132" i="33"/>
  <c r="E132" i="33" s="1"/>
  <c r="D131" i="33"/>
  <c r="E131" i="33" s="1"/>
  <c r="D130" i="33"/>
  <c r="E130" i="33" s="1"/>
  <c r="D129" i="33"/>
  <c r="E129" i="33" s="1"/>
  <c r="D128" i="33"/>
  <c r="E128" i="33" s="1"/>
  <c r="D127" i="33"/>
  <c r="E127" i="33" s="1"/>
  <c r="D126" i="33"/>
  <c r="E126" i="33" s="1"/>
  <c r="D125" i="33"/>
  <c r="E125" i="33" s="1"/>
  <c r="D124" i="33"/>
  <c r="E124" i="33" s="1"/>
  <c r="D123" i="33"/>
  <c r="E123" i="33" s="1"/>
  <c r="D122" i="33"/>
  <c r="E122" i="33" s="1"/>
  <c r="D121" i="33"/>
  <c r="E121" i="33" s="1"/>
  <c r="D120" i="33"/>
  <c r="E120" i="33" s="1"/>
  <c r="D119" i="33"/>
  <c r="E119" i="33" s="1"/>
  <c r="D118" i="33"/>
  <c r="E118" i="33" s="1"/>
  <c r="D117" i="33"/>
  <c r="E117" i="33" s="1"/>
  <c r="D116" i="33"/>
  <c r="E116" i="33" s="1"/>
  <c r="D115" i="33"/>
  <c r="E115" i="33" s="1"/>
  <c r="D114" i="33"/>
  <c r="E114" i="33" s="1"/>
  <c r="D113" i="33"/>
  <c r="E113" i="33" s="1"/>
  <c r="D112" i="33"/>
  <c r="E112" i="33" s="1"/>
  <c r="D111" i="33"/>
  <c r="E111" i="33" s="1"/>
  <c r="D110" i="33"/>
  <c r="E110" i="33" s="1"/>
  <c r="D109" i="33"/>
  <c r="E109" i="33" s="1"/>
  <c r="D108" i="33"/>
  <c r="E108" i="33" s="1"/>
  <c r="D107" i="33"/>
  <c r="E107" i="33" s="1"/>
  <c r="D106" i="33"/>
  <c r="E106" i="33" s="1"/>
  <c r="D105" i="33"/>
  <c r="E105" i="33" s="1"/>
  <c r="D104" i="33"/>
  <c r="E104" i="33" s="1"/>
  <c r="D103" i="33"/>
  <c r="E103" i="33" s="1"/>
  <c r="D102" i="33"/>
  <c r="E102" i="33" s="1"/>
  <c r="D101" i="33"/>
  <c r="E101" i="33" s="1"/>
  <c r="D100" i="33"/>
  <c r="E100" i="33" s="1"/>
  <c r="D99" i="33"/>
  <c r="E99" i="33" s="1"/>
  <c r="D98" i="33"/>
  <c r="E98" i="33" s="1"/>
  <c r="D97" i="33"/>
  <c r="E97" i="33" s="1"/>
  <c r="D96" i="33"/>
  <c r="E96" i="33" s="1"/>
  <c r="D95" i="33"/>
  <c r="E95" i="33" s="1"/>
  <c r="D94" i="33"/>
  <c r="E94" i="33" s="1"/>
  <c r="D93" i="33"/>
  <c r="E93" i="33" s="1"/>
  <c r="D92" i="33"/>
  <c r="E92" i="33" s="1"/>
  <c r="D91" i="33"/>
  <c r="E91" i="33" s="1"/>
  <c r="D90" i="33"/>
  <c r="E90" i="33" s="1"/>
  <c r="D89" i="33"/>
  <c r="E89" i="33" s="1"/>
  <c r="D88" i="33"/>
  <c r="E88" i="33" s="1"/>
  <c r="D87" i="33"/>
  <c r="E87" i="33" s="1"/>
  <c r="D86" i="33"/>
  <c r="E86" i="33" s="1"/>
  <c r="D85" i="33"/>
  <c r="E85" i="33" s="1"/>
  <c r="D84" i="33"/>
  <c r="E84" i="33" s="1"/>
  <c r="D83" i="33"/>
  <c r="E83" i="33" s="1"/>
  <c r="D82" i="33"/>
  <c r="E82" i="33" s="1"/>
  <c r="D81" i="33"/>
  <c r="E81" i="33" s="1"/>
  <c r="D80" i="33"/>
  <c r="E80" i="33" s="1"/>
  <c r="D79" i="33"/>
  <c r="E79" i="33" s="1"/>
  <c r="D78" i="33"/>
  <c r="E78" i="33" s="1"/>
  <c r="D77" i="33"/>
  <c r="E77" i="33" s="1"/>
  <c r="D76" i="33"/>
  <c r="E76" i="33" s="1"/>
  <c r="D75" i="33"/>
  <c r="E75" i="33" s="1"/>
  <c r="D74" i="33"/>
  <c r="E74" i="33" s="1"/>
  <c r="D73" i="33"/>
  <c r="E73" i="33" s="1"/>
  <c r="D72" i="33"/>
  <c r="E72" i="33" s="1"/>
  <c r="D71" i="33"/>
  <c r="E71" i="33" s="1"/>
  <c r="D70" i="33"/>
  <c r="E70" i="33" s="1"/>
  <c r="D69" i="33"/>
  <c r="E69" i="33" s="1"/>
  <c r="D68" i="33"/>
  <c r="E68" i="33" s="1"/>
  <c r="D67" i="33"/>
  <c r="E67" i="33" s="1"/>
  <c r="D66" i="33"/>
  <c r="E66" i="33" s="1"/>
  <c r="D65" i="33"/>
  <c r="E65" i="33" s="1"/>
  <c r="D64" i="33"/>
  <c r="E64" i="33" s="1"/>
  <c r="D63" i="33"/>
  <c r="E63" i="33" s="1"/>
  <c r="D62" i="33"/>
  <c r="E62" i="33" s="1"/>
  <c r="D61" i="33"/>
  <c r="E61" i="33" s="1"/>
  <c r="D60" i="33"/>
  <c r="E60" i="33" s="1"/>
  <c r="D59" i="33"/>
  <c r="E59" i="33" s="1"/>
  <c r="D58" i="33"/>
  <c r="E58" i="33" s="1"/>
  <c r="D57" i="33"/>
  <c r="E57" i="33" s="1"/>
  <c r="D56" i="33"/>
  <c r="E56" i="33" s="1"/>
  <c r="D55" i="33"/>
  <c r="E55" i="33" s="1"/>
  <c r="D54" i="33"/>
  <c r="E54" i="33" s="1"/>
  <c r="D53" i="33"/>
  <c r="E53" i="33" s="1"/>
  <c r="D52" i="33"/>
  <c r="E52" i="33" s="1"/>
  <c r="D51" i="33"/>
  <c r="E51" i="33" s="1"/>
  <c r="D50" i="33"/>
  <c r="E50" i="33" s="1"/>
  <c r="D49" i="33"/>
  <c r="E49" i="33" s="1"/>
  <c r="D48" i="33"/>
  <c r="E48" i="33" s="1"/>
  <c r="D47" i="33"/>
  <c r="E47" i="33" s="1"/>
  <c r="D46" i="33"/>
  <c r="E46" i="33" s="1"/>
  <c r="D45" i="33"/>
  <c r="E45" i="33" s="1"/>
  <c r="D44" i="33"/>
  <c r="E44" i="33" s="1"/>
  <c r="D43" i="33"/>
  <c r="E43" i="33" s="1"/>
  <c r="D42" i="33"/>
  <c r="E42" i="33" s="1"/>
  <c r="D41" i="33"/>
  <c r="E41" i="33" s="1"/>
  <c r="D40" i="33"/>
  <c r="E40" i="33" s="1"/>
  <c r="D39" i="33"/>
  <c r="E39" i="33" s="1"/>
  <c r="D38" i="33"/>
  <c r="E38" i="33" s="1"/>
  <c r="D37" i="33"/>
  <c r="E37" i="33" s="1"/>
  <c r="D36" i="33"/>
  <c r="E36" i="33" s="1"/>
  <c r="D35" i="33"/>
  <c r="E35" i="33" s="1"/>
  <c r="D34" i="33"/>
  <c r="E34" i="33" s="1"/>
  <c r="D33" i="33"/>
  <c r="E33" i="33" s="1"/>
  <c r="D32" i="33"/>
  <c r="E32" i="33" s="1"/>
  <c r="D31" i="33"/>
  <c r="E31" i="33" s="1"/>
  <c r="D30" i="33"/>
  <c r="E30" i="33" s="1"/>
  <c r="D29" i="33"/>
  <c r="E29" i="33" s="1"/>
  <c r="D28" i="33"/>
  <c r="E28" i="33" s="1"/>
  <c r="D27" i="33"/>
  <c r="E27" i="33" s="1"/>
  <c r="D26" i="33"/>
  <c r="E26" i="33" s="1"/>
  <c r="D25" i="33"/>
  <c r="E25" i="33" s="1"/>
  <c r="D24" i="33"/>
  <c r="E24" i="33" s="1"/>
  <c r="D23" i="33"/>
  <c r="E23" i="33" s="1"/>
  <c r="D22" i="33"/>
  <c r="E22" i="33" s="1"/>
  <c r="D21" i="33"/>
  <c r="E21" i="33" s="1"/>
  <c r="D20" i="33"/>
  <c r="E20" i="33" s="1"/>
  <c r="D19" i="33"/>
  <c r="E19" i="33" s="1"/>
  <c r="D18" i="33"/>
  <c r="E18" i="33" s="1"/>
  <c r="D17" i="33"/>
  <c r="E17" i="33" s="1"/>
  <c r="D16" i="33"/>
  <c r="E16" i="33" s="1"/>
  <c r="D15" i="33"/>
  <c r="E15" i="33" s="1"/>
  <c r="D14" i="33"/>
  <c r="E14" i="33" s="1"/>
  <c r="D13" i="33"/>
  <c r="E13" i="33" s="1"/>
  <c r="D12" i="33"/>
  <c r="E12" i="33" s="1"/>
  <c r="D11" i="33"/>
  <c r="E11" i="33" s="1"/>
  <c r="D10" i="33"/>
  <c r="E10" i="33" s="1"/>
  <c r="D9" i="33"/>
  <c r="E9" i="33" s="1"/>
  <c r="D8" i="33"/>
  <c r="E8" i="33" s="1"/>
  <c r="D7" i="33"/>
  <c r="E7" i="33" s="1"/>
  <c r="D6" i="33"/>
  <c r="E6" i="33" s="1"/>
  <c r="D5" i="33"/>
  <c r="E5" i="33" s="1"/>
  <c r="E35" i="13"/>
  <c r="F14" i="13"/>
  <c r="F15" i="13"/>
  <c r="F16" i="13"/>
  <c r="F12" i="13"/>
  <c r="F11" i="13"/>
  <c r="K14" i="35" l="1"/>
  <c r="L14" i="35" s="1"/>
  <c r="K17" i="35"/>
  <c r="L17" i="35" s="1"/>
  <c r="K67" i="35"/>
  <c r="L67" i="35" s="1"/>
  <c r="K16" i="35"/>
  <c r="L16" i="35" s="1"/>
  <c r="R111" i="32"/>
  <c r="R133" i="32"/>
  <c r="R119" i="32"/>
  <c r="R118" i="32"/>
  <c r="R140" i="32"/>
  <c r="R139" i="32"/>
  <c r="R116" i="32"/>
  <c r="R115" i="32"/>
  <c r="R132" i="32"/>
  <c r="R120" i="32"/>
  <c r="R117" i="32"/>
  <c r="R138" i="32"/>
  <c r="R109" i="32"/>
  <c r="R137" i="32"/>
  <c r="R114" i="32"/>
  <c r="R136" i="32"/>
  <c r="R113" i="32"/>
  <c r="R135" i="32"/>
  <c r="R112" i="32"/>
  <c r="R134" i="32"/>
  <c r="R110" i="32"/>
  <c r="R108" i="32"/>
  <c r="P112" i="32"/>
  <c r="P120" i="32"/>
  <c r="P139" i="32"/>
  <c r="P113" i="32"/>
  <c r="P132" i="32"/>
  <c r="P140" i="32"/>
  <c r="P133" i="32"/>
  <c r="P117" i="32"/>
  <c r="P114" i="32"/>
  <c r="P115" i="32"/>
  <c r="P134" i="32"/>
  <c r="P108" i="32"/>
  <c r="P116" i="32"/>
  <c r="P136" i="32"/>
  <c r="P135" i="32"/>
  <c r="P109" i="32"/>
  <c r="P111" i="32"/>
  <c r="P118" i="32"/>
  <c r="P119" i="32"/>
  <c r="P110" i="32"/>
  <c r="P137" i="32"/>
  <c r="P138" i="32"/>
  <c r="Q110" i="32"/>
  <c r="Q118" i="32"/>
  <c r="Q137" i="32"/>
  <c r="Q111" i="32"/>
  <c r="Q119" i="32"/>
  <c r="Q138" i="32"/>
  <c r="Q108" i="32"/>
  <c r="Q120" i="32"/>
  <c r="Q109" i="32"/>
  <c r="Q132" i="32"/>
  <c r="Q136" i="32"/>
  <c r="Q112" i="32"/>
  <c r="Q133" i="32"/>
  <c r="Q113" i="32"/>
  <c r="Q134" i="32"/>
  <c r="Q114" i="32"/>
  <c r="Q135" i="32"/>
  <c r="Q115" i="32"/>
  <c r="Q117" i="32"/>
  <c r="Q116" i="32"/>
  <c r="Q139" i="32"/>
  <c r="Q140" i="32"/>
  <c r="K15" i="35"/>
  <c r="L15" i="35" s="1"/>
  <c r="K18" i="35"/>
  <c r="L18" i="35" s="1"/>
  <c r="K19" i="35"/>
  <c r="L19" i="35" s="1"/>
  <c r="K21" i="35"/>
  <c r="L21" i="35" s="1"/>
  <c r="K22" i="35"/>
  <c r="L22" i="35" s="1"/>
  <c r="K24" i="35"/>
  <c r="L24" i="35" s="1"/>
  <c r="K26" i="35"/>
  <c r="L26" i="35" s="1"/>
  <c r="K27" i="35"/>
  <c r="L27" i="35" s="1"/>
  <c r="K29" i="35"/>
  <c r="L29" i="35" s="1"/>
  <c r="K30" i="35"/>
  <c r="L30" i="35" s="1"/>
  <c r="K32" i="35"/>
  <c r="L32" i="35" s="1"/>
  <c r="K33" i="35"/>
  <c r="L33" i="35" s="1"/>
  <c r="K34" i="35"/>
  <c r="L34" i="35" s="1"/>
  <c r="K35" i="35"/>
  <c r="L35" i="35" s="1"/>
  <c r="K37" i="35"/>
  <c r="L37" i="35" s="1"/>
  <c r="K38" i="35"/>
  <c r="L38" i="35" s="1"/>
  <c r="K40" i="35"/>
  <c r="L40" i="35" s="1"/>
  <c r="K41" i="35"/>
  <c r="L41" i="35" s="1"/>
  <c r="K43" i="35"/>
  <c r="L43" i="35" s="1"/>
  <c r="K44" i="35"/>
  <c r="L44" i="35" s="1"/>
  <c r="K46" i="35"/>
  <c r="L46" i="35" s="1"/>
  <c r="K47" i="35"/>
  <c r="L47" i="35" s="1"/>
  <c r="K49" i="35"/>
  <c r="L49" i="35" s="1"/>
  <c r="K50" i="35"/>
  <c r="L50" i="35" s="1"/>
  <c r="K52" i="35"/>
  <c r="L52" i="35" s="1"/>
  <c r="K53" i="35"/>
  <c r="L53" i="35" s="1"/>
  <c r="K55" i="35"/>
  <c r="L55" i="35" s="1"/>
  <c r="K56" i="35"/>
  <c r="L56" i="35" s="1"/>
  <c r="K58" i="35"/>
  <c r="L58" i="35" s="1"/>
  <c r="K59" i="35"/>
  <c r="L59" i="35" s="1"/>
  <c r="K61" i="35"/>
  <c r="L61" i="35" s="1"/>
  <c r="K62" i="35"/>
  <c r="L62" i="35" s="1"/>
  <c r="K64" i="35"/>
  <c r="L64" i="35" s="1"/>
  <c r="K65" i="35"/>
  <c r="L65" i="35" s="1"/>
  <c r="K68" i="35"/>
  <c r="L68" i="35" s="1"/>
  <c r="K23" i="35"/>
  <c r="L23" i="35" s="1"/>
  <c r="K66" i="35"/>
  <c r="L66" i="35" s="1"/>
  <c r="K69" i="35"/>
  <c r="L69" i="35" s="1"/>
  <c r="K25" i="35"/>
  <c r="L25" i="35" s="1"/>
  <c r="K28" i="35"/>
  <c r="L28" i="35" s="1"/>
  <c r="K31" i="35"/>
  <c r="L31" i="35" s="1"/>
  <c r="K36" i="35"/>
  <c r="L36" i="35" s="1"/>
  <c r="K39" i="35"/>
  <c r="L39" i="35" s="1"/>
  <c r="K42" i="35"/>
  <c r="L42" i="35" s="1"/>
  <c r="K45" i="35"/>
  <c r="L45" i="35" s="1"/>
  <c r="K48" i="35"/>
  <c r="L48" i="35" s="1"/>
  <c r="K51" i="35"/>
  <c r="L51" i="35" s="1"/>
  <c r="K54" i="35"/>
  <c r="L54" i="35" s="1"/>
  <c r="K57" i="35"/>
  <c r="L57" i="35" s="1"/>
  <c r="K60" i="35"/>
  <c r="L60" i="35" s="1"/>
  <c r="K63" i="35"/>
  <c r="L63" i="35" s="1"/>
  <c r="K20" i="35"/>
  <c r="L20" i="35" s="1"/>
  <c r="O112" i="26" l="1"/>
  <c r="O136" i="26"/>
  <c r="O113" i="26"/>
  <c r="O137" i="26"/>
  <c r="O106" i="26"/>
  <c r="O114" i="26"/>
  <c r="O130" i="26"/>
  <c r="O138" i="26"/>
  <c r="O107" i="26"/>
  <c r="O115" i="26"/>
  <c r="O131" i="26"/>
  <c r="O108" i="26"/>
  <c r="O116" i="26"/>
  <c r="O132" i="26"/>
  <c r="O109" i="26"/>
  <c r="O117" i="26"/>
  <c r="O133" i="26"/>
  <c r="O110" i="26"/>
  <c r="O118" i="26"/>
  <c r="O134" i="26"/>
  <c r="O111" i="26"/>
  <c r="O135" i="26"/>
  <c r="Q110" i="26"/>
  <c r="Q118" i="26"/>
  <c r="Q134" i="26"/>
  <c r="Q111" i="26"/>
  <c r="Q135" i="26"/>
  <c r="Q112" i="26"/>
  <c r="Q136" i="26"/>
  <c r="Q113" i="26"/>
  <c r="Q137" i="26"/>
  <c r="Q106" i="26"/>
  <c r="Q114" i="26"/>
  <c r="Q130" i="26"/>
  <c r="Q138" i="26"/>
  <c r="Q107" i="26"/>
  <c r="Q115" i="26"/>
  <c r="Q131" i="26"/>
  <c r="Q108" i="26"/>
  <c r="Q116" i="26"/>
  <c r="Q132" i="26"/>
  <c r="Q109" i="26"/>
  <c r="Q117" i="26"/>
  <c r="Q133" i="26"/>
  <c r="R112" i="26"/>
  <c r="R136" i="26"/>
  <c r="R113" i="26"/>
  <c r="R137" i="26"/>
  <c r="R106" i="26"/>
  <c r="R114" i="26"/>
  <c r="R130" i="26"/>
  <c r="R138" i="26"/>
  <c r="R107" i="26"/>
  <c r="R115" i="26"/>
  <c r="R131" i="26"/>
  <c r="R108" i="26"/>
  <c r="R116" i="26"/>
  <c r="R132" i="26"/>
  <c r="R109" i="26"/>
  <c r="R117" i="26"/>
  <c r="R133" i="26"/>
  <c r="R110" i="26"/>
  <c r="R118" i="26"/>
  <c r="R134" i="26"/>
  <c r="R111" i="26"/>
  <c r="R135" i="26"/>
  <c r="P116" i="26"/>
  <c r="P114" i="26"/>
  <c r="P117" i="26"/>
  <c r="P106" i="26"/>
  <c r="P118" i="26"/>
  <c r="P130" i="26"/>
  <c r="P107" i="26"/>
  <c r="P131" i="26"/>
  <c r="P108" i="26"/>
  <c r="P132" i="26"/>
  <c r="P109" i="26"/>
  <c r="P133" i="26"/>
  <c r="P110" i="26"/>
  <c r="P134" i="26"/>
  <c r="P138" i="26"/>
  <c r="P111" i="26"/>
  <c r="P135" i="26"/>
  <c r="P112" i="26"/>
  <c r="P136" i="26"/>
  <c r="P113" i="26"/>
  <c r="P137" i="26"/>
  <c r="P115" i="26"/>
  <c r="AL20" i="32" l="1"/>
  <c r="AN20" i="32" s="1"/>
  <c r="AL19" i="32"/>
  <c r="AN19" i="32" s="1"/>
  <c r="AL18" i="32"/>
  <c r="AN18" i="32" s="1"/>
  <c r="AL17" i="32"/>
  <c r="AN17" i="32" s="1"/>
  <c r="AL16" i="32"/>
  <c r="AN16" i="32" s="1"/>
  <c r="AL15" i="32"/>
  <c r="AN15" i="32" s="1"/>
  <c r="AL14" i="32"/>
  <c r="AN14" i="32" s="1"/>
  <c r="AL13" i="32"/>
  <c r="AN13" i="32" s="1"/>
  <c r="AL12" i="32"/>
  <c r="AN12" i="32" s="1"/>
  <c r="M52" i="26"/>
  <c r="M58" i="26"/>
  <c r="AA58" i="26" s="1"/>
  <c r="AL20" i="26"/>
  <c r="AN20" i="26" s="1"/>
  <c r="AL19" i="26"/>
  <c r="AN19" i="26" s="1"/>
  <c r="AL18" i="26"/>
  <c r="AN18" i="26" s="1"/>
  <c r="AL17" i="26"/>
  <c r="AN17" i="26" s="1"/>
  <c r="AL16" i="26"/>
  <c r="AN16" i="26" s="1"/>
  <c r="AL15" i="26"/>
  <c r="AN15" i="26" s="1"/>
  <c r="AL14" i="26"/>
  <c r="AN14" i="26" s="1"/>
  <c r="AL13" i="26"/>
  <c r="AN13" i="26" s="1"/>
  <c r="AL12" i="26"/>
  <c r="AN12" i="26" s="1"/>
  <c r="AL11" i="26"/>
  <c r="AN11" i="26" s="1"/>
  <c r="C41" i="6"/>
  <c r="M66" i="26" l="1"/>
  <c r="N66" i="26" s="1"/>
  <c r="S66" i="26" s="1"/>
  <c r="M60" i="26"/>
  <c r="N60" i="26" s="1"/>
  <c r="S60" i="26" s="1"/>
  <c r="M73" i="26"/>
  <c r="N73" i="26" s="1"/>
  <c r="S73" i="26" s="1"/>
  <c r="M74" i="26"/>
  <c r="N74" i="26" s="1"/>
  <c r="S74" i="26" s="1"/>
  <c r="M76" i="26"/>
  <c r="N76" i="26" s="1"/>
  <c r="S76" i="26" s="1"/>
  <c r="M98" i="26"/>
  <c r="N98" i="26" s="1"/>
  <c r="S98" i="26" s="1"/>
  <c r="M100" i="26"/>
  <c r="N100" i="26" s="1"/>
  <c r="S100" i="26" s="1"/>
  <c r="M57" i="26"/>
  <c r="N57" i="26" s="1"/>
  <c r="S57" i="26" s="1"/>
  <c r="M18" i="32"/>
  <c r="M16" i="32"/>
  <c r="M65" i="26"/>
  <c r="N65" i="26" s="1"/>
  <c r="S65" i="26" s="1"/>
  <c r="M25" i="32"/>
  <c r="M90" i="32"/>
  <c r="M26" i="32"/>
  <c r="M91" i="32"/>
  <c r="M32" i="32"/>
  <c r="M33" i="32"/>
  <c r="M23" i="32"/>
  <c r="M92" i="32"/>
  <c r="M24" i="32"/>
  <c r="M93" i="32"/>
  <c r="M27" i="32"/>
  <c r="M94" i="32"/>
  <c r="M29" i="32"/>
  <c r="M30" i="32"/>
  <c r="M31" i="32"/>
  <c r="M30" i="26"/>
  <c r="N30" i="26" s="1"/>
  <c r="S30" i="26" s="1"/>
  <c r="M22" i="26"/>
  <c r="N22" i="26" s="1"/>
  <c r="S22" i="26" s="1"/>
  <c r="M92" i="26"/>
  <c r="N92" i="26" s="1"/>
  <c r="S92" i="26" s="1"/>
  <c r="M28" i="26"/>
  <c r="N28" i="26" s="1"/>
  <c r="S28" i="26" s="1"/>
  <c r="M91" i="26"/>
  <c r="AA91" i="26" s="1"/>
  <c r="AF91" i="26" s="1"/>
  <c r="M27" i="26"/>
  <c r="AA27" i="26" s="1"/>
  <c r="AF27" i="26" s="1"/>
  <c r="M29" i="26"/>
  <c r="AA29" i="26" s="1"/>
  <c r="AF29" i="26" s="1"/>
  <c r="M90" i="26"/>
  <c r="N90" i="26" s="1"/>
  <c r="S90" i="26" s="1"/>
  <c r="M31" i="26"/>
  <c r="AA31" i="26" s="1"/>
  <c r="AF31" i="26" s="1"/>
  <c r="M23" i="26"/>
  <c r="AA23" i="26" s="1"/>
  <c r="AF23" i="26" s="1"/>
  <c r="M21" i="26"/>
  <c r="AA21" i="26" s="1"/>
  <c r="AF21" i="26" s="1"/>
  <c r="M89" i="26"/>
  <c r="N89" i="26" s="1"/>
  <c r="S89" i="26" s="1"/>
  <c r="M25" i="26"/>
  <c r="N25" i="26" s="1"/>
  <c r="S25" i="26" s="1"/>
  <c r="M88" i="26"/>
  <c r="N88" i="26" s="1"/>
  <c r="S88" i="26" s="1"/>
  <c r="M24" i="26"/>
  <c r="N24" i="26" s="1"/>
  <c r="S24" i="26" s="1"/>
  <c r="M18" i="26"/>
  <c r="N18" i="26" s="1"/>
  <c r="S18" i="26" s="1"/>
  <c r="M33" i="26"/>
  <c r="AA33" i="26" s="1"/>
  <c r="AF33" i="26" s="1"/>
  <c r="M125" i="26"/>
  <c r="N125" i="26" s="1"/>
  <c r="S125" i="26" s="1"/>
  <c r="M70" i="32"/>
  <c r="M81" i="32"/>
  <c r="M102" i="32"/>
  <c r="M34" i="32"/>
  <c r="M71" i="32"/>
  <c r="M82" i="32"/>
  <c r="M104" i="32"/>
  <c r="M66" i="32"/>
  <c r="M78" i="32"/>
  <c r="M105" i="32"/>
  <c r="M67" i="32"/>
  <c r="M79" i="32"/>
  <c r="M107" i="32"/>
  <c r="M68" i="32"/>
  <c r="M95" i="32"/>
  <c r="M141" i="32"/>
  <c r="M69" i="32"/>
  <c r="M96" i="32"/>
  <c r="M142" i="32"/>
  <c r="M72" i="32"/>
  <c r="M98" i="32"/>
  <c r="M97" i="32"/>
  <c r="M74" i="32"/>
  <c r="M76" i="32"/>
  <c r="M99" i="32"/>
  <c r="M100" i="32"/>
  <c r="M40" i="32"/>
  <c r="M75" i="32"/>
  <c r="M36" i="32"/>
  <c r="M34" i="26"/>
  <c r="M68" i="26"/>
  <c r="N68" i="26" s="1"/>
  <c r="S68" i="26" s="1"/>
  <c r="M127" i="26"/>
  <c r="N127" i="26" s="1"/>
  <c r="S127" i="26" s="1"/>
  <c r="M46" i="32"/>
  <c r="M54" i="32"/>
  <c r="M47" i="32"/>
  <c r="M55" i="32"/>
  <c r="M50" i="32"/>
  <c r="M51" i="32"/>
  <c r="M41" i="32"/>
  <c r="M52" i="32"/>
  <c r="M57" i="32"/>
  <c r="M53" i="32"/>
  <c r="M37" i="32"/>
  <c r="M56" i="32"/>
  <c r="M48" i="32"/>
  <c r="M58" i="32"/>
  <c r="M49" i="32"/>
  <c r="M15" i="26"/>
  <c r="M22" i="32"/>
  <c r="M65" i="32"/>
  <c r="M126" i="32"/>
  <c r="M35" i="32"/>
  <c r="M77" i="32"/>
  <c r="M127" i="32"/>
  <c r="M20" i="32"/>
  <c r="M80" i="32"/>
  <c r="M130" i="32"/>
  <c r="M21" i="32"/>
  <c r="M121" i="32"/>
  <c r="M131" i="32"/>
  <c r="M62" i="32"/>
  <c r="M59" i="32"/>
  <c r="M122" i="32"/>
  <c r="M60" i="32"/>
  <c r="M123" i="32"/>
  <c r="M61" i="32"/>
  <c r="M125" i="32"/>
  <c r="M124" i="32"/>
  <c r="M64" i="32"/>
  <c r="M128" i="32"/>
  <c r="M63" i="32"/>
  <c r="M129" i="32"/>
  <c r="M19" i="32"/>
  <c r="M17" i="32"/>
  <c r="M15" i="32"/>
  <c r="M13" i="26"/>
  <c r="AA13" i="26" s="1"/>
  <c r="AF13" i="26" s="1"/>
  <c r="M17" i="26"/>
  <c r="N17" i="26" s="1"/>
  <c r="S17" i="26" s="1"/>
  <c r="M41" i="26"/>
  <c r="N41" i="26" s="1"/>
  <c r="S41" i="26" s="1"/>
  <c r="N58" i="26"/>
  <c r="S58" i="26" s="1"/>
  <c r="B41" i="6"/>
  <c r="M53" i="26"/>
  <c r="M45" i="26"/>
  <c r="M54" i="26"/>
  <c r="M46" i="26"/>
  <c r="M55" i="26"/>
  <c r="M47" i="26"/>
  <c r="M39" i="26"/>
  <c r="M56" i="26"/>
  <c r="M48" i="26"/>
  <c r="M51" i="26"/>
  <c r="M35" i="26"/>
  <c r="M44" i="26"/>
  <c r="M50" i="26"/>
  <c r="M49" i="26"/>
  <c r="N52" i="26"/>
  <c r="S52" i="26" s="1"/>
  <c r="AA52" i="26"/>
  <c r="AF52" i="26" s="1"/>
  <c r="AF58" i="26"/>
  <c r="M140" i="26"/>
  <c r="M93" i="26"/>
  <c r="M77" i="26"/>
  <c r="M69" i="26"/>
  <c r="M139" i="26"/>
  <c r="M102" i="26"/>
  <c r="M94" i="26"/>
  <c r="M70" i="26"/>
  <c r="M38" i="26"/>
  <c r="M103" i="26"/>
  <c r="M95" i="26"/>
  <c r="M79" i="26"/>
  <c r="M96" i="26"/>
  <c r="M80" i="26"/>
  <c r="M72" i="26"/>
  <c r="M64" i="26"/>
  <c r="M32" i="26"/>
  <c r="M105" i="26"/>
  <c r="M97" i="26"/>
  <c r="M67" i="26"/>
  <c r="AA60" i="26"/>
  <c r="AF60" i="26" s="1"/>
  <c r="M122" i="26"/>
  <c r="M61" i="26"/>
  <c r="M128" i="26"/>
  <c r="M78" i="26"/>
  <c r="M62" i="26"/>
  <c r="M20" i="26"/>
  <c r="M123" i="26"/>
  <c r="M119" i="26"/>
  <c r="M63" i="26"/>
  <c r="M19" i="26"/>
  <c r="M120" i="26"/>
  <c r="M129" i="26"/>
  <c r="M124" i="26"/>
  <c r="M126" i="26"/>
  <c r="M75" i="26"/>
  <c r="M59" i="26"/>
  <c r="AA15" i="26" l="1"/>
  <c r="AF15" i="26" s="1"/>
  <c r="AG52" i="26"/>
  <c r="AG58" i="26"/>
  <c r="AG60" i="26"/>
  <c r="N21" i="26"/>
  <c r="S21" i="26" s="1"/>
  <c r="AG21" i="26" s="1"/>
  <c r="AA66" i="26"/>
  <c r="AF66" i="26" s="1"/>
  <c r="AG66" i="26" s="1"/>
  <c r="M121" i="26"/>
  <c r="M16" i="26"/>
  <c r="N16" i="26" s="1"/>
  <c r="S16" i="26" s="1"/>
  <c r="M12" i="26"/>
  <c r="N12" i="26" s="1"/>
  <c r="S12" i="26" s="1"/>
  <c r="M104" i="26"/>
  <c r="N104" i="26" s="1"/>
  <c r="S104" i="26" s="1"/>
  <c r="M101" i="26"/>
  <c r="AA101" i="26" s="1"/>
  <c r="AF101" i="26" s="1"/>
  <c r="M28" i="32"/>
  <c r="N28" i="32" s="1"/>
  <c r="S28" i="32" s="1"/>
  <c r="M85" i="26"/>
  <c r="AA85" i="26" s="1"/>
  <c r="AF85" i="26" s="1"/>
  <c r="M36" i="26"/>
  <c r="N36" i="26" s="1"/>
  <c r="S36" i="26" s="1"/>
  <c r="M13" i="32"/>
  <c r="N13" i="32" s="1"/>
  <c r="S13" i="32" s="1"/>
  <c r="M40" i="26"/>
  <c r="N40" i="26" s="1"/>
  <c r="S40" i="26" s="1"/>
  <c r="M89" i="32"/>
  <c r="AA89" i="32" s="1"/>
  <c r="AF89" i="32" s="1"/>
  <c r="M42" i="32"/>
  <c r="AA42" i="32" s="1"/>
  <c r="AF42" i="32" s="1"/>
  <c r="M86" i="32"/>
  <c r="AA86" i="32" s="1"/>
  <c r="AF86" i="32" s="1"/>
  <c r="M106" i="32"/>
  <c r="N106" i="32" s="1"/>
  <c r="S106" i="32" s="1"/>
  <c r="M87" i="32"/>
  <c r="M73" i="32"/>
  <c r="M134" i="26"/>
  <c r="N134" i="26" s="1"/>
  <c r="S134" i="26" s="1"/>
  <c r="M44" i="32"/>
  <c r="N44" i="32" s="1"/>
  <c r="S44" i="32" s="1"/>
  <c r="AG44" i="32" s="1" a="1"/>
  <c r="AG44" i="32" s="1"/>
  <c r="M39" i="32"/>
  <c r="AA39" i="32" s="1"/>
  <c r="AF39" i="32" s="1"/>
  <c r="M14" i="32"/>
  <c r="N14" i="32" s="1"/>
  <c r="S14" i="32" s="1"/>
  <c r="AG14" i="32" s="1" a="1"/>
  <c r="AG14" i="32" s="1"/>
  <c r="M84" i="26"/>
  <c r="N84" i="26" s="1"/>
  <c r="S84" i="26" s="1"/>
  <c r="M83" i="26"/>
  <c r="AA83" i="26" s="1"/>
  <c r="AF83" i="26" s="1"/>
  <c r="M43" i="32"/>
  <c r="AA43" i="32" s="1"/>
  <c r="AF43" i="32" s="1"/>
  <c r="M38" i="32"/>
  <c r="N38" i="32" s="1"/>
  <c r="S38" i="32" s="1"/>
  <c r="M14" i="26"/>
  <c r="AA14" i="26" s="1"/>
  <c r="AF14" i="26" s="1"/>
  <c r="M86" i="26"/>
  <c r="N86" i="26" s="1"/>
  <c r="S86" i="26" s="1"/>
  <c r="M71" i="26"/>
  <c r="AA71" i="26" s="1"/>
  <c r="AF71" i="26" s="1"/>
  <c r="M84" i="32"/>
  <c r="AA84" i="32" s="1"/>
  <c r="AF84" i="32" s="1"/>
  <c r="M45" i="32"/>
  <c r="AA45" i="32" s="1"/>
  <c r="AF45" i="32" s="1"/>
  <c r="M103" i="32"/>
  <c r="N103" i="32" s="1"/>
  <c r="S103" i="32" s="1"/>
  <c r="M87" i="26"/>
  <c r="M37" i="26"/>
  <c r="AA37" i="26" s="1"/>
  <c r="AF37" i="26" s="1"/>
  <c r="M26" i="26"/>
  <c r="N26" i="26" s="1"/>
  <c r="S26" i="26" s="1"/>
  <c r="M43" i="26"/>
  <c r="AA43" i="26" s="1"/>
  <c r="AF43" i="26" s="1"/>
  <c r="M12" i="32"/>
  <c r="N12" i="32" s="1"/>
  <c r="S12" i="32" s="1"/>
  <c r="M88" i="32"/>
  <c r="N88" i="32" s="1"/>
  <c r="S88" i="32" s="1"/>
  <c r="M83" i="32"/>
  <c r="N83" i="32" s="1"/>
  <c r="S83" i="32" s="1"/>
  <c r="M81" i="26"/>
  <c r="N81" i="26" s="1"/>
  <c r="S81" i="26" s="1"/>
  <c r="M11" i="26"/>
  <c r="N11" i="26" s="1"/>
  <c r="S11" i="26" s="1"/>
  <c r="M85" i="32"/>
  <c r="AA85" i="32" s="1"/>
  <c r="AF85" i="32" s="1"/>
  <c r="M11" i="32"/>
  <c r="N11" i="32" s="1"/>
  <c r="S11" i="32" s="1"/>
  <c r="AG11" i="32" s="1" a="1"/>
  <c r="AG11" i="32" s="1"/>
  <c r="M101" i="32"/>
  <c r="AA101" i="32" s="1"/>
  <c r="AF101" i="32" s="1"/>
  <c r="M99" i="26"/>
  <c r="AA99" i="26" s="1"/>
  <c r="AF99" i="26" s="1"/>
  <c r="M42" i="26"/>
  <c r="N42" i="26" s="1"/>
  <c r="S42" i="26" s="1"/>
  <c r="M82" i="26"/>
  <c r="AA25" i="26"/>
  <c r="AF25" i="26" s="1"/>
  <c r="AG25" i="26" s="1"/>
  <c r="AA73" i="26"/>
  <c r="AF73" i="26" s="1"/>
  <c r="AG73" i="26" s="1"/>
  <c r="AA28" i="26"/>
  <c r="AF28" i="26" s="1"/>
  <c r="AG28" i="26" s="1"/>
  <c r="AA74" i="26"/>
  <c r="AF74" i="26" s="1"/>
  <c r="AG74" i="26" s="1"/>
  <c r="AA92" i="26"/>
  <c r="AF92" i="26" s="1"/>
  <c r="AG92" i="26" s="1"/>
  <c r="AA18" i="26"/>
  <c r="AF18" i="26" s="1"/>
  <c r="AG18" i="26" s="1"/>
  <c r="AA76" i="26"/>
  <c r="AF76" i="26" s="1"/>
  <c r="AG76" i="26" s="1"/>
  <c r="AA98" i="26"/>
  <c r="AF98" i="26" s="1"/>
  <c r="AG98" i="26" s="1"/>
  <c r="M118" i="26"/>
  <c r="N118" i="26" s="1"/>
  <c r="S118" i="26" s="1"/>
  <c r="M111" i="26"/>
  <c r="N111" i="26" s="1"/>
  <c r="S111" i="26" s="1"/>
  <c r="M110" i="26"/>
  <c r="N110" i="26" s="1"/>
  <c r="S110" i="26" s="1"/>
  <c r="N33" i="26"/>
  <c r="S33" i="26" s="1"/>
  <c r="AG33" i="26" s="1"/>
  <c r="AA89" i="26"/>
  <c r="AF89" i="26" s="1"/>
  <c r="AG89" i="26" s="1"/>
  <c r="AA125" i="26"/>
  <c r="AF125" i="26" s="1"/>
  <c r="AG125" i="26" s="1"/>
  <c r="AA57" i="26"/>
  <c r="AF57" i="26" s="1"/>
  <c r="AG57" i="26" s="1"/>
  <c r="N27" i="26"/>
  <c r="S27" i="26" s="1"/>
  <c r="AG27" i="26" s="1"/>
  <c r="M133" i="26"/>
  <c r="AA133" i="26" s="1"/>
  <c r="AF133" i="26" s="1"/>
  <c r="M107" i="26"/>
  <c r="AA107" i="26" s="1"/>
  <c r="AF107" i="26" s="1"/>
  <c r="N16" i="32"/>
  <c r="S16" i="32" s="1"/>
  <c r="AA16" i="32"/>
  <c r="AF16" i="32" s="1"/>
  <c r="M137" i="26"/>
  <c r="AA137" i="26" s="1"/>
  <c r="AF137" i="26" s="1"/>
  <c r="M115" i="26"/>
  <c r="AA115" i="26" s="1"/>
  <c r="AF115" i="26" s="1"/>
  <c r="M109" i="26"/>
  <c r="AA109" i="26" s="1"/>
  <c r="AF109" i="26" s="1"/>
  <c r="AA18" i="32"/>
  <c r="AF18" i="32" s="1"/>
  <c r="N18" i="32"/>
  <c r="S18" i="32" s="1"/>
  <c r="AA127" i="26"/>
  <c r="AF127" i="26" s="1"/>
  <c r="AG127" i="26" s="1"/>
  <c r="M136" i="26"/>
  <c r="AA136" i="26" s="1"/>
  <c r="AF136" i="26" s="1"/>
  <c r="M117" i="26"/>
  <c r="AA117" i="26" s="1"/>
  <c r="AF117" i="26" s="1"/>
  <c r="AA65" i="26"/>
  <c r="AF65" i="26" s="1"/>
  <c r="AG65" i="26" s="1"/>
  <c r="AA100" i="26"/>
  <c r="AF100" i="26" s="1"/>
  <c r="AG100" i="26" s="1"/>
  <c r="M113" i="26"/>
  <c r="N113" i="26" s="1"/>
  <c r="S113" i="26" s="1"/>
  <c r="M132" i="26"/>
  <c r="AA132" i="26" s="1"/>
  <c r="AF132" i="26" s="1"/>
  <c r="M135" i="26"/>
  <c r="AA135" i="26" s="1"/>
  <c r="AF135" i="26" s="1"/>
  <c r="M130" i="26"/>
  <c r="AA130" i="26" s="1"/>
  <c r="AF130" i="26" s="1"/>
  <c r="AA22" i="26"/>
  <c r="AF22" i="26" s="1"/>
  <c r="AG22" i="26" s="1"/>
  <c r="AA88" i="26"/>
  <c r="AF88" i="26" s="1"/>
  <c r="AG88" i="26" s="1"/>
  <c r="M112" i="26"/>
  <c r="N112" i="26" s="1"/>
  <c r="S112" i="26" s="1"/>
  <c r="M138" i="26"/>
  <c r="AA138" i="26" s="1"/>
  <c r="AF138" i="26" s="1"/>
  <c r="AA90" i="26"/>
  <c r="AF90" i="26" s="1"/>
  <c r="AG90" i="26" s="1"/>
  <c r="M131" i="26"/>
  <c r="N131" i="26" s="1"/>
  <c r="S131" i="26" s="1"/>
  <c r="AA24" i="26"/>
  <c r="AF24" i="26" s="1"/>
  <c r="AG24" i="26" s="1"/>
  <c r="N23" i="26"/>
  <c r="S23" i="26" s="1"/>
  <c r="AG23" i="26" s="1"/>
  <c r="AA41" i="26"/>
  <c r="AF41" i="26" s="1"/>
  <c r="AG41" i="26" s="1"/>
  <c r="N15" i="26"/>
  <c r="S15" i="26" s="1"/>
  <c r="N31" i="26"/>
  <c r="S31" i="26" s="1"/>
  <c r="AG31" i="26" s="1"/>
  <c r="N29" i="26"/>
  <c r="S29" i="26" s="1"/>
  <c r="AG29" i="26" s="1"/>
  <c r="T92" i="26"/>
  <c r="T98" i="26"/>
  <c r="T24" i="26"/>
  <c r="T76" i="26"/>
  <c r="T127" i="26"/>
  <c r="T88" i="26"/>
  <c r="T30" i="26"/>
  <c r="T89" i="26"/>
  <c r="T17" i="26"/>
  <c r="T57" i="26"/>
  <c r="T74" i="26"/>
  <c r="T58" i="26"/>
  <c r="T100" i="26"/>
  <c r="T66" i="26"/>
  <c r="T18" i="26"/>
  <c r="AA60" i="32"/>
  <c r="AF60" i="32" s="1"/>
  <c r="N60" i="32"/>
  <c r="S60" i="32" s="1"/>
  <c r="AA50" i="32"/>
  <c r="AF50" i="32" s="1"/>
  <c r="N50" i="32"/>
  <c r="S50" i="32" s="1"/>
  <c r="AG50" i="32" s="1" a="1"/>
  <c r="AG50" i="32" s="1"/>
  <c r="AA20" i="32"/>
  <c r="AF20" i="32" s="1"/>
  <c r="N20" i="32"/>
  <c r="S20" i="32" s="1"/>
  <c r="AG20" i="32" s="1" a="1"/>
  <c r="AG20" i="32" s="1"/>
  <c r="N128" i="32"/>
  <c r="S128" i="32" s="1"/>
  <c r="AA128" i="32"/>
  <c r="AF128" i="32" s="1"/>
  <c r="N59" i="32"/>
  <c r="S59" i="32" s="1"/>
  <c r="AA59" i="32"/>
  <c r="AF59" i="32" s="1"/>
  <c r="N127" i="32"/>
  <c r="S127" i="32" s="1"/>
  <c r="AA127" i="32"/>
  <c r="AF127" i="32" s="1"/>
  <c r="AA37" i="32"/>
  <c r="AF37" i="32" s="1"/>
  <c r="N37" i="32"/>
  <c r="S37" i="32" s="1"/>
  <c r="N47" i="32"/>
  <c r="S47" i="32" s="1"/>
  <c r="AA47" i="32"/>
  <c r="AF47" i="32" s="1"/>
  <c r="N34" i="26"/>
  <c r="S34" i="26" s="1"/>
  <c r="AA34" i="26"/>
  <c r="AF34" i="26" s="1"/>
  <c r="AA12" i="32"/>
  <c r="AF12" i="32" s="1"/>
  <c r="AA88" i="32"/>
  <c r="AF88" i="32" s="1"/>
  <c r="N36" i="32"/>
  <c r="S36" i="32" s="1"/>
  <c r="AA36" i="32"/>
  <c r="AF36" i="32" s="1"/>
  <c r="AA98" i="32"/>
  <c r="AF98" i="32" s="1"/>
  <c r="N98" i="32"/>
  <c r="S98" i="32" s="1"/>
  <c r="AG98" i="32" s="1" a="1"/>
  <c r="AG98" i="32" s="1"/>
  <c r="AA107" i="32"/>
  <c r="AF107" i="32" s="1"/>
  <c r="N107" i="32"/>
  <c r="S107" i="32" s="1"/>
  <c r="N71" i="32"/>
  <c r="S71" i="32" s="1"/>
  <c r="AA71" i="32"/>
  <c r="AF71" i="32" s="1"/>
  <c r="AA30" i="32"/>
  <c r="AF30" i="32" s="1"/>
  <c r="N30" i="32"/>
  <c r="S30" i="32" s="1"/>
  <c r="AA33" i="32"/>
  <c r="AF33" i="32" s="1"/>
  <c r="N33" i="32"/>
  <c r="S33" i="32" s="1"/>
  <c r="AA104" i="32"/>
  <c r="AF104" i="32" s="1"/>
  <c r="N104" i="32"/>
  <c r="S104" i="32" s="1"/>
  <c r="AA23" i="32"/>
  <c r="AF23" i="32" s="1"/>
  <c r="N23" i="32"/>
  <c r="S23" i="32" s="1"/>
  <c r="N13" i="26"/>
  <c r="S13" i="26" s="1"/>
  <c r="AG13" i="26" s="1"/>
  <c r="AA64" i="32"/>
  <c r="AF64" i="32" s="1"/>
  <c r="N64" i="32"/>
  <c r="S64" i="32" s="1"/>
  <c r="AA62" i="32"/>
  <c r="AF62" i="32" s="1"/>
  <c r="N62" i="32"/>
  <c r="S62" i="32" s="1"/>
  <c r="N77" i="32"/>
  <c r="S77" i="32" s="1"/>
  <c r="AA77" i="32"/>
  <c r="AF77" i="32" s="1"/>
  <c r="AA53" i="32"/>
  <c r="AF53" i="32" s="1"/>
  <c r="N53" i="32"/>
  <c r="S53" i="32" s="1"/>
  <c r="AA54" i="32"/>
  <c r="AF54" i="32" s="1"/>
  <c r="N54" i="32"/>
  <c r="S54" i="32" s="1"/>
  <c r="AA75" i="32"/>
  <c r="AF75" i="32" s="1"/>
  <c r="N75" i="32"/>
  <c r="S75" i="32" s="1"/>
  <c r="N72" i="32"/>
  <c r="S72" i="32" s="1"/>
  <c r="AA72" i="32"/>
  <c r="AF72" i="32" s="1"/>
  <c r="AA79" i="32"/>
  <c r="AF79" i="32" s="1"/>
  <c r="N79" i="32"/>
  <c r="S79" i="32" s="1"/>
  <c r="N34" i="32"/>
  <c r="S34" i="32" s="1"/>
  <c r="AA34" i="32"/>
  <c r="AF34" i="32" s="1"/>
  <c r="AA29" i="32"/>
  <c r="AF29" i="32" s="1"/>
  <c r="N29" i="32"/>
  <c r="S29" i="32" s="1"/>
  <c r="AA32" i="32"/>
  <c r="AF32" i="32" s="1"/>
  <c r="N32" i="32"/>
  <c r="S32" i="32" s="1"/>
  <c r="AA129" i="32"/>
  <c r="AF129" i="32" s="1"/>
  <c r="N129" i="32"/>
  <c r="S129" i="32" s="1"/>
  <c r="N95" i="32"/>
  <c r="S95" i="32" s="1"/>
  <c r="AA95" i="32"/>
  <c r="AF95" i="32" s="1"/>
  <c r="N56" i="32"/>
  <c r="S56" i="32" s="1"/>
  <c r="AA56" i="32"/>
  <c r="AF56" i="32" s="1"/>
  <c r="AA97" i="32"/>
  <c r="AF97" i="32" s="1"/>
  <c r="N97" i="32"/>
  <c r="S97" i="32" s="1"/>
  <c r="AA124" i="32"/>
  <c r="AF124" i="32" s="1"/>
  <c r="N124" i="32"/>
  <c r="S124" i="32" s="1"/>
  <c r="AA131" i="32"/>
  <c r="AF131" i="32" s="1"/>
  <c r="N131" i="32"/>
  <c r="S131" i="32" s="1"/>
  <c r="AG131" i="32" s="1" a="1"/>
  <c r="AG131" i="32" s="1"/>
  <c r="N35" i="32"/>
  <c r="S35" i="32" s="1"/>
  <c r="AA35" i="32"/>
  <c r="AF35" i="32" s="1"/>
  <c r="AA57" i="32"/>
  <c r="AF57" i="32" s="1"/>
  <c r="N57" i="32"/>
  <c r="S57" i="32" s="1"/>
  <c r="AA46" i="32"/>
  <c r="AF46" i="32" s="1"/>
  <c r="N46" i="32"/>
  <c r="S46" i="32" s="1"/>
  <c r="AG46" i="32" s="1" a="1"/>
  <c r="AG46" i="32" s="1"/>
  <c r="N85" i="32"/>
  <c r="S85" i="32" s="1"/>
  <c r="N101" i="32"/>
  <c r="S101" i="32" s="1"/>
  <c r="AA40" i="32"/>
  <c r="AF40" i="32" s="1"/>
  <c r="N40" i="32"/>
  <c r="S40" i="32" s="1"/>
  <c r="AG40" i="32" s="1" a="1"/>
  <c r="AG40" i="32" s="1"/>
  <c r="AA142" i="32"/>
  <c r="AF142" i="32" s="1"/>
  <c r="N142" i="32"/>
  <c r="S142" i="32" s="1"/>
  <c r="AA67" i="32"/>
  <c r="AF67" i="32" s="1"/>
  <c r="N67" i="32"/>
  <c r="S67" i="32" s="1"/>
  <c r="AA102" i="32"/>
  <c r="AF102" i="32" s="1"/>
  <c r="N102" i="32"/>
  <c r="S102" i="32" s="1"/>
  <c r="AA94" i="32"/>
  <c r="AF94" i="32" s="1"/>
  <c r="N94" i="32"/>
  <c r="S94" i="32" s="1"/>
  <c r="N91" i="32"/>
  <c r="S91" i="32" s="1"/>
  <c r="AA91" i="32"/>
  <c r="AF91" i="32" s="1"/>
  <c r="N80" i="32"/>
  <c r="S80" i="32" s="1"/>
  <c r="AA80" i="32"/>
  <c r="AF80" i="32" s="1"/>
  <c r="AA55" i="32"/>
  <c r="AF55" i="32" s="1"/>
  <c r="N55" i="32"/>
  <c r="S55" i="32" s="1"/>
  <c r="AA68" i="26"/>
  <c r="AF68" i="26" s="1"/>
  <c r="AG68" i="26" s="1"/>
  <c r="AA15" i="32"/>
  <c r="AF15" i="32" s="1"/>
  <c r="N15" i="32"/>
  <c r="S15" i="32" s="1"/>
  <c r="AA125" i="32"/>
  <c r="AF125" i="32" s="1"/>
  <c r="N125" i="32"/>
  <c r="S125" i="32" s="1"/>
  <c r="AA121" i="32"/>
  <c r="AF121" i="32" s="1"/>
  <c r="N121" i="32"/>
  <c r="S121" i="32" s="1"/>
  <c r="AA126" i="32"/>
  <c r="AF126" i="32" s="1"/>
  <c r="N126" i="32"/>
  <c r="S126" i="32" s="1"/>
  <c r="AG126" i="32" s="1" a="1"/>
  <c r="AG126" i="32" s="1"/>
  <c r="AA52" i="32"/>
  <c r="AF52" i="32" s="1"/>
  <c r="N52" i="32"/>
  <c r="S52" i="32" s="1"/>
  <c r="AA87" i="32"/>
  <c r="AF87" i="32" s="1"/>
  <c r="N87" i="32"/>
  <c r="S87" i="32" s="1"/>
  <c r="AA73" i="32"/>
  <c r="AF73" i="32" s="1"/>
  <c r="N73" i="32"/>
  <c r="S73" i="32" s="1"/>
  <c r="AA100" i="32"/>
  <c r="AF100" i="32" s="1"/>
  <c r="N100" i="32"/>
  <c r="S100" i="32" s="1"/>
  <c r="AA96" i="32"/>
  <c r="AF96" i="32" s="1"/>
  <c r="N96" i="32"/>
  <c r="S96" i="32" s="1"/>
  <c r="N105" i="32"/>
  <c r="S105" i="32" s="1"/>
  <c r="AA105" i="32"/>
  <c r="AF105" i="32" s="1"/>
  <c r="AA81" i="32"/>
  <c r="AF81" i="32" s="1"/>
  <c r="N81" i="32"/>
  <c r="S81" i="32" s="1"/>
  <c r="N27" i="32"/>
  <c r="S27" i="32" s="1"/>
  <c r="AA27" i="32"/>
  <c r="AF27" i="32" s="1"/>
  <c r="N26" i="32"/>
  <c r="S26" i="32" s="1"/>
  <c r="AA26" i="32"/>
  <c r="AF26" i="32" s="1"/>
  <c r="N91" i="26"/>
  <c r="S91" i="26" s="1"/>
  <c r="AG91" i="26" s="1"/>
  <c r="AA122" i="32"/>
  <c r="AF122" i="32" s="1"/>
  <c r="N122" i="32"/>
  <c r="S122" i="32" s="1"/>
  <c r="AA30" i="26"/>
  <c r="AF30" i="26" s="1"/>
  <c r="AG30" i="26" s="1"/>
  <c r="AA17" i="32"/>
  <c r="AF17" i="32" s="1"/>
  <c r="N17" i="32"/>
  <c r="S17" i="32" s="1"/>
  <c r="AG17" i="32" s="1" a="1"/>
  <c r="AG17" i="32" s="1"/>
  <c r="AA61" i="32"/>
  <c r="AF61" i="32" s="1"/>
  <c r="N61" i="32"/>
  <c r="S61" i="32" s="1"/>
  <c r="AA21" i="32"/>
  <c r="AF21" i="32" s="1"/>
  <c r="N21" i="32"/>
  <c r="S21" i="32" s="1"/>
  <c r="AG21" i="32" s="1" a="1"/>
  <c r="AG21" i="32" s="1"/>
  <c r="N65" i="32"/>
  <c r="S65" i="32" s="1"/>
  <c r="AA65" i="32"/>
  <c r="AF65" i="32" s="1"/>
  <c r="AA49" i="32"/>
  <c r="AF49" i="32" s="1"/>
  <c r="N49" i="32"/>
  <c r="S49" i="32" s="1"/>
  <c r="AA41" i="32"/>
  <c r="AF41" i="32" s="1"/>
  <c r="N41" i="32"/>
  <c r="S41" i="32" s="1"/>
  <c r="AA99" i="32"/>
  <c r="AF99" i="32" s="1"/>
  <c r="N99" i="32"/>
  <c r="S99" i="32" s="1"/>
  <c r="AA69" i="32"/>
  <c r="AF69" i="32" s="1"/>
  <c r="N69" i="32"/>
  <c r="S69" i="32" s="1"/>
  <c r="AA78" i="32"/>
  <c r="AF78" i="32" s="1"/>
  <c r="N78" i="32"/>
  <c r="S78" i="32" s="1"/>
  <c r="N70" i="32"/>
  <c r="S70" i="32" s="1"/>
  <c r="AA70" i="32"/>
  <c r="AF70" i="32" s="1"/>
  <c r="AA93" i="32"/>
  <c r="AF93" i="32" s="1"/>
  <c r="N93" i="32"/>
  <c r="S93" i="32" s="1"/>
  <c r="AA90" i="32"/>
  <c r="AF90" i="32" s="1"/>
  <c r="N90" i="32"/>
  <c r="S90" i="32" s="1"/>
  <c r="AG90" i="32" s="1" a="1"/>
  <c r="AG90" i="32" s="1"/>
  <c r="N48" i="32"/>
  <c r="S48" i="32" s="1"/>
  <c r="AA48" i="32"/>
  <c r="AF48" i="32" s="1"/>
  <c r="AA74" i="32"/>
  <c r="AF74" i="32" s="1"/>
  <c r="N74" i="32"/>
  <c r="S74" i="32" s="1"/>
  <c r="N92" i="32"/>
  <c r="S92" i="32" s="1"/>
  <c r="AA92" i="32"/>
  <c r="AF92" i="32" s="1"/>
  <c r="AA63" i="32"/>
  <c r="AF63" i="32" s="1"/>
  <c r="N63" i="32"/>
  <c r="S63" i="32" s="1"/>
  <c r="AA68" i="32"/>
  <c r="AF68" i="32" s="1"/>
  <c r="N68" i="32"/>
  <c r="S68" i="32" s="1"/>
  <c r="AA82" i="32"/>
  <c r="AF82" i="32" s="1"/>
  <c r="N82" i="32"/>
  <c r="S82" i="32" s="1"/>
  <c r="AA31" i="32"/>
  <c r="AF31" i="32" s="1"/>
  <c r="N31" i="32"/>
  <c r="S31" i="32" s="1"/>
  <c r="AA17" i="26"/>
  <c r="AA19" i="32"/>
  <c r="AF19" i="32" s="1"/>
  <c r="N19" i="32"/>
  <c r="S19" i="32" s="1"/>
  <c r="AG19" i="32" s="1" a="1"/>
  <c r="AG19" i="32" s="1"/>
  <c r="AA123" i="32"/>
  <c r="AF123" i="32" s="1"/>
  <c r="N123" i="32"/>
  <c r="S123" i="32" s="1"/>
  <c r="AA130" i="32"/>
  <c r="AF130" i="32" s="1"/>
  <c r="N130" i="32"/>
  <c r="S130" i="32" s="1"/>
  <c r="AA22" i="32"/>
  <c r="AF22" i="32" s="1"/>
  <c r="N22" i="32"/>
  <c r="S22" i="32" s="1"/>
  <c r="AG22" i="32" s="1" a="1"/>
  <c r="AG22" i="32" s="1"/>
  <c r="M113" i="32"/>
  <c r="M132" i="32"/>
  <c r="M140" i="32"/>
  <c r="M114" i="32"/>
  <c r="M133" i="32"/>
  <c r="M111" i="32"/>
  <c r="M134" i="32"/>
  <c r="M112" i="32"/>
  <c r="M135" i="32"/>
  <c r="M139" i="32"/>
  <c r="M115" i="32"/>
  <c r="M136" i="32"/>
  <c r="M116" i="32"/>
  <c r="M137" i="32"/>
  <c r="M138" i="32"/>
  <c r="M108" i="32"/>
  <c r="M118" i="32"/>
  <c r="M117" i="32"/>
  <c r="M109" i="32"/>
  <c r="M110" i="32"/>
  <c r="M119" i="32"/>
  <c r="M120" i="32"/>
  <c r="M116" i="26"/>
  <c r="M108" i="26"/>
  <c r="M106" i="26"/>
  <c r="M114" i="26"/>
  <c r="N58" i="32"/>
  <c r="S58" i="32" s="1"/>
  <c r="AA58" i="32"/>
  <c r="AF58" i="32" s="1"/>
  <c r="AA51" i="32"/>
  <c r="AF51" i="32" s="1"/>
  <c r="N51" i="32"/>
  <c r="S51" i="32" s="1"/>
  <c r="AG51" i="32" s="1" a="1"/>
  <c r="AG51" i="32" s="1"/>
  <c r="AA76" i="32"/>
  <c r="AF76" i="32" s="1"/>
  <c r="N76" i="32"/>
  <c r="S76" i="32" s="1"/>
  <c r="AA141" i="32"/>
  <c r="AF141" i="32" s="1"/>
  <c r="N141" i="32"/>
  <c r="S141" i="32" s="1"/>
  <c r="AG141" i="32" s="1" a="1"/>
  <c r="AG141" i="32" s="1"/>
  <c r="AA66" i="32"/>
  <c r="AF66" i="32" s="1"/>
  <c r="N66" i="32"/>
  <c r="S66" i="32" s="1"/>
  <c r="AA24" i="32"/>
  <c r="AF24" i="32" s="1"/>
  <c r="N24" i="32"/>
  <c r="S24" i="32" s="1"/>
  <c r="AA25" i="32"/>
  <c r="AF25" i="32" s="1"/>
  <c r="N25" i="32"/>
  <c r="S25" i="32" s="1"/>
  <c r="AA75" i="26"/>
  <c r="AF75" i="26" s="1"/>
  <c r="N75" i="26"/>
  <c r="S75" i="26" s="1"/>
  <c r="N123" i="26"/>
  <c r="S123" i="26" s="1"/>
  <c r="AA123" i="26"/>
  <c r="AF123" i="26" s="1"/>
  <c r="AA122" i="26"/>
  <c r="AF122" i="26" s="1"/>
  <c r="N122" i="26"/>
  <c r="S122" i="26" s="1"/>
  <c r="N32" i="26"/>
  <c r="S32" i="26" s="1"/>
  <c r="AA32" i="26"/>
  <c r="AF32" i="26" s="1"/>
  <c r="N38" i="26"/>
  <c r="S38" i="26" s="1"/>
  <c r="AA38" i="26"/>
  <c r="AF38" i="26" s="1"/>
  <c r="AA140" i="26"/>
  <c r="AF140" i="26" s="1"/>
  <c r="N140" i="26"/>
  <c r="S140" i="26" s="1"/>
  <c r="T60" i="26"/>
  <c r="AA35" i="26"/>
  <c r="AF35" i="26" s="1"/>
  <c r="N35" i="26"/>
  <c r="S35" i="26" s="1"/>
  <c r="N54" i="26"/>
  <c r="S54" i="26" s="1"/>
  <c r="AA54" i="26"/>
  <c r="AF54" i="26" s="1"/>
  <c r="AA126" i="26"/>
  <c r="AF126" i="26" s="1"/>
  <c r="N126" i="26"/>
  <c r="S126" i="26" s="1"/>
  <c r="N20" i="26"/>
  <c r="S20" i="26" s="1"/>
  <c r="AA20" i="26"/>
  <c r="AF20" i="26" s="1"/>
  <c r="T25" i="26"/>
  <c r="N64" i="26"/>
  <c r="S64" i="26" s="1"/>
  <c r="AA64" i="26"/>
  <c r="AF64" i="26" s="1"/>
  <c r="N70" i="26"/>
  <c r="S70" i="26" s="1"/>
  <c r="AA70" i="26"/>
  <c r="AF70" i="26" s="1"/>
  <c r="AA51" i="26"/>
  <c r="AF51" i="26" s="1"/>
  <c r="N51" i="26"/>
  <c r="S51" i="26" s="1"/>
  <c r="AA45" i="26"/>
  <c r="AF45" i="26" s="1"/>
  <c r="N45" i="26"/>
  <c r="S45" i="26" s="1"/>
  <c r="N48" i="26"/>
  <c r="S48" i="26" s="1"/>
  <c r="AA48" i="26"/>
  <c r="AF48" i="26" s="1"/>
  <c r="N80" i="26"/>
  <c r="S80" i="26" s="1"/>
  <c r="AA80" i="26"/>
  <c r="AF80" i="26" s="1"/>
  <c r="N56" i="26"/>
  <c r="S56" i="26" s="1"/>
  <c r="AA56" i="26"/>
  <c r="AF56" i="26" s="1"/>
  <c r="T68" i="26"/>
  <c r="T41" i="26"/>
  <c r="N120" i="26"/>
  <c r="S120" i="26" s="1"/>
  <c r="AA120" i="26"/>
  <c r="AF120" i="26" s="1"/>
  <c r="N128" i="26"/>
  <c r="S128" i="26" s="1"/>
  <c r="AA128" i="26"/>
  <c r="AF128" i="26" s="1"/>
  <c r="N96" i="26"/>
  <c r="S96" i="26" s="1"/>
  <c r="AA96" i="26"/>
  <c r="AF96" i="26" s="1"/>
  <c r="N139" i="26"/>
  <c r="S139" i="26" s="1"/>
  <c r="AA139" i="26"/>
  <c r="AF139" i="26" s="1"/>
  <c r="N44" i="26"/>
  <c r="S44" i="26" s="1"/>
  <c r="AA44" i="26"/>
  <c r="AF44" i="26" s="1"/>
  <c r="N39" i="26"/>
  <c r="S39" i="26" s="1"/>
  <c r="AA39" i="26"/>
  <c r="AF39" i="26" s="1"/>
  <c r="N62" i="26"/>
  <c r="S62" i="26" s="1"/>
  <c r="AA62" i="26"/>
  <c r="AF62" i="26" s="1"/>
  <c r="N94" i="26"/>
  <c r="S94" i="26" s="1"/>
  <c r="AA94" i="26"/>
  <c r="AF94" i="26" s="1"/>
  <c r="T22" i="26"/>
  <c r="N19" i="26"/>
  <c r="S19" i="26" s="1"/>
  <c r="AA19" i="26"/>
  <c r="AF19" i="26" s="1"/>
  <c r="T52" i="26"/>
  <c r="AA67" i="26"/>
  <c r="AF67" i="26" s="1"/>
  <c r="N67" i="26"/>
  <c r="S67" i="26" s="1"/>
  <c r="N79" i="26"/>
  <c r="S79" i="26" s="1"/>
  <c r="AA79" i="26"/>
  <c r="AF79" i="26" s="1"/>
  <c r="AA69" i="26"/>
  <c r="AF69" i="26" s="1"/>
  <c r="N69" i="26"/>
  <c r="S69" i="26" s="1"/>
  <c r="N47" i="26"/>
  <c r="S47" i="26" s="1"/>
  <c r="AA47" i="26"/>
  <c r="AF47" i="26" s="1"/>
  <c r="T125" i="26"/>
  <c r="N124" i="26"/>
  <c r="S124" i="26" s="1"/>
  <c r="AA124" i="26"/>
  <c r="AF124" i="26" s="1"/>
  <c r="N78" i="26"/>
  <c r="S78" i="26" s="1"/>
  <c r="AA78" i="26"/>
  <c r="AF78" i="26" s="1"/>
  <c r="T65" i="26"/>
  <c r="T28" i="26"/>
  <c r="N63" i="26"/>
  <c r="S63" i="26" s="1"/>
  <c r="AA63" i="26"/>
  <c r="AF63" i="26" s="1"/>
  <c r="AA61" i="26"/>
  <c r="AF61" i="26" s="1"/>
  <c r="N61" i="26"/>
  <c r="S61" i="26" s="1"/>
  <c r="N97" i="26"/>
  <c r="S97" i="26" s="1"/>
  <c r="AA97" i="26"/>
  <c r="AF97" i="26" s="1"/>
  <c r="N95" i="26"/>
  <c r="S95" i="26" s="1"/>
  <c r="AA95" i="26"/>
  <c r="AF95" i="26" s="1"/>
  <c r="AA77" i="26"/>
  <c r="AF77" i="26" s="1"/>
  <c r="N77" i="26"/>
  <c r="S77" i="26" s="1"/>
  <c r="N50" i="26"/>
  <c r="S50" i="26" s="1"/>
  <c r="AA50" i="26"/>
  <c r="AF50" i="26" s="1"/>
  <c r="N55" i="26"/>
  <c r="S55" i="26" s="1"/>
  <c r="AA55" i="26"/>
  <c r="AF55" i="26" s="1"/>
  <c r="T73" i="26"/>
  <c r="N72" i="26"/>
  <c r="S72" i="26" s="1"/>
  <c r="AA72" i="26"/>
  <c r="AF72" i="26" s="1"/>
  <c r="AA53" i="26"/>
  <c r="AF53" i="26" s="1"/>
  <c r="N53" i="26"/>
  <c r="S53" i="26" s="1"/>
  <c r="N129" i="26"/>
  <c r="S129" i="26" s="1"/>
  <c r="AA129" i="26"/>
  <c r="AF129" i="26" s="1"/>
  <c r="N102" i="26"/>
  <c r="S102" i="26" s="1"/>
  <c r="AA102" i="26"/>
  <c r="AF102" i="26" s="1"/>
  <c r="T90" i="26"/>
  <c r="AA59" i="26"/>
  <c r="AF59" i="26" s="1"/>
  <c r="N59" i="26"/>
  <c r="S59" i="26" s="1"/>
  <c r="N119" i="26"/>
  <c r="S119" i="26" s="1"/>
  <c r="AA119" i="26"/>
  <c r="AF119" i="26" s="1"/>
  <c r="N105" i="26"/>
  <c r="S105" i="26" s="1"/>
  <c r="AA105" i="26"/>
  <c r="AF105" i="26" s="1"/>
  <c r="N103" i="26"/>
  <c r="S103" i="26" s="1"/>
  <c r="AA103" i="26"/>
  <c r="AF103" i="26" s="1"/>
  <c r="AA93" i="26"/>
  <c r="AF93" i="26" s="1"/>
  <c r="N93" i="26"/>
  <c r="S93" i="26" s="1"/>
  <c r="N49" i="26"/>
  <c r="S49" i="26" s="1"/>
  <c r="AA49" i="26"/>
  <c r="AF49" i="26" s="1"/>
  <c r="N46" i="26"/>
  <c r="S46" i="26" s="1"/>
  <c r="AA46" i="26"/>
  <c r="AF46" i="26" s="1"/>
  <c r="AG68" i="32" l="1" a="1"/>
  <c r="AG68" i="32" s="1"/>
  <c r="AG99" i="32" a="1"/>
  <c r="AG99" i="32" s="1"/>
  <c r="AG104" i="32" a="1"/>
  <c r="AG104" i="32" s="1"/>
  <c r="AG37" i="32" a="1"/>
  <c r="AG37" i="32" s="1"/>
  <c r="AG66" i="32" a="1"/>
  <c r="AG66" i="32" s="1"/>
  <c r="N43" i="32"/>
  <c r="S43" i="32" s="1"/>
  <c r="AG43" i="32" s="1" a="1"/>
  <c r="AG43" i="32" s="1"/>
  <c r="AA44" i="32"/>
  <c r="AF44" i="32" s="1"/>
  <c r="AG123" i="32" a="1"/>
  <c r="AG123" i="32" s="1"/>
  <c r="AG79" i="32" a="1"/>
  <c r="AG79" i="32" s="1"/>
  <c r="AG127" i="32" a="1"/>
  <c r="AG127" i="32" s="1"/>
  <c r="AG82" i="32" a="1"/>
  <c r="AG82" i="32" s="1"/>
  <c r="AG69" i="32" a="1"/>
  <c r="AG69" i="32" s="1"/>
  <c r="AG52" i="32" a="1"/>
  <c r="AG52" i="32" s="1"/>
  <c r="AG107" i="32" a="1"/>
  <c r="AG107" i="32" s="1"/>
  <c r="AG56" i="32" a="1"/>
  <c r="AG56" i="32" s="1"/>
  <c r="AG101" i="32" a="1"/>
  <c r="AG101" i="32" s="1"/>
  <c r="AG24" i="32" a="1"/>
  <c r="AG24" i="32" s="1"/>
  <c r="AG96" i="32" a="1"/>
  <c r="AG96" i="32" s="1"/>
  <c r="AG129" i="32" a="1"/>
  <c r="AG129" i="32" s="1"/>
  <c r="AG27" i="32" a="1"/>
  <c r="AG27" i="32" s="1"/>
  <c r="AG85" i="32" a="1"/>
  <c r="AG85" i="32" s="1"/>
  <c r="AG92" i="32" a="1"/>
  <c r="AG92" i="32" s="1"/>
  <c r="AG130" i="32" a="1"/>
  <c r="AG130" i="32" s="1"/>
  <c r="AG63" i="32" a="1"/>
  <c r="AG63" i="32" s="1"/>
  <c r="AG121" i="32" a="1"/>
  <c r="AG121" i="32" s="1"/>
  <c r="AG60" i="32" a="1"/>
  <c r="AG60" i="32" s="1"/>
  <c r="AG58" i="32" a="1"/>
  <c r="AG58" i="32" s="1"/>
  <c r="AG74" i="32" a="1"/>
  <c r="AG74" i="32" s="1"/>
  <c r="AG49" i="32" a="1"/>
  <c r="AG49" i="32" s="1"/>
  <c r="AG81" i="32" a="1"/>
  <c r="AG81" i="32" s="1"/>
  <c r="AG15" i="32" a="1"/>
  <c r="AG15" i="32" s="1"/>
  <c r="AG31" i="32" a="1"/>
  <c r="AG31" i="32" s="1"/>
  <c r="AG78" i="32" a="1"/>
  <c r="AG78" i="32" s="1"/>
  <c r="AG87" i="32" a="1"/>
  <c r="AG87" i="32" s="1"/>
  <c r="AG95" i="32" a="1"/>
  <c r="AG95" i="32" s="1"/>
  <c r="AG16" i="32" a="1"/>
  <c r="AG16" i="32" s="1"/>
  <c r="AG47" i="32" a="1"/>
  <c r="AG47" i="32" s="1"/>
  <c r="AG48" i="32" a="1"/>
  <c r="AG48" i="32" s="1"/>
  <c r="AG65" i="32" a="1"/>
  <c r="AG65" i="32" s="1"/>
  <c r="AG34" i="32" a="1"/>
  <c r="AG34" i="32" s="1"/>
  <c r="AG105" i="32" a="1"/>
  <c r="AG105" i="32" s="1"/>
  <c r="AG122" i="32" a="1"/>
  <c r="AG122" i="32" s="1"/>
  <c r="AG102" i="32" a="1"/>
  <c r="AG102" i="32" s="1"/>
  <c r="AG97" i="32" a="1"/>
  <c r="AG97" i="32" s="1"/>
  <c r="AG54" i="32" a="1"/>
  <c r="AG54" i="32" s="1"/>
  <c r="AG71" i="32" a="1"/>
  <c r="AG71" i="32" s="1"/>
  <c r="AG128" i="32" a="1"/>
  <c r="AG128" i="32" s="1"/>
  <c r="AG67" i="32" a="1"/>
  <c r="AG67" i="32" s="1"/>
  <c r="AG53" i="32" a="1"/>
  <c r="AG53" i="32" s="1"/>
  <c r="AG18" i="32" a="1"/>
  <c r="AG18" i="32" s="1"/>
  <c r="AG142" i="32" a="1"/>
  <c r="AG142" i="32" s="1"/>
  <c r="AG77" i="32" a="1"/>
  <c r="AG77" i="32" s="1"/>
  <c r="AG26" i="32" a="1"/>
  <c r="AG26" i="32" s="1"/>
  <c r="AG62" i="32" a="1"/>
  <c r="AG62" i="32" s="1"/>
  <c r="AG36" i="32" a="1"/>
  <c r="AG36" i="32" s="1"/>
  <c r="AG41" i="32" a="1"/>
  <c r="AG41" i="32" s="1"/>
  <c r="AG125" i="32" a="1"/>
  <c r="AG125" i="32" s="1"/>
  <c r="AG32" i="32" a="1"/>
  <c r="AG32" i="32" s="1"/>
  <c r="AG64" i="32" a="1"/>
  <c r="AG64" i="32" s="1"/>
  <c r="AG25" i="32" a="1"/>
  <c r="AG25" i="32" s="1"/>
  <c r="AG29" i="32" a="1"/>
  <c r="AG29" i="32" s="1"/>
  <c r="AG23" i="32" a="1"/>
  <c r="AG23" i="32" s="1"/>
  <c r="AG55" i="32" a="1"/>
  <c r="AG55" i="32" s="1"/>
  <c r="AG57" i="32" a="1"/>
  <c r="AG57" i="32" s="1"/>
  <c r="AG93" i="32" a="1"/>
  <c r="AG93" i="32" s="1"/>
  <c r="AG61" i="32" a="1"/>
  <c r="AG61" i="32" s="1"/>
  <c r="AG100" i="32" a="1"/>
  <c r="AG100" i="32" s="1"/>
  <c r="AG80" i="32" a="1"/>
  <c r="AG80" i="32" s="1"/>
  <c r="AG35" i="32" a="1"/>
  <c r="AG35" i="32" s="1"/>
  <c r="AG33" i="32" a="1"/>
  <c r="AG33" i="32" s="1"/>
  <c r="AG73" i="32" a="1"/>
  <c r="AG73" i="32" s="1"/>
  <c r="AG91" i="32" a="1"/>
  <c r="AG91" i="32" s="1"/>
  <c r="AG72" i="32" a="1"/>
  <c r="AG72" i="32" s="1"/>
  <c r="AG30" i="32" a="1"/>
  <c r="AG30" i="32" s="1"/>
  <c r="AG88" i="32" a="1"/>
  <c r="AG88" i="32" s="1"/>
  <c r="AG76" i="32" a="1"/>
  <c r="AG76" i="32" s="1"/>
  <c r="AG70" i="32" a="1"/>
  <c r="AG70" i="32" s="1"/>
  <c r="AG94" i="32" a="1"/>
  <c r="AG94" i="32" s="1"/>
  <c r="AG124" i="32" a="1"/>
  <c r="AG124" i="32" s="1"/>
  <c r="AG75" i="32" a="1"/>
  <c r="AG75" i="32" s="1"/>
  <c r="AG59" i="32" a="1"/>
  <c r="AG59" i="32" s="1"/>
  <c r="AG12" i="32" a="1"/>
  <c r="AG12" i="32" s="1"/>
  <c r="AA11" i="32"/>
  <c r="AF11" i="32" s="1"/>
  <c r="N84" i="32"/>
  <c r="S84" i="32" s="1"/>
  <c r="AG84" i="32" s="1" a="1"/>
  <c r="AG84" i="32" s="1"/>
  <c r="AA38" i="32"/>
  <c r="AF38" i="32" s="1"/>
  <c r="AG38" i="32" s="1" a="1"/>
  <c r="AG38" i="32" s="1"/>
  <c r="AA14" i="32"/>
  <c r="AF14" i="32" s="1"/>
  <c r="AA13" i="32"/>
  <c r="AF13" i="32" s="1"/>
  <c r="AG13" i="32" s="1" a="1"/>
  <c r="AG13" i="32" s="1"/>
  <c r="AG15" i="26"/>
  <c r="AA12" i="26"/>
  <c r="AF12" i="26" s="1"/>
  <c r="AG12" i="26" s="1"/>
  <c r="AF17" i="26"/>
  <c r="AG17" i="26" s="1"/>
  <c r="AG93" i="26"/>
  <c r="AG59" i="26"/>
  <c r="AG77" i="26"/>
  <c r="AG126" i="26"/>
  <c r="AG61" i="26"/>
  <c r="AG53" i="26"/>
  <c r="AG72" i="26"/>
  <c r="AG47" i="26"/>
  <c r="AG39" i="26"/>
  <c r="AG128" i="26"/>
  <c r="AG80" i="26"/>
  <c r="AG70" i="26"/>
  <c r="AG38" i="26"/>
  <c r="AG34" i="26"/>
  <c r="AG78" i="26"/>
  <c r="AG139" i="26"/>
  <c r="AG62" i="26"/>
  <c r="AG96" i="26"/>
  <c r="AG56" i="26"/>
  <c r="AG123" i="26"/>
  <c r="AG79" i="26"/>
  <c r="AG94" i="26"/>
  <c r="AG69" i="26"/>
  <c r="AG35" i="26"/>
  <c r="AG45" i="26"/>
  <c r="AG122" i="26"/>
  <c r="AG103" i="26"/>
  <c r="AG48" i="26"/>
  <c r="AG105" i="26"/>
  <c r="AG129" i="26"/>
  <c r="AG95" i="26"/>
  <c r="AG54" i="26"/>
  <c r="AG120" i="26"/>
  <c r="AG64" i="26"/>
  <c r="AG55" i="26"/>
  <c r="AG119" i="26"/>
  <c r="AG50" i="26"/>
  <c r="AG124" i="26"/>
  <c r="AG67" i="26"/>
  <c r="AG51" i="26"/>
  <c r="AG20" i="26"/>
  <c r="AG140" i="26"/>
  <c r="AG44" i="26"/>
  <c r="AG97" i="26"/>
  <c r="AG19" i="26"/>
  <c r="AG102" i="26"/>
  <c r="AG32" i="26"/>
  <c r="AG46" i="26"/>
  <c r="AG49" i="26"/>
  <c r="AG63" i="26"/>
  <c r="AG75" i="26"/>
  <c r="T104" i="26"/>
  <c r="T12" i="26"/>
  <c r="T40" i="26"/>
  <c r="T84" i="26"/>
  <c r="T42" i="26"/>
  <c r="T86" i="26"/>
  <c r="T16" i="26"/>
  <c r="T33" i="26"/>
  <c r="T26" i="26"/>
  <c r="T36" i="26"/>
  <c r="T81" i="26"/>
  <c r="T11" i="26"/>
  <c r="N71" i="26"/>
  <c r="S71" i="26" s="1"/>
  <c r="AG71" i="26" s="1"/>
  <c r="N39" i="32"/>
  <c r="S39" i="32" s="1"/>
  <c r="AG39" i="32" s="1" a="1"/>
  <c r="AG39" i="32" s="1"/>
  <c r="N89" i="32"/>
  <c r="S89" i="32" s="1"/>
  <c r="AG89" i="32" s="1" a="1"/>
  <c r="AG89" i="32" s="1"/>
  <c r="AA103" i="32"/>
  <c r="AF103" i="32" s="1"/>
  <c r="AG103" i="32" s="1" a="1"/>
  <c r="AG103" i="32" s="1"/>
  <c r="AA104" i="26"/>
  <c r="AF104" i="26" s="1"/>
  <c r="AG104" i="26" s="1"/>
  <c r="T21" i="26"/>
  <c r="N86" i="32"/>
  <c r="S86" i="32" s="1"/>
  <c r="AG86" i="32" s="1" a="1"/>
  <c r="AG86" i="32" s="1"/>
  <c r="AA106" i="32"/>
  <c r="AF106" i="32" s="1"/>
  <c r="AG106" i="32" s="1" a="1"/>
  <c r="AG106" i="32" s="1"/>
  <c r="N45" i="32"/>
  <c r="S45" i="32" s="1"/>
  <c r="AG45" i="32" s="1" a="1"/>
  <c r="AG45" i="32" s="1"/>
  <c r="AA83" i="32"/>
  <c r="AF83" i="32" s="1"/>
  <c r="AG83" i="32" s="1" a="1"/>
  <c r="AG83" i="32" s="1"/>
  <c r="AA81" i="26"/>
  <c r="AF81" i="26" s="1"/>
  <c r="AG81" i="26" s="1"/>
  <c r="N121" i="26"/>
  <c r="S121" i="26" s="1"/>
  <c r="AA121" i="26"/>
  <c r="AF121" i="26" s="1"/>
  <c r="N117" i="26"/>
  <c r="S117" i="26" s="1"/>
  <c r="AG117" i="26" s="1"/>
  <c r="AA28" i="32"/>
  <c r="AF28" i="32" s="1"/>
  <c r="AG28" i="32" s="1" a="1"/>
  <c r="AG28" i="32" s="1"/>
  <c r="AA84" i="26"/>
  <c r="AF84" i="26" s="1"/>
  <c r="AG84" i="26" s="1"/>
  <c r="N83" i="26"/>
  <c r="S83" i="26" s="1"/>
  <c r="AG83" i="26" s="1"/>
  <c r="N99" i="26"/>
  <c r="S99" i="26" s="1"/>
  <c r="AG99" i="26" s="1"/>
  <c r="N14" i="26"/>
  <c r="S14" i="26" s="1"/>
  <c r="AG14" i="26" s="1"/>
  <c r="AA134" i="26"/>
  <c r="AF134" i="26" s="1"/>
  <c r="AG134" i="26" s="1"/>
  <c r="AA16" i="26"/>
  <c r="AF16" i="26" s="1"/>
  <c r="AG16" i="26" s="1"/>
  <c r="AA36" i="26"/>
  <c r="AF36" i="26" s="1"/>
  <c r="AG36" i="26" s="1"/>
  <c r="AA86" i="26"/>
  <c r="AF86" i="26" s="1"/>
  <c r="AG86" i="26" s="1"/>
  <c r="N37" i="26"/>
  <c r="S37" i="26" s="1"/>
  <c r="AG37" i="26" s="1"/>
  <c r="AA40" i="26"/>
  <c r="AF40" i="26" s="1"/>
  <c r="AG40" i="26" s="1"/>
  <c r="N85" i="26"/>
  <c r="S85" i="26" s="1"/>
  <c r="AG85" i="26" s="1"/>
  <c r="N101" i="26"/>
  <c r="S101" i="26" s="1"/>
  <c r="AG101" i="26" s="1"/>
  <c r="AA11" i="26"/>
  <c r="N43" i="26"/>
  <c r="S43" i="26" s="1"/>
  <c r="AG43" i="26" s="1"/>
  <c r="N42" i="32"/>
  <c r="S42" i="32" s="1"/>
  <c r="AG42" i="32" s="1" a="1"/>
  <c r="AG42" i="32" s="1"/>
  <c r="N82" i="26"/>
  <c r="S82" i="26" s="1"/>
  <c r="AA82" i="26"/>
  <c r="AF82" i="26" s="1"/>
  <c r="AA26" i="26"/>
  <c r="AF26" i="26" s="1"/>
  <c r="AG26" i="26" s="1"/>
  <c r="AA87" i="26"/>
  <c r="AF87" i="26" s="1"/>
  <c r="N87" i="26"/>
  <c r="S87" i="26" s="1"/>
  <c r="AA42" i="26"/>
  <c r="AF42" i="26" s="1"/>
  <c r="AG42" i="26" s="1"/>
  <c r="N135" i="26"/>
  <c r="S135" i="26" s="1"/>
  <c r="AG135" i="26" s="1"/>
  <c r="N132" i="26"/>
  <c r="S132" i="26" s="1"/>
  <c r="AG132" i="26" s="1"/>
  <c r="AA111" i="26"/>
  <c r="AF111" i="26" s="1"/>
  <c r="AG111" i="26" s="1"/>
  <c r="AA131" i="26"/>
  <c r="AF131" i="26" s="1"/>
  <c r="AG131" i="26" s="1"/>
  <c r="N137" i="26"/>
  <c r="S137" i="26" s="1"/>
  <c r="AG137" i="26" s="1"/>
  <c r="N136" i="26"/>
  <c r="S136" i="26" s="1"/>
  <c r="AG136" i="26" s="1"/>
  <c r="AA110" i="26"/>
  <c r="AF110" i="26" s="1"/>
  <c r="AG110" i="26" s="1"/>
  <c r="T27" i="26"/>
  <c r="AA118" i="26"/>
  <c r="AF118" i="26" s="1"/>
  <c r="AG118" i="26" s="1"/>
  <c r="N138" i="26"/>
  <c r="S138" i="26" s="1"/>
  <c r="AG138" i="26" s="1"/>
  <c r="N133" i="26"/>
  <c r="S133" i="26" s="1"/>
  <c r="AG133" i="26" s="1"/>
  <c r="N130" i="26"/>
  <c r="S130" i="26" s="1"/>
  <c r="AG130" i="26" s="1"/>
  <c r="N107" i="26"/>
  <c r="S107" i="26" s="1"/>
  <c r="AG107" i="26" s="1"/>
  <c r="AA113" i="26"/>
  <c r="AF113" i="26" s="1"/>
  <c r="AG113" i="26" s="1"/>
  <c r="N109" i="26"/>
  <c r="S109" i="26" s="1"/>
  <c r="AG109" i="26" s="1"/>
  <c r="AA112" i="26"/>
  <c r="AF112" i="26" s="1"/>
  <c r="AG112" i="26" s="1"/>
  <c r="N115" i="26"/>
  <c r="S115" i="26" s="1"/>
  <c r="AG115" i="26" s="1"/>
  <c r="T16" i="32"/>
  <c r="T18" i="32"/>
  <c r="T15" i="26"/>
  <c r="T104" i="32"/>
  <c r="T23" i="26"/>
  <c r="T31" i="26"/>
  <c r="T29" i="26"/>
  <c r="T34" i="32"/>
  <c r="T26" i="32"/>
  <c r="T71" i="32"/>
  <c r="T56" i="32"/>
  <c r="T83" i="32"/>
  <c r="T11" i="32"/>
  <c r="T106" i="32"/>
  <c r="T129" i="32"/>
  <c r="T53" i="32"/>
  <c r="T37" i="32"/>
  <c r="T54" i="32"/>
  <c r="T66" i="32"/>
  <c r="T74" i="32"/>
  <c r="T49" i="32"/>
  <c r="T55" i="32"/>
  <c r="T72" i="32"/>
  <c r="T41" i="32"/>
  <c r="T38" i="32"/>
  <c r="T58" i="32"/>
  <c r="T122" i="32"/>
  <c r="T105" i="32"/>
  <c r="T97" i="32"/>
  <c r="T32" i="32"/>
  <c r="T75" i="32"/>
  <c r="T50" i="32"/>
  <c r="T27" i="32"/>
  <c r="T78" i="32"/>
  <c r="T82" i="32"/>
  <c r="T99" i="32"/>
  <c r="T127" i="32"/>
  <c r="T70" i="32"/>
  <c r="T79" i="32"/>
  <c r="T23" i="32"/>
  <c r="T130" i="32"/>
  <c r="T29" i="32"/>
  <c r="T62" i="32"/>
  <c r="T88" i="32"/>
  <c r="T68" i="32"/>
  <c r="T121" i="32"/>
  <c r="T40" i="32"/>
  <c r="T103" i="32"/>
  <c r="T28" i="32"/>
  <c r="T123" i="32"/>
  <c r="T14" i="32"/>
  <c r="T65" i="32"/>
  <c r="T91" i="32"/>
  <c r="T64" i="32"/>
  <c r="T47" i="32"/>
  <c r="T93" i="32"/>
  <c r="T128" i="32"/>
  <c r="T13" i="32"/>
  <c r="T107" i="32"/>
  <c r="T61" i="32"/>
  <c r="T87" i="32"/>
  <c r="T131" i="32"/>
  <c r="T95" i="32"/>
  <c r="T34" i="26"/>
  <c r="T13" i="26"/>
  <c r="T91" i="26"/>
  <c r="T98" i="32"/>
  <c r="T57" i="32"/>
  <c r="T33" i="32"/>
  <c r="T12" i="32"/>
  <c r="T142" i="32"/>
  <c r="T67" i="32"/>
  <c r="T94" i="32"/>
  <c r="T63" i="32"/>
  <c r="T76" i="32"/>
  <c r="T100" i="32"/>
  <c r="T25" i="32"/>
  <c r="T69" i="32"/>
  <c r="T90" i="32"/>
  <c r="T31" i="32"/>
  <c r="T52" i="32"/>
  <c r="T141" i="32"/>
  <c r="T96" i="32"/>
  <c r="T125" i="32"/>
  <c r="N116" i="26"/>
  <c r="S116" i="26" s="1"/>
  <c r="AA116" i="26"/>
  <c r="AF116" i="26" s="1"/>
  <c r="N134" i="32"/>
  <c r="S134" i="32" s="1"/>
  <c r="AA134" i="32"/>
  <c r="AF134" i="32" s="1"/>
  <c r="N115" i="32"/>
  <c r="S115" i="32" s="1"/>
  <c r="AA115" i="32"/>
  <c r="AF115" i="32" s="1"/>
  <c r="T59" i="32"/>
  <c r="T85" i="32"/>
  <c r="T48" i="32"/>
  <c r="AA117" i="32"/>
  <c r="AF117" i="32" s="1"/>
  <c r="N117" i="32"/>
  <c r="S117" i="32" s="1"/>
  <c r="AA139" i="32"/>
  <c r="AF139" i="32" s="1"/>
  <c r="N139" i="32"/>
  <c r="S139" i="32" s="1"/>
  <c r="N132" i="32"/>
  <c r="S132" i="32" s="1"/>
  <c r="AA132" i="32"/>
  <c r="AF132" i="32" s="1"/>
  <c r="T19" i="32"/>
  <c r="T35" i="32"/>
  <c r="T20" i="32"/>
  <c r="AA109" i="32"/>
  <c r="AF109" i="32" s="1"/>
  <c r="N109" i="32"/>
  <c r="S109" i="32" s="1"/>
  <c r="AA140" i="32"/>
  <c r="AF140" i="32" s="1"/>
  <c r="N140" i="32"/>
  <c r="S140" i="32" s="1"/>
  <c r="T124" i="32"/>
  <c r="AA118" i="32"/>
  <c r="AF118" i="32" s="1"/>
  <c r="N118" i="32"/>
  <c r="S118" i="32" s="1"/>
  <c r="AA135" i="32"/>
  <c r="AF135" i="32" s="1"/>
  <c r="N135" i="32"/>
  <c r="S135" i="32" s="1"/>
  <c r="N113" i="32"/>
  <c r="S113" i="32" s="1"/>
  <c r="AA113" i="32"/>
  <c r="AF113" i="32" s="1"/>
  <c r="T15" i="32"/>
  <c r="N108" i="26"/>
  <c r="S108" i="26" s="1"/>
  <c r="AA108" i="26"/>
  <c r="AF108" i="26" s="1"/>
  <c r="T77" i="32"/>
  <c r="T92" i="32"/>
  <c r="T36" i="32"/>
  <c r="T24" i="32"/>
  <c r="N114" i="26"/>
  <c r="S114" i="26" s="1"/>
  <c r="AA114" i="26"/>
  <c r="AF114" i="26" s="1"/>
  <c r="AA108" i="32"/>
  <c r="AF108" i="32" s="1"/>
  <c r="N108" i="32"/>
  <c r="S108" i="32" s="1"/>
  <c r="AA112" i="32"/>
  <c r="AF112" i="32" s="1"/>
  <c r="N112" i="32"/>
  <c r="S112" i="32" s="1"/>
  <c r="T22" i="32"/>
  <c r="T17" i="32"/>
  <c r="T102" i="32"/>
  <c r="T101" i="32"/>
  <c r="T73" i="32"/>
  <c r="AA120" i="32"/>
  <c r="AF120" i="32" s="1"/>
  <c r="N120" i="32"/>
  <c r="S120" i="32" s="1"/>
  <c r="AA137" i="32"/>
  <c r="AF137" i="32" s="1"/>
  <c r="N137" i="32"/>
  <c r="S137" i="32" s="1"/>
  <c r="AA111" i="32"/>
  <c r="AF111" i="32" s="1"/>
  <c r="N111" i="32"/>
  <c r="S111" i="32" s="1"/>
  <c r="T44" i="32"/>
  <c r="AA138" i="32"/>
  <c r="AF138" i="32" s="1"/>
  <c r="N138" i="32"/>
  <c r="S138" i="32" s="1"/>
  <c r="T46" i="32"/>
  <c r="N106" i="26"/>
  <c r="S106" i="26" s="1"/>
  <c r="AA106" i="26"/>
  <c r="AF106" i="26" s="1"/>
  <c r="AA119" i="32"/>
  <c r="AF119" i="32" s="1"/>
  <c r="N119" i="32"/>
  <c r="S119" i="32" s="1"/>
  <c r="AA116" i="32"/>
  <c r="AF116" i="32" s="1"/>
  <c r="N116" i="32"/>
  <c r="S116" i="32" s="1"/>
  <c r="N133" i="32"/>
  <c r="S133" i="32" s="1"/>
  <c r="AA133" i="32"/>
  <c r="AF133" i="32" s="1"/>
  <c r="T60" i="32"/>
  <c r="T126" i="32"/>
  <c r="T51" i="32"/>
  <c r="T80" i="32"/>
  <c r="T81" i="32"/>
  <c r="AA110" i="32"/>
  <c r="AF110" i="32" s="1"/>
  <c r="N110" i="32"/>
  <c r="S110" i="32" s="1"/>
  <c r="AA136" i="32"/>
  <c r="AF136" i="32" s="1"/>
  <c r="N136" i="32"/>
  <c r="S136" i="32" s="1"/>
  <c r="N114" i="32"/>
  <c r="S114" i="32" s="1"/>
  <c r="AA114" i="32"/>
  <c r="AF114" i="32" s="1"/>
  <c r="T21" i="32"/>
  <c r="T30" i="32"/>
  <c r="T63" i="26"/>
  <c r="T79" i="26"/>
  <c r="T19" i="26"/>
  <c r="T110" i="26"/>
  <c r="T94" i="26"/>
  <c r="T45" i="26"/>
  <c r="T119" i="26"/>
  <c r="T48" i="26"/>
  <c r="T20" i="26"/>
  <c r="T54" i="26"/>
  <c r="T123" i="26"/>
  <c r="T93" i="26"/>
  <c r="T59" i="26"/>
  <c r="T102" i="26"/>
  <c r="T129" i="26"/>
  <c r="T72" i="26"/>
  <c r="T39" i="26"/>
  <c r="T139" i="26"/>
  <c r="T51" i="26"/>
  <c r="T126" i="26"/>
  <c r="T35" i="26"/>
  <c r="T75" i="26"/>
  <c r="T46" i="26"/>
  <c r="T53" i="26"/>
  <c r="T50" i="26"/>
  <c r="T70" i="26"/>
  <c r="T38" i="26"/>
  <c r="T61" i="26"/>
  <c r="T69" i="26"/>
  <c r="T113" i="26"/>
  <c r="T44" i="26"/>
  <c r="T96" i="26"/>
  <c r="T128" i="26"/>
  <c r="T111" i="26"/>
  <c r="T55" i="26"/>
  <c r="T134" i="26"/>
  <c r="T131" i="26"/>
  <c r="T80" i="26"/>
  <c r="T67" i="26"/>
  <c r="T140" i="26"/>
  <c r="T95" i="26"/>
  <c r="T56" i="26"/>
  <c r="T103" i="26"/>
  <c r="T97" i="26"/>
  <c r="T78" i="26"/>
  <c r="T47" i="26"/>
  <c r="T64" i="26"/>
  <c r="T118" i="26"/>
  <c r="T32" i="26"/>
  <c r="T105" i="26"/>
  <c r="T77" i="26"/>
  <c r="T49" i="26"/>
  <c r="T124" i="26"/>
  <c r="T62" i="26"/>
  <c r="T112" i="26"/>
  <c r="T120" i="26"/>
  <c r="T122" i="26"/>
  <c r="T43" i="32" l="1"/>
  <c r="AG112" i="32" a="1"/>
  <c r="AG112" i="32" s="1"/>
  <c r="AG117" i="32" a="1"/>
  <c r="AG117" i="32" s="1"/>
  <c r="AG119" i="32" a="1"/>
  <c r="AG119" i="32" s="1"/>
  <c r="AG108" i="32" a="1"/>
  <c r="AG108" i="32" s="1"/>
  <c r="AG109" i="32" a="1"/>
  <c r="AG109" i="32" s="1"/>
  <c r="AG114" i="32" a="1"/>
  <c r="AG114" i="32" s="1"/>
  <c r="AG137" i="32" a="1"/>
  <c r="AG137" i="32" s="1"/>
  <c r="AG136" i="32" a="1"/>
  <c r="AG136" i="32" s="1"/>
  <c r="AG111" i="32" a="1"/>
  <c r="AG111" i="32" s="1"/>
  <c r="AG139" i="32" a="1"/>
  <c r="AG139" i="32" s="1"/>
  <c r="AG116" i="32" a="1"/>
  <c r="AG116" i="32" s="1"/>
  <c r="AG140" i="32" a="1"/>
  <c r="AG140" i="32" s="1"/>
  <c r="AG132" i="32" a="1"/>
  <c r="AG132" i="32" s="1"/>
  <c r="AG120" i="32" a="1"/>
  <c r="AG120" i="32" s="1"/>
  <c r="AG115" i="32" a="1"/>
  <c r="AG115" i="32" s="1"/>
  <c r="AG110" i="32" a="1"/>
  <c r="AG110" i="32" s="1"/>
  <c r="AG133" i="32" a="1"/>
  <c r="AG133" i="32" s="1"/>
  <c r="AG134" i="32" a="1"/>
  <c r="AG134" i="32" s="1"/>
  <c r="AG138" i="32" a="1"/>
  <c r="AG138" i="32" s="1"/>
  <c r="AG113" i="32" a="1"/>
  <c r="AG113" i="32" s="1"/>
  <c r="AG135" i="32" a="1"/>
  <c r="AG135" i="32" s="1"/>
  <c r="AG118" i="32" a="1"/>
  <c r="AG118" i="32" s="1"/>
  <c r="T84" i="32"/>
  <c r="T86" i="32"/>
  <c r="AF11" i="26"/>
  <c r="AG11" i="26" s="1"/>
  <c r="AG87" i="26"/>
  <c r="AG82" i="26"/>
  <c r="AG121" i="26"/>
  <c r="AG108" i="26"/>
  <c r="AG116" i="26"/>
  <c r="AG106" i="26"/>
  <c r="AG114" i="26"/>
  <c r="T83" i="26"/>
  <c r="T89" i="32"/>
  <c r="T45" i="32"/>
  <c r="T39" i="32"/>
  <c r="T82" i="26"/>
  <c r="T107" i="26"/>
  <c r="T43" i="26"/>
  <c r="T133" i="26"/>
  <c r="T71" i="26"/>
  <c r="T135" i="26"/>
  <c r="T85" i="26"/>
  <c r="T14" i="26"/>
  <c r="T99" i="26"/>
  <c r="T121" i="26"/>
  <c r="T117" i="26"/>
  <c r="T37" i="26"/>
  <c r="T136" i="26"/>
  <c r="T101" i="26"/>
  <c r="T137" i="26"/>
  <c r="T42" i="32"/>
  <c r="T132" i="26"/>
  <c r="T87" i="26"/>
  <c r="T138" i="26"/>
  <c r="T130" i="26"/>
  <c r="T109" i="26"/>
  <c r="T115" i="26"/>
  <c r="T138" i="32"/>
  <c r="T132" i="32"/>
  <c r="T136" i="32"/>
  <c r="T108" i="26"/>
  <c r="T139" i="32"/>
  <c r="T118" i="32"/>
  <c r="T133" i="32"/>
  <c r="T106" i="26"/>
  <c r="T120" i="32"/>
  <c r="T112" i="32"/>
  <c r="T114" i="32"/>
  <c r="T137" i="32"/>
  <c r="T110" i="32"/>
  <c r="T116" i="32"/>
  <c r="T117" i="32"/>
  <c r="T134" i="32"/>
  <c r="T108" i="32"/>
  <c r="T119" i="32"/>
  <c r="T114" i="26"/>
  <c r="T113" i="32"/>
  <c r="T140" i="32"/>
  <c r="T115" i="32"/>
  <c r="T116" i="26"/>
  <c r="T111" i="32"/>
  <c r="T135" i="32"/>
  <c r="T109"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Valecia Stocchetti</author>
  </authors>
  <commentList>
    <comment ref="E34" authorId="0" shapeId="0" xr:uid="{493BFA74-EDDD-4957-A766-2A45CBF28B8D}">
      <text>
        <r>
          <rPr>
            <sz val="9"/>
            <color indexed="81"/>
            <rFont val="Tahoma"/>
            <family val="2"/>
          </rPr>
          <t>This enterprise could tolerate a loss up to $10,000.</t>
        </r>
      </text>
    </comment>
    <comment ref="E35" authorId="0" shapeId="0" xr:uid="{5C8D4536-CA35-4D44-A229-3F9BBE587278}">
      <text>
        <r>
          <rPr>
            <sz val="9"/>
            <color indexed="81"/>
            <rFont val="Tahoma"/>
            <family val="2"/>
          </rPr>
          <t>If this enterprise loses more than $500,000, they could not recover.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Valecia Stocchetti</author>
  </authors>
  <commentList>
    <comment ref="G42" authorId="0" shapeId="0" xr:uid="{E14A50B9-45B1-4F43-812D-719A3B1665D1}">
      <text>
        <r>
          <rPr>
            <sz val="9"/>
            <color indexed="81"/>
            <rFont val="Tahoma"/>
            <family val="2"/>
          </rPr>
          <t>The highest Obligations Impact Score that an asset could cause would be '4'.</t>
        </r>
      </text>
    </comment>
    <comment ref="G46" authorId="0" shapeId="0" xr:uid="{385856BF-681B-47AE-971E-A2F3625CA29C}">
      <text>
        <r>
          <rPr>
            <sz val="9"/>
            <color indexed="81"/>
            <rFont val="Tahoma"/>
            <family val="2"/>
          </rPr>
          <t>If the network in this enterprise were compromised, the highest Obligations Impact it could create would be '3'.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Valecia Stocchetti</author>
  </authors>
  <commentList>
    <comment ref="Y19" authorId="0" shapeId="0" xr:uid="{6A0321F2-AC8C-40E3-90F3-1DC25C499D96}">
      <text>
        <r>
          <rPr>
            <sz val="9"/>
            <color indexed="81"/>
            <rFont val="Tahoma"/>
            <family val="2"/>
          </rPr>
          <t>This enterprise believes that permitting script engines on only system admin computers will address this risk.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<sst xmlns="http://schemas.openxmlformats.org/spreadsheetml/2006/main" count="2800" uniqueCount="629">
  <si>
    <t>Impact to Mission</t>
  </si>
  <si>
    <t>Impact to Obligations</t>
  </si>
  <si>
    <t>Risk Score</t>
  </si>
  <si>
    <t>Risk Level</t>
  </si>
  <si>
    <t>Definition</t>
  </si>
  <si>
    <t>Impact Scores</t>
  </si>
  <si>
    <t>Mission</t>
  </si>
  <si>
    <t>Acceptable Risk Score</t>
  </si>
  <si>
    <t>Risk Acceptance Criteria</t>
  </si>
  <si>
    <t>Sum of Threat Count / Industry</t>
  </si>
  <si>
    <t>Percentage</t>
  </si>
  <si>
    <t>Maturity</t>
  </si>
  <si>
    <t>Index</t>
  </si>
  <si>
    <t>Address Unauthorized Assets</t>
  </si>
  <si>
    <t>Use Unique Passwords</t>
  </si>
  <si>
    <t>Ensure Use of Only Fully Supported Browsers and Email Clients</t>
  </si>
  <si>
    <t>Disable Dormant Accounts</t>
  </si>
  <si>
    <t>Mission Impact</t>
  </si>
  <si>
    <t>Obligations Impact</t>
  </si>
  <si>
    <t>Impact Criteria</t>
  </si>
  <si>
    <t>VCDB Index</t>
  </si>
  <si>
    <t>VCDB Index Weight Table</t>
  </si>
  <si>
    <t>Asset Class</t>
  </si>
  <si>
    <t>Obligations</t>
  </si>
  <si>
    <t>Scope</t>
  </si>
  <si>
    <t>Last Completed (Date)</t>
  </si>
  <si>
    <t>Risk Register</t>
  </si>
  <si>
    <t>Inherent Risk Criteria</t>
  </si>
  <si>
    <t>Risk Treatment Safeguard</t>
  </si>
  <si>
    <t>Implementation Year</t>
  </si>
  <si>
    <t>Year</t>
  </si>
  <si>
    <t>Reasonable?</t>
  </si>
  <si>
    <t>Risk Treatment
Safeguard Title</t>
  </si>
  <si>
    <t>Risk Treatment
Safeguard Description</t>
  </si>
  <si>
    <t>Risk Treatment Safeguard Impact to Mission</t>
  </si>
  <si>
    <t>Risk Treatment Safeguard Impact to Obligations</t>
  </si>
  <si>
    <t>Risk Treatment Safeguard Cost</t>
  </si>
  <si>
    <t>Risk Treatment Safeguard Risk Score</t>
  </si>
  <si>
    <t>Establish and Maintain Detailed Enterprise Asset Inventory</t>
  </si>
  <si>
    <t>Establish and Maintain a Software Inventory</t>
  </si>
  <si>
    <t xml:space="preserve">Ensure Authorized Software is Currently Supported </t>
  </si>
  <si>
    <t>Address Unauthorized Software</t>
  </si>
  <si>
    <t>Establish and Maintain a Data Management Process</t>
  </si>
  <si>
    <t>Establish and Maintain a Data Inventory</t>
  </si>
  <si>
    <t>Configure Data Access Control Lists</t>
  </si>
  <si>
    <t>Enforce Data Retention</t>
  </si>
  <si>
    <t>Securely Dispose of Data</t>
  </si>
  <si>
    <t>Encrypt Data on End-User Devices</t>
  </si>
  <si>
    <t>Establish and Maintain a Secure Configuration Process</t>
  </si>
  <si>
    <t>Establish and Maintain a Secure Configuration Process for Network Infrastructure</t>
  </si>
  <si>
    <t>Configure Automatic Session Locking on Enterprise Assets</t>
  </si>
  <si>
    <t>Implement and Manage a Firewall on Servers</t>
  </si>
  <si>
    <t>Implement and Manage a Firewall on End-User Devices</t>
  </si>
  <si>
    <t>Securely Manage Enterprise Assets and Software</t>
  </si>
  <si>
    <t>Manage Default Accounts on Enterprise Assets and Software</t>
  </si>
  <si>
    <t>Establish and Maintain an Inventory of Accounts</t>
  </si>
  <si>
    <t>Restrict Administrator Privileges to Dedicated Administrator Accounts</t>
  </si>
  <si>
    <t>Establish an Access Granting Process</t>
  </si>
  <si>
    <t>Establish an Access Revoking Process</t>
  </si>
  <si>
    <t>Require MFA for Externally-Exposed Applications</t>
  </si>
  <si>
    <t>Require MFA for Remote Network Access</t>
  </si>
  <si>
    <t>Require MFA for Administrative Access</t>
  </si>
  <si>
    <t>Establish and Maintain a Vulnerability Management Process</t>
  </si>
  <si>
    <t>Establish and Maintain a Remediation Process</t>
  </si>
  <si>
    <t>Perform Automated Operating System Patch Management</t>
  </si>
  <si>
    <t>Perform Automated Application Patch Management</t>
  </si>
  <si>
    <t>Establish and Maintain an Audit Log Management Process</t>
  </si>
  <si>
    <t>Collect Audit Logs</t>
  </si>
  <si>
    <t>Ensure Adequate Audit Log Storage</t>
  </si>
  <si>
    <t>Use DNS Filtering Services</t>
  </si>
  <si>
    <t>Deploy and Maintain Anti-Malware Software</t>
  </si>
  <si>
    <t>Configure Automatic Anti-Malware Signature Updates</t>
  </si>
  <si>
    <t>Disable Autorun and Autoplay for Removable Media</t>
  </si>
  <si>
    <t>Establish and Maintain a Data Recovery Process </t>
  </si>
  <si>
    <t>Perform Automated Backups </t>
  </si>
  <si>
    <t>Protect Recovery Data</t>
  </si>
  <si>
    <t>Establish and Maintain an Isolated Instance of Recovery Data </t>
  </si>
  <si>
    <t>Ensure Network Infrastructure is Up-to-Date</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</si>
  <si>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</si>
  <si>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</si>
  <si>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</si>
  <si>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</si>
  <si>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</si>
  <si>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</si>
  <si>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on How to Identify and Report if Their Enterprise Assets are Missing Security Updates</t>
  </si>
  <si>
    <t>Train Workforce on the Dangers of Connecting to and Transmitting Enterprise Data Over Insecure Networks</t>
  </si>
  <si>
    <t>Establish and Maintain an Inventory of Service Providers</t>
  </si>
  <si>
    <t>Designate Personnel to Manage Incident Handling</t>
  </si>
  <si>
    <t>Establish and Maintain Contact Information for Reporting Security Incidents</t>
  </si>
  <si>
    <t>Establish and Maintain an Enterprise Process for Reporting Incidents</t>
  </si>
  <si>
    <t>Data</t>
  </si>
  <si>
    <t>Devices</t>
  </si>
  <si>
    <t>Network</t>
  </si>
  <si>
    <t>Users</t>
  </si>
  <si>
    <t>Enterprise</t>
  </si>
  <si>
    <t>Enterprise Name</t>
  </si>
  <si>
    <t>Operational Objectives</t>
  </si>
  <si>
    <t>Financial Objectives</t>
  </si>
  <si>
    <t>Operational Objectives Impact</t>
  </si>
  <si>
    <t>Impact to Operational Objectives</t>
  </si>
  <si>
    <t>Risk Treatment Safeguard Impact to Operational Objectives</t>
  </si>
  <si>
    <t>Impact to Financial Objectives</t>
  </si>
  <si>
    <t>Incident Count</t>
  </si>
  <si>
    <t>As of</t>
  </si>
  <si>
    <t>VCDB Index Lookup</t>
  </si>
  <si>
    <t>Implementation Quarter</t>
  </si>
  <si>
    <t>Safeguard is not implemented or is inconsistently implemented.</t>
  </si>
  <si>
    <t>Safeguard is implemented fully on some assets or partially on all assets.</t>
  </si>
  <si>
    <t>Safeguard is implemented on all assets.</t>
  </si>
  <si>
    <t>CIS Safeguard #</t>
  </si>
  <si>
    <t>CIS Safeguard Title</t>
  </si>
  <si>
    <t>Our Planned Implementation</t>
  </si>
  <si>
    <t>Risk Treatment</t>
  </si>
  <si>
    <t>Reasonable and Acceptable</t>
  </si>
  <si>
    <t>Risk Analysis</t>
  </si>
  <si>
    <t>Required</t>
  </si>
  <si>
    <t>Optional</t>
  </si>
  <si>
    <t>Color Key</t>
  </si>
  <si>
    <t>Meaning</t>
  </si>
  <si>
    <t>For user input. Risk assessors will add values into these columns.</t>
  </si>
  <si>
    <t>For optional user input. Risk assessors may add values into these columns if it's useful to them.</t>
  </si>
  <si>
    <t>Used to evaluate risk acceptance</t>
  </si>
  <si>
    <t>Used to populate "VCDB Index"</t>
  </si>
  <si>
    <t>Color</t>
  </si>
  <si>
    <t>Safeguard Maturity Score</t>
  </si>
  <si>
    <t>Risk Treatment Safeguard Maturity Score</t>
  </si>
  <si>
    <t>Used for "Safeguard Maturity Score" and "Risk Treatment Safeguard Maturity Score"</t>
  </si>
  <si>
    <t>Maturity Scores</t>
  </si>
  <si>
    <t>Risk Treatment Option</t>
  </si>
  <si>
    <t>Safeguard is tested and inconsistencies are corrected.</t>
  </si>
  <si>
    <t>Safeguard has mechanisms that ensure consistent implementation over time.</t>
  </si>
  <si>
    <t>1. Negligible</t>
  </si>
  <si>
    <t>2. Acceptable</t>
  </si>
  <si>
    <t>3. Unacceptable</t>
  </si>
  <si>
    <t>4. High</t>
  </si>
  <si>
    <t>5. Catastrophic</t>
  </si>
  <si>
    <t>Acceptable</t>
  </si>
  <si>
    <t>Unacceptable</t>
  </si>
  <si>
    <t>High</t>
  </si>
  <si>
    <t>What observable evidence would you have that your mission - as you defined it above - would be unaffected?</t>
  </si>
  <si>
    <t>What observable evidence would you have that your mission would be compromised, but it would not require correction?</t>
  </si>
  <si>
    <t>What observable evidence would you have that your mission would be compromised so badly that extraordinary efforts would be required to restore it?</t>
  </si>
  <si>
    <t>What observable evidence would you have that your mission would be compromised in a way that would require correction, but the correction could be achieved through the normal course of business?</t>
  </si>
  <si>
    <t>Catastrophic</t>
  </si>
  <si>
    <t>What business or organizational goals does the enterprise attempt to achieve?</t>
  </si>
  <si>
    <t>What are the unexpected cost outlays that your enterprise could or could not tolerate?</t>
  </si>
  <si>
    <t>What observable evidence would you have that your operational objectives - as you defined them above - would be unaffected?</t>
  </si>
  <si>
    <t>What observable evidence would you have that your operational objectives would be compromised, but it would not require correction?</t>
  </si>
  <si>
    <t>What observable evidence would you have that your operational objectives would be compromised in a way that would require correction, but the correction could be achieved through the normal course of business?</t>
  </si>
  <si>
    <t>What observable evidence would you have that your operational objectives would be compromised so badly that extraordinary efforts would be required to restore them?</t>
  </si>
  <si>
    <t>What observable evidence would you have that your financial objectives - as you defined them above - would be unaffected?</t>
  </si>
  <si>
    <t>What observable evidence would you have that your financial objectives would be compromised, but it would not require correction?</t>
  </si>
  <si>
    <t>What observable evidence would you have that your financial objectives would be compromised in a way that would require correction, but the correction could be achieved through the normal course of business?</t>
  </si>
  <si>
    <t>What observable evidence would you have that your financial objectives would be compromised so badly that extraordinary efforts would be required to restore them?</t>
  </si>
  <si>
    <t>Prompt</t>
  </si>
  <si>
    <t>Negligible</t>
  </si>
  <si>
    <t>Financial Objectives Impact</t>
  </si>
  <si>
    <t>Enterprise Risk Assessment Criteria</t>
  </si>
  <si>
    <t>Utilize Automated Software Inventory Tools</t>
  </si>
  <si>
    <t>Allowlist Authorized Software</t>
  </si>
  <si>
    <t>Allowlist Authorized Libraries</t>
  </si>
  <si>
    <t>Perform Automated Vulnerability Scans of Internal Enterprise Assets</t>
  </si>
  <si>
    <t>Perform Automated Vulnerability Scans of Externally-Exposed Enterprise Assets</t>
  </si>
  <si>
    <t>Remediate Detected Vulnerabilities</t>
  </si>
  <si>
    <t>Restrict Unnecessary or Unauthorized Browser and Email Client Extensions</t>
  </si>
  <si>
    <t>Establish and Maintain a Secure Application Development Process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</si>
  <si>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</si>
  <si>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</si>
  <si>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</si>
  <si>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</si>
  <si>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</si>
  <si>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Separate Production and Non-Production Systems</t>
  </si>
  <si>
    <t>Train Developers in Application Security Concepts and Secure Coding</t>
  </si>
  <si>
    <t>Apply Secure Design Principles in Application Architectures</t>
  </si>
  <si>
    <t>Leverage Vetted Modules or Services for Application Security Components</t>
  </si>
  <si>
    <t>Establish and Maintain a Data Classification Scheme</t>
  </si>
  <si>
    <t>Document Data Flows</t>
  </si>
  <si>
    <t>Encrypt Data on Removable Media</t>
  </si>
  <si>
    <t>Encrypt Sensitive Data in Transit</t>
  </si>
  <si>
    <t>Encrypt Sensitive Data at Rest</t>
  </si>
  <si>
    <t>Test Data Recovery</t>
  </si>
  <si>
    <t>Utilize an Active Discovery Tool</t>
  </si>
  <si>
    <t>Use Dynamic Host Configuration Protocol (DHCP) Logging to Update Enterprise Asset Inventory</t>
  </si>
  <si>
    <t>Uninstall or Disable Unnecessary Services on Enterprise Assets and Software</t>
  </si>
  <si>
    <t>Configure Trusted DNS Servers on Enterprise Assets</t>
  </si>
  <si>
    <t>Enforce Automatic Device Lockout on Portable End-User Devices</t>
  </si>
  <si>
    <t>Enforce Remote Wipe Capability on Portable End-User Devices</t>
  </si>
  <si>
    <t>Collect Command-Line Audit Logs</t>
  </si>
  <si>
    <t>Configure Automatic Anti-Malware Scanning of Removable Media</t>
  </si>
  <si>
    <t>Enable Anti-Exploitation Features</t>
  </si>
  <si>
    <t>Centrally Manage Anti-Malware Software</t>
  </si>
  <si>
    <t>Use Behavior-Based Anti-Malware Software</t>
  </si>
  <si>
    <t>Ensure Remote Devices Utilize a VPN and are Connecting to an Enterprise’s AAA Infrastructure</t>
  </si>
  <si>
    <t>Deploy a Host-Based Intrusion Detection Solution</t>
  </si>
  <si>
    <t>Manage Access Control for Remote Assets</t>
  </si>
  <si>
    <t>Conduct Role-Specific Security Awareness and Skills Training</t>
  </si>
  <si>
    <t>Establish and Maintain a Service Provider Management Policy</t>
  </si>
  <si>
    <t>Classify Service Providers</t>
  </si>
  <si>
    <t>Ensure Service Provider Contracts Include Security Requirements</t>
  </si>
  <si>
    <t>Establish and Maintain an Incident Response Process</t>
  </si>
  <si>
    <t>Assign Key Roles and Responsibilities</t>
  </si>
  <si>
    <t>Define Mechanisms for Communicating During Incident Response</t>
  </si>
  <si>
    <t>Conduct Routine Incident Response Exercises</t>
  </si>
  <si>
    <t>Conduct Post-Incident Reviews</t>
  </si>
  <si>
    <t>Establish and Maintain a Penetration Testing Program</t>
  </si>
  <si>
    <t>Segment Data Processing and Storage Based on Sensitivity</t>
  </si>
  <si>
    <t>Standardize Time Synchronization</t>
  </si>
  <si>
    <t>Collect Detailed Audit Logs</t>
  </si>
  <si>
    <t>Collect DNS Query Audit Logs</t>
  </si>
  <si>
    <t>Collect URL Request Audit Logs</t>
  </si>
  <si>
    <t>Centralize Audit Logs</t>
  </si>
  <si>
    <t>Retain Audit Logs</t>
  </si>
  <si>
    <t>Conduct Audit Log Reviews</t>
  </si>
  <si>
    <t>Maintain and Enforce Network-Based URL Filters</t>
  </si>
  <si>
    <t>Implement DMARC</t>
  </si>
  <si>
    <t>Block Unnecessary File Types</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</si>
  <si>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</si>
  <si>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</si>
  <si>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</si>
  <si>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</si>
  <si>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</si>
  <si>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Centralize Security Event Alerting</t>
  </si>
  <si>
    <t>Deploy a Network Intrusion Detection Solution</t>
  </si>
  <si>
    <t>Perform Traffic Filtering Between Network Segments</t>
  </si>
  <si>
    <t xml:space="preserve">Collect Network Traffic Flow Logs </t>
  </si>
  <si>
    <t>Perform Periodic External Penetration Tests</t>
  </si>
  <si>
    <t>Remediate Penetration Test Findings</t>
  </si>
  <si>
    <t>Establish and Maintain an Inventory of Service Accounts</t>
  </si>
  <si>
    <t>Centralize Account Management</t>
  </si>
  <si>
    <t>Establish and Maintain an Inventory of Authentication and Authorization Systems</t>
  </si>
  <si>
    <t>Centralize Access Control</t>
  </si>
  <si>
    <t>Establish and Manage an Inventory of Third-Party Software Components</t>
  </si>
  <si>
    <t>Criteria</t>
  </si>
  <si>
    <t>Remote</t>
  </si>
  <si>
    <t>Unlikely</t>
  </si>
  <si>
    <t>As likely as not</t>
  </si>
  <si>
    <t>Likely</t>
  </si>
  <si>
    <t>Certain</t>
  </si>
  <si>
    <t>Impact</t>
  </si>
  <si>
    <t>Acceptable Risk is less than …</t>
  </si>
  <si>
    <t>To maintain our market position as the best custom widgets manufacturer.</t>
  </si>
  <si>
    <t>Impact Magnitude</t>
  </si>
  <si>
    <t>All orders would be produced within specifications and on time and without unplanned effort.</t>
  </si>
  <si>
    <t>We could not meet our mission.</t>
  </si>
  <si>
    <t>All orders would be produced within specifications and on time, but some may require unplanned effort to stay within tolerance metrics.</t>
  </si>
  <si>
    <t>Few orders each quarter (outside of our tolerance metrics) may miss targets, but could be corrected with adjustments or discounts.</t>
  </si>
  <si>
    <t xml:space="preserve">We would repeatedly miss targets outside of tolerance metrics, requiring regular adjustments or discounts per quarter, or would require significant re-investment to operate regularly within our tolerance metrics. </t>
  </si>
  <si>
    <t>To achieve our profit goals each year.</t>
  </si>
  <si>
    <t>Leave this blank</t>
  </si>
  <si>
    <t>Ranked as #1 in all categories in annual "Custom Widget World" Magazine poll.</t>
  </si>
  <si>
    <t>Ranked as #1 in only one category of "Custom Widget World" Magazine poll for only one year.</t>
  </si>
  <si>
    <t>Not ranked #1 in any category of "Custom Widget World" Magazine poll for one year.</t>
  </si>
  <si>
    <t>Not ranked in top three in any category of "Custom Widget World" Magazine poll for two years or more.</t>
  </si>
  <si>
    <t>Unable to rank well in annual "Custom Widget World" Magazine poll.</t>
  </si>
  <si>
    <t>Describe a condition where one or few others would be harmed to a degree that you could correct.</t>
  </si>
  <si>
    <t>To protect our customers from harm due to loss of their intellectual property.</t>
  </si>
  <si>
    <t>Describe a condition where others would not be harmed.</t>
  </si>
  <si>
    <t>Asset Name</t>
  </si>
  <si>
    <t>Automated or fixed values on the Risk Analysis side of the Risk Register. While the worksheet is in protected mode, these values cannot be changed.</t>
  </si>
  <si>
    <t>Automated or fixed values on the Risk Treatment side of the Risk Register. While the worksheet is in protected mode, these values cannot be changed.</t>
  </si>
  <si>
    <t>Title</t>
  </si>
  <si>
    <t>The unique CIS Safeguard identifier, as published in the CIS Controls.</t>
  </si>
  <si>
    <t>The title of the CIS Safeguard, as published in the CIS Controls.</t>
  </si>
  <si>
    <t>The asset class, as published in the CIS Controls.</t>
  </si>
  <si>
    <t>A score of '1' through '5' designating the reliability of a Safeguard's effectiveness against threats.</t>
  </si>
  <si>
    <t>An automatically calculated value to represent how common the related threat is as a cause for reported cybersecurity incidents.</t>
  </si>
  <si>
    <t>The magnitude of harm that a successful threat would cause to your Mission.</t>
  </si>
  <si>
    <t>The magnitude of harm that a successful threat would cause to your Operational Objectives.</t>
  </si>
  <si>
    <t>The magnitude of harm that a successful threat would cause to your Obligations.</t>
  </si>
  <si>
    <t>A statement about whether the enterprise will accept or reduce the risk.</t>
  </si>
  <si>
    <t>The description of the CIS Safeguard, as published in the CIS Controls.</t>
  </si>
  <si>
    <t>A brief description of how the Safeguard will be implemented and operated in the enterprise.</t>
  </si>
  <si>
    <t>A score of '1' through '5' designating the planned reliability of a Safeguard's effectiveness against threats.</t>
  </si>
  <si>
    <t>An automatically calculated value to represent how commonly the related threat would be the cause of a cybersecurity incident, given the planned Safeguard.</t>
  </si>
  <si>
    <t>A determination of whether the planned Safeguard is reasonable and acceptable.</t>
  </si>
  <si>
    <t>An estimate of how much the Safeguard is expected to cost.</t>
  </si>
  <si>
    <t>When the Safeguard is planned for completion of implementation (which quarter).</t>
  </si>
  <si>
    <t>When the Safeguard is planned for completion of implementation (which year).</t>
  </si>
  <si>
    <t>CIS CSAT Pro</t>
  </si>
  <si>
    <t>Instructions for Importing CIS CSAT Pro Scores into CIS RAM</t>
  </si>
  <si>
    <t>Note: Please ensure that your enterprise's method for scoring Safeguards in CSAT Pro aligns closely enough with the CIS RAM Maturity Scores (defined below). Adjustments may need to be made based on your current scoring.</t>
  </si>
  <si>
    <t>CSAT Pro Export Score</t>
  </si>
  <si>
    <t>CSAT Pro Score (Stripped)</t>
  </si>
  <si>
    <t>CIS RAM Maturity Score Final</t>
  </si>
  <si>
    <t>CIS-Hosted CSAT</t>
  </si>
  <si>
    <t>Instructions for Importing CIS-Hosted CSAT Scores into CIS RAM</t>
  </si>
  <si>
    <r>
      <t xml:space="preserve">Note: This method will average the four scoring categories in CIS-Hosted CSAT for each Safeguard and aligns those averages with the CIS RAM Maturity Scores.  Please review the CIS RAM Maturity Scores, </t>
    </r>
    <r>
      <rPr>
        <b/>
        <u/>
        <sz val="11"/>
        <color rgb="FFFF0000"/>
        <rFont val="Arial"/>
        <family val="2"/>
      </rPr>
      <t>as defined below</t>
    </r>
    <r>
      <rPr>
        <b/>
        <sz val="11"/>
        <color rgb="FFFF0000"/>
        <rFont val="Arial"/>
        <family val="2"/>
      </rPr>
      <t>, to ensure this method aligns closely enough for your enterprise's scoring practices.</t>
    </r>
  </si>
  <si>
    <t>CIS-Hosted CSAT Maturity Scores</t>
  </si>
  <si>
    <t>Policy Defined</t>
  </si>
  <si>
    <t>Control Implemented</t>
  </si>
  <si>
    <t>Control Automated</t>
  </si>
  <si>
    <t>Control Reported</t>
  </si>
  <si>
    <t>No Policy</t>
  </si>
  <si>
    <t>Not Implemented</t>
  </si>
  <si>
    <t>Not Automated</t>
  </si>
  <si>
    <t>Not Reported</t>
  </si>
  <si>
    <t>Informal Policy</t>
  </si>
  <si>
    <t>Parts of Policy Implemented</t>
  </si>
  <si>
    <t>Parts of Policy Automated</t>
  </si>
  <si>
    <t>Parts of Policy Reported</t>
  </si>
  <si>
    <t>Partially Written Policy</t>
  </si>
  <si>
    <t>Implemented on Some Systems</t>
  </si>
  <si>
    <t>Automated on Some Systems</t>
  </si>
  <si>
    <t>Reported on Some Systems</t>
  </si>
  <si>
    <t>Written Policy</t>
  </si>
  <si>
    <t>Implemented on Most Systems</t>
  </si>
  <si>
    <t>Automated on Most Systems</t>
  </si>
  <si>
    <t>Reported on Most Systems</t>
  </si>
  <si>
    <t>Approved Written Policy</t>
  </si>
  <si>
    <t>Implemented on All Systems</t>
  </si>
  <si>
    <t>Automated on All Systems</t>
  </si>
  <si>
    <t>Reported on All Systems</t>
  </si>
  <si>
    <t>Unknown - Unscored</t>
  </si>
  <si>
    <t>None</t>
  </si>
  <si>
    <t>Unknown - N/A</t>
  </si>
  <si>
    <t>Not Applicable</t>
  </si>
  <si>
    <t>CIS-Hosted CSAT Values From XLSX Export</t>
  </si>
  <si>
    <t>Calculated Numerical Score</t>
  </si>
  <si>
    <t>CIS RAM Maturity Score Average</t>
  </si>
  <si>
    <t>https://workbench.cisecurity.org/dashboard</t>
  </si>
  <si>
    <t>CIS CSAT (Controls Self Assessment Tool)</t>
  </si>
  <si>
    <t>TWO TYPES:</t>
  </si>
  <si>
    <t>https://csat.cisecurity.org/</t>
  </si>
  <si>
    <t>https://www.cisecurity.org/controls/cis-controls-self-assessment-tool-cis-csat/</t>
  </si>
  <si>
    <t>5 (81-100%)</t>
  </si>
  <si>
    <t>3 (41-60%)</t>
  </si>
  <si>
    <t>4 (61-80%)</t>
  </si>
  <si>
    <t>2 (21-40%)</t>
  </si>
  <si>
    <t>Not Available</t>
  </si>
  <si>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mission were acceptable, or unacceptable.</t>
    </r>
  </si>
  <si>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operational objectives were acceptable, or unacceptable.</t>
    </r>
  </si>
  <si>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financial objectives were acceptable, or unacceptable.</t>
    </r>
  </si>
  <si>
    <r>
      <rPr>
        <b/>
        <i/>
        <sz val="10"/>
        <color theme="1"/>
        <rFont val="Arial"/>
        <family val="2"/>
      </rPr>
      <t>Instructions</t>
    </r>
    <r>
      <rPr>
        <i/>
        <sz val="10"/>
        <color theme="1"/>
        <rFont val="Arial"/>
        <family val="2"/>
      </rPr>
      <t>: Imagine that your enterprise suffers a cybersecurity or information security incident. Describe in the spaces provided below how you would determine that the impacts to your obligations (harm, to others)  were acceptable, or unacceptable.</t>
    </r>
  </si>
  <si>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</si>
  <si>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</si>
  <si>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</si>
  <si>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DHCP logging on all DHCP servers or Internet Protocol (IP) address management tools to update the enterprise’s asset inventory. Review and use logs to update the enterprise’s asset inventory weekly, or more frequently.</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</si>
  <si>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</si>
  <si>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Ensure that unauthorized software is either removed from use on enterprise assets or receives a documented exception. Review monthly, or more frequently.</t>
  </si>
  <si>
    <t xml:space="preserve">Utilize software inventory tools, when possible, throughout the enterprise to automate the discovery and documentation of installed software. </t>
  </si>
  <si>
    <t>Use technical controls, such as application allowlisting, to ensure that only authorized software can execute or be accessed. Reassess bi-annually, or more frequently.</t>
  </si>
  <si>
    <t>Configure data access control lists based on a user’s need to know. Apply data access control lists, also known as access permissions, to local and remote file systems, databases, and applications.</t>
  </si>
  <si>
    <t>Encrypt data on end-user devices containing sensitive data. Example implementations can include: Windows BitLocker®, Apple FileVault®, Linux® dm-crypt.</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</si>
  <si>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</si>
  <si>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</si>
  <si>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</si>
  <si>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sensitive data in transit. Example implementations can include: Transport Layer Security (TLS) and Open Secure Shell (OpenSSH).</t>
  </si>
  <si>
    <t>Segment data processing and storage based on the sensitivity of the data. Do not process sensitive data on enterprise assets intended for lower sensitivity data.</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</si>
  <si>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</si>
  <si>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 where supported. Example implementations include a virtual firewall, operating system firewall, or a third-party firewall agent.</t>
  </si>
  <si>
    <t>Implement and manage a host-based firewall or port-filtering tool on end-user devices, with a default-deny rule that drops all traffic except those services and ports that are explicitly allowed.</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</si>
  <si>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</si>
  <si>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 such as an unused file sharing service, web application module, or service function.</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</si>
  <si>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</si>
  <si>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</si>
  <si>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Delete or disable any dormant accounts after a period of 45 days of inactivity, where supported.</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</si>
  <si>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</si>
  <si>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</si>
  <si>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Centralize account management through a directory or identity service.</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</si>
  <si>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</si>
  <si>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all externally-exposed enterprise or third-party applications to enforce MFA, where supported. Enforcing MFA through a directory service or SSO provider is a satisfactory implementation of this Safeguard.</t>
  </si>
  <si>
    <t>Require MFA for remote network access.</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</si>
  <si>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</si>
  <si>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</si>
  <si>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</si>
  <si>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</si>
  <si>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</si>
  <si>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application updates on enterprise assets through automated patch management on a monthly, or more frequent, basis.</t>
  </si>
  <si>
    <t>Remediate detected vulnerabilities in software through processes and tooling on a monthly, or more frequent, basis, based on the remediation process.</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</si>
  <si>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</si>
  <si>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</si>
  <si>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</si>
  <si>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</si>
  <si>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</si>
  <si>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</si>
  <si>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</si>
  <si>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Retain audit logs across enterprise assets for a minimum of 90 days.</t>
  </si>
  <si>
    <t>Conduct reviews of audit logs to detect anomalies or abnormal events that could indicate a potential threat. Conduct reviews on a weekly, or more frequent, basis.</t>
  </si>
  <si>
    <t>Ensure only fully supported browsers and email clients are allowed to execute in the enterprise, only using the latest version of browsers and email clients provided through the vendor.</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</si>
  <si>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</si>
  <si>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</si>
  <si>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</si>
  <si>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</si>
  <si>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Deploy and maintain anti-malware software on all enterprise assets.</t>
  </si>
  <si>
    <t>Configure automatic updates for anti-malware signature files on all enterprise assets.</t>
  </si>
  <si>
    <t>Disable autorun and autoplay auto-execute functionality for removable media.</t>
  </si>
  <si>
    <t>Configure anti-malware software to automatically scan removable media.</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</si>
  <si>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</si>
  <si>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</si>
  <si>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</si>
  <si>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</si>
  <si>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</si>
  <si>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</si>
  <si>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</si>
  <si>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and maintain architecture diagram(s) and/or other network system documentation. Review and update documentation annually, or when significant enterprise changes occur that could impact this Safeguard.</t>
  </si>
  <si>
    <t>Centralize network AAA.</t>
  </si>
  <si>
    <t>Require users to authenticate to enterprise-managed VPN and authentication services prior to accessing enterprise resources on end-user devices.</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</si>
  <si>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</si>
  <si>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 on enterprise assets, where appropriate and/or supported.</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</si>
  <si>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</si>
  <si>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 where appropriate.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</si>
  <si>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</si>
  <si>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Collect network traffic flow logs and/or network traffic to review and alert upon from network devices.</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</si>
  <si>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</si>
  <si>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</si>
  <si>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</si>
  <si>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to be aware of causes for unintentional data exposure. Example topics include mis-delivery of sensitive data, losing a portable end-user device, or publishing data to unintended audiences.</t>
  </si>
  <si>
    <t>Train workforce members to be able to recognize a potential incident and be able to report such an incident. </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</si>
  <si>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</si>
  <si>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</si>
  <si>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</si>
  <si>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</si>
  <si>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</si>
  <si>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</si>
  <si>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</si>
  <si>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</si>
  <si>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</si>
  <si>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</si>
  <si>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</si>
  <si>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</si>
  <si>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</si>
  <si>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Maintain separate environments for production and non-production systems.</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</si>
  <si>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</si>
  <si>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</si>
  <si>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</si>
  <si>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</si>
  <si>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</si>
  <si>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IG1</t>
  </si>
  <si>
    <t>IG2</t>
  </si>
  <si>
    <t>x</t>
  </si>
  <si>
    <t>Risk Treatment Safeguard Impact to Financial Objectives</t>
  </si>
  <si>
    <t>Reasonable Annual Cost</t>
  </si>
  <si>
    <t>All data on this page is considered sample data only, and not meant to reflect an individual organization's risk register. Only to be used for demonstration purposes.</t>
  </si>
  <si>
    <t>Asset Classes</t>
  </si>
  <si>
    <t>Used to associate Safeguards with Asset Classes</t>
  </si>
  <si>
    <t>Expectancy Criteria</t>
  </si>
  <si>
    <t>Expectancy Score</t>
  </si>
  <si>
    <t>Expectancy</t>
  </si>
  <si>
    <t>Vulnerabilities</t>
  </si>
  <si>
    <t>Risk Treatment
Safeguard Expectancy Score</t>
  </si>
  <si>
    <t>The product of the Expectancy and the highest of the three Impacts.</t>
  </si>
  <si>
    <t>The product of the Expectancy and the highest of the three impacts, given the planned Safeguard.</t>
  </si>
  <si>
    <t>Expectancy Scores</t>
  </si>
  <si>
    <t>Used for "Expectancy Score" and "Risk Treatment Safeguard Expectancy Score"</t>
  </si>
  <si>
    <t>Our Implementation</t>
  </si>
  <si>
    <t>Shell scripting tools and compilers are permitted, but we have no way of validating scripts, or side-loaded applications.</t>
  </si>
  <si>
    <t>None observed</t>
  </si>
  <si>
    <t>Shell scripting tools are permitted, but we have no way of validating scripts, or uninstalled applications.</t>
  </si>
  <si>
    <t xml:space="preserve">End-user systems and servers are built using images that we developed for business purposes and for minimum use (fewest processes, services, and applications). </t>
  </si>
  <si>
    <t>We use ACME Hunter to scan for vulnerabilities on all systems on a weekly basis.</t>
  </si>
  <si>
    <t>The Ops team reviews all vulnerabilities, but does not resolve vulnerabilities that are out of our control, or that would "break" systems.</t>
  </si>
  <si>
    <t>ACME's Ops team remediates vulnerabilities that they are certain will not compromise system performance.</t>
  </si>
  <si>
    <t>We use AppXYZControl that monitors for applications installed on all servers and end-user systems.</t>
  </si>
  <si>
    <t>AppXYZControl validates that installed applications are currently supported, and that current versions are implemented.</t>
  </si>
  <si>
    <t>AppXYZControl identifies installed applications that were not permitted and alerts the Ops team. Ops team removes unapproved applications within five business days.</t>
  </si>
  <si>
    <t>AppXYZControl identifies applications after they were installed. We are not preventing unauthorized applications from being installed.</t>
  </si>
  <si>
    <t>AppXYZControl uses a list of approved software libraries in its scans and identified installed applications that are not on that list.</t>
  </si>
  <si>
    <t>Fabricore</t>
  </si>
  <si>
    <t>Permit script engines on only systems administrator computers.</t>
  </si>
  <si>
    <t>Q2</t>
  </si>
  <si>
    <t>Reduce</t>
  </si>
  <si>
    <t>Accept</t>
  </si>
  <si>
    <t>Example Manufacturer</t>
  </si>
  <si>
    <t>Evidence of Implementation</t>
  </si>
  <si>
    <t>How would you concisely describe the benefit that your enterprise provides your customers, clients, constituents, or the public? This is why they engage in this risk with you.</t>
  </si>
  <si>
    <t>Response</t>
  </si>
  <si>
    <t>What observable evidence would you have that your mission would be compromised so badly that it could not be achieved?</t>
  </si>
  <si>
    <t>What observable evidence would you have that your operational objectives would be compromised so badly that they could not be achieved?</t>
  </si>
  <si>
    <t>What harm may foreseeably come to others as a result of a cybersecurity incident?</t>
  </si>
  <si>
    <t>Describe a condition where others would not be harmed to a degree that required correction or compensation.</t>
  </si>
  <si>
    <t>Describe a condition where many others would be harmed to a degree that you could correct, or where few others are harmed to a degree that others would always have a small degree of impairment.</t>
  </si>
  <si>
    <t>Describe a condition where others would be irreparably harmed.</t>
  </si>
  <si>
    <t>Safeguard would reliably prevent the threat.</t>
  </si>
  <si>
    <t>Safeguard would reliably prevent most occurrences of the threat.</t>
  </si>
  <si>
    <t>Safeguard would prevent as many threat occurrences as it would miss.</t>
  </si>
  <si>
    <t>Safeguard would prevent few threat occurrences.</t>
  </si>
  <si>
    <t>Safeguard would not prevent threat occurrences.</t>
  </si>
  <si>
    <t>We would start to invest against risks to prevent this expectancy and impact, or higher.</t>
  </si>
  <si>
    <t>Reliably produce just-in-time, custom widgets that meet demanding resiliency and design specifications, and within market-leading turnaround times.</t>
  </si>
  <si>
    <t>All data on this page is considered sample data only, and not meant to reflect any one individual organization's Impact Criteria Survey. Only to be used for demonstration purposes.</t>
  </si>
  <si>
    <t>No customer would suffer a loss of competitive advantage.</t>
  </si>
  <si>
    <t>One or few customers may be concerned about potential loss of competitive advantage, but no harm would result.</t>
  </si>
  <si>
    <t>One or few customers would suffer minor loss of competitive advantage, but they could be made whole within a fiscal year.</t>
  </si>
  <si>
    <t>Many customers would suffer minor loss of competitive advantage, or one to few customers would suffer harm that would require significant business investment or planning to recover.</t>
  </si>
  <si>
    <t xml:space="preserve">We would not be able to protect our customers from losses due to intellectual property theft. </t>
  </si>
  <si>
    <t>All data on this page is considered sample data only, and not meant to reflect any one individual organization's CSAT/RAM scoring. Only to be used for demonstration purposes.</t>
  </si>
  <si>
    <t>Red</t>
  </si>
  <si>
    <t>Yellow</t>
  </si>
  <si>
    <t>Green</t>
  </si>
  <si>
    <t>Risk Levels</t>
  </si>
  <si>
    <t>Green indicates that the risk evaluates as “acceptable.”</t>
  </si>
  <si>
    <r>
      <t>Red indicates that the risk is “urgent.”</t>
    </r>
    <r>
      <rPr>
        <sz val="8"/>
        <color rgb="FF1B2B38"/>
        <rFont val="Arial"/>
        <family val="2"/>
      </rPr>
      <t> </t>
    </r>
  </si>
  <si>
    <t>Yellow indicates that the risk is “unacceptably high, but not urgent.”</t>
  </si>
  <si>
    <t>Use Default or Custom Responses</t>
  </si>
  <si>
    <t>The Implementation Group, as published in the CIS Controls.</t>
  </si>
  <si>
    <t>A brief description of how the Safeguard is already implemented and operated in the enterprise.</t>
  </si>
  <si>
    <t>The magnitude of harm that a successful threat would cause to your Financial Objectives.</t>
  </si>
  <si>
    <t>An optional field used to input the name of an individual asset to distinguish its risks from other Asset Class risks.</t>
  </si>
  <si>
    <t>An optional field used to record a vulnerability with a specific asset, such as a vulnerability in an application, as an example.</t>
  </si>
  <si>
    <t>Automated or fixed values on the Reasonable Annual Cost side of the Risk Register. While the worksheet is in protected mode, these values cannot be changed.</t>
  </si>
  <si>
    <t xml:space="preserve">The total Risk Treatment Safeguard Cost for the year. </t>
  </si>
  <si>
    <t>The year the total cost was incurred.</t>
  </si>
  <si>
    <t xml:space="preserve">Whether or not the total cost falls above or below the acceptable limit, based on the Acceptable Criteria for the enterprise's Financial Objectives. </t>
  </si>
  <si>
    <t>Permit script scripting tools and compilers on only protected systems administrator computers.</t>
  </si>
  <si>
    <t>Adopt SCAP policies for all devices. Create deployment images for each device and deploy systems using only those images. 
Add SCAP policies to the vulnerability scanning application and scan systems before putting them into production.
Update the SCAP policies quarterly and include all approved changes to the updated policies.</t>
  </si>
  <si>
    <t>Operate a weekly vulnerability review meeting that checks to see if all medium and high vulnerabilities are resolved. Include CIS RAM risk assessment criteria in the meeting to identify reasonable alternatives for vulnerabilities that are difficult to remediate.</t>
  </si>
  <si>
    <t>Operate a weekly vulnerability review meeting that checks to see if all Medium and high vulnerabilities are resolved. Include CIS RAM risk assessment criteria in the meeting to identify reasonable alternatives for vulnerabilities that are difficult to remediate.</t>
  </si>
  <si>
    <t>Used to calculate "Expectancy Score" and "Risk Treatment Safeguard Expectancy Score"</t>
  </si>
  <si>
    <t>An automatically calculated value to represent how commonly the related threat would be the cause of a cybersecurity incident, given your current Safeguard and the reported commonality of the attack.</t>
  </si>
  <si>
    <t>An evaluation of the risk as negligible, acceptable, unacceptable, high, or catastrophic.</t>
  </si>
  <si>
    <t>Monthly scan reports and "diff" reports are located in \\fileserverALPHA\evidence\20211212\2\</t>
  </si>
  <si>
    <t>Monthly exceptions reports are located in \\fileserverALPHA\evidence\20211212\2\.
Tickets for uninstall of unapproved applications are located in \\fileserverALPHA\evidence\20211212\2\.</t>
  </si>
  <si>
    <t>AppXYZControl uses a list of approved software in its scans and identifies installed applications that are not on that list.</t>
  </si>
  <si>
    <t>Monthly exceptions reports are located in \\fileserverALPHA\evidence\20211212\2\.</t>
  </si>
  <si>
    <t>System images are not built from known-secure standards, such as vendor-provided or community-provided SCAP polices.</t>
  </si>
  <si>
    <t>SCAP policy files for each server and workstation type are located in \\fileserverBETA\SCAP\current\.</t>
  </si>
  <si>
    <t>Proof to show how the Safeguard is implemented and operated in the enterprise.</t>
  </si>
  <si>
    <t>We use AppXYZControl that monitors for applications installed on some servers and end-user systems.</t>
  </si>
  <si>
    <t>AppXYZControl validates for some servers and workstations that installed applications are currently supported, and that current versions are implemented.</t>
  </si>
  <si>
    <t>NIST CSF Security Function</t>
  </si>
  <si>
    <t>Mapping between the NIST CSF Security Functions and CIS Safeguards, as published in the CIS Controls.</t>
  </si>
  <si>
    <t>Identify</t>
  </si>
  <si>
    <t>Respond</t>
  </si>
  <si>
    <t>Protect</t>
  </si>
  <si>
    <t>Detect</t>
  </si>
  <si>
    <t>Recover</t>
  </si>
  <si>
    <t>Overview: The CIS Controls® Self Assessment Tool, also known as CIS CSAT, enables organizations to assess and track their implementation of the CIS Controls for Versions 8 and 7.1. The CIS Controls are a prioritized set of consensus-developed security best practices used by organizations around the world to defend against cyber threats.</t>
  </si>
  <si>
    <t>Software</t>
  </si>
  <si>
    <t>Documentation</t>
  </si>
  <si>
    <t>CIS RAM v2.2 for IG2</t>
  </si>
  <si>
    <t xml:space="preserve">What is the highest impact to the Mission, Operational Objectives, Financial Objectives, and Obligations that each Asset Type could cause? </t>
  </si>
  <si>
    <t>CIS Safeguard</t>
  </si>
  <si>
    <t>Govern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</si>
  <si>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</si>
  <si>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Use technical controls to ensure that only authorized software libraries, such as specific .dll, .ocx, and .so files, are allowed to load into a system process. Block unauthorized libraries from loading into a system process. Reassess bi-annually, or more frequently.</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</si>
  <si>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</si>
  <si>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</si>
  <si>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</si>
  <si>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</si>
  <si>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t>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</si>
  <si>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</si>
  <si>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</si>
  <si>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</si>
  <si>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 </t>
  </si>
  <si>
    <t>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t>
  </si>
  <si>
    <t>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</si>
  <si>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</si>
  <si>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</si>
  <si>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</si>
  <si>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 </t>
  </si>
  <si>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</si>
  <si>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Centralize, to the extent possible, audit log collection and retention across enterprise assets in accordance with the documented audit log management process. Example implementations primarily include leveraging a SIEM tool to centralize multiple log sources.</t>
  </si>
  <si>
    <t>Use DNS filtering services on all end-user devices, including remote and on-premises assets, to block access to known malicious domains.</t>
  </si>
  <si>
    <t>Establish and maintain a documented data recovery process that includes detailed backup procedures. In the process, address the scope of data recovery activities, recovery prioritization, and the security of backup data. Review and update documentation annually, or when significant enterprise changes occur that could impact this Safeguard.</t>
  </si>
  <si>
    <t>Ensure network infrastructure is kept up-to-date. Example implementations include running the latest stable release of software and/or using currently supported network as a service (NaaS) offerings. Review software versions monthly, or more frequently, to verify software support.</t>
  </si>
  <si>
    <t>Design and maintain a secure network architecture. A secure network architecture must address segmentation, least privilege, and availability, at a minimum. Example implementations may include documentation, policy, and design components.</t>
  </si>
  <si>
    <t xml:space="preserve">Securely manage network infrastructure. Example implementations include version-controlled Infrastructure-as-Code (IaC), and the use of secure network protocols, such as SSH and HTTPS. </t>
  </si>
  <si>
    <t>Adopt secure network management protocols (e.g., 802.1X) and secure communication protocols (e.g., Wi-Fi Protected Access 2 (WPA2) Enterprise or more secure alternatives).</t>
  </si>
  <si>
    <t>Train workforce members to recognize social engineering attacks, such as phishing, business email compromise (BEC), pretexting, and tailgating. </t>
  </si>
  <si>
    <t>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</si>
  <si>
    <t>Leverage vetted modules or services for application security components, such as identity management, encryption,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</si>
  <si>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</si>
  <si>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providers, law enforcement, cyber insurance providers, relevant government agencies, Information Sharing and Analysis Center (ISAC) partners, or other stakeholders. Verify contacts annually to ensure that information is up-to-date.</t>
  </si>
  <si>
    <t>Establish and maintain a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</si>
  <si>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</si>
  <si>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analysts, and relevant third parties.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</si>
  <si>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</si>
  <si>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</si>
  <si>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Remediate penetration test findings based on the enterprise’s documented vulnerability remediation process. This should include determining a timeline and level of effort based on the impact and prioritization of each identified finding.</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</si>
  <si>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 critical
- Procedures and tools       </t>
  </si>
  <si>
    <t>https://www.cisecurity.org/controls/v8-1/</t>
  </si>
  <si>
    <t>https://www.cisecurity.org/controls/resources?crc=about-the-cis-critical-security-controls</t>
  </si>
  <si>
    <t>A free tool with a dynamic list of the CIS Safeguards that can be filtered by Implemtation Groups and  mappings to multiple frameworks.</t>
  </si>
  <si>
    <t>https://www.cisecurity.org/controls/cis-controls-navigator</t>
  </si>
  <si>
    <t>Join our community where you can discuss the CIS Controls with our global army of experts and voluneers!</t>
  </si>
  <si>
    <t>CIS-Hosted CSAT: The CIS-hosted version of CIS CSAT is free to every organization for use in a non-commercial capacity to conduct CIS Controls assessments of their organization. (released January 2019)</t>
  </si>
  <si>
    <r>
      <rPr>
        <b/>
        <sz val="11"/>
        <color theme="1"/>
        <rFont val="Arial"/>
        <family val="2"/>
      </rPr>
      <t>CIS CSAT Pro:</t>
    </r>
    <r>
      <rPr>
        <sz val="11"/>
        <color theme="1"/>
        <rFont val="Arial"/>
        <family val="2"/>
      </rPr>
      <t xml:space="preserve"> The on-premises version of CIS CSAT is available exclusively for CIS SecureSuite Members. This version offers additional features and benefits: Save time by using a simplified scoring method with a reduced number of questions, Decide whether to opt in to share data and see how scores compare to industry average, Greater flexibility with organization trees for tracking organizations, sub-organizations, and assessments, Assign users to different roles for different organizations/sub-organizations as well as greater separation of administrative and non-administrative roles, Track multiple concurrent assessments in the same organization, Easily access your tasks, assessments, and organizations from a consolidated home page, Includes CIS Controls Safeguard mappings to NIST CSF, NIST SP 800-53, and PCI. (released August 2020)</t>
    </r>
  </si>
  <si>
    <r>
      <t>The CIS RAM for IG2 Workbook protects most cells in the Risk Register and lookup tables to prevent users from accidentally changing the formulas and lookups that automate the risk analysis and make it simple. 
If users are confident in their use of Microsoft</t>
    </r>
    <r>
      <rPr>
        <vertAlign val="superscript"/>
        <sz val="15"/>
        <color theme="0"/>
        <rFont val="Arial"/>
        <family val="2"/>
      </rPr>
      <t>®</t>
    </r>
    <r>
      <rPr>
        <sz val="15"/>
        <color theme="0"/>
        <rFont val="Arial"/>
        <family val="2"/>
      </rPr>
      <t xml:space="preserve"> Excel and wish to modify values, such as Risk Acceptance Criteria, they may “unprotect” the document by going to the “Review” tab in the Excel menu and selecting the “Unprotect sheet” button. However, guidance for maintenance of the Workbook, formulas, lookups, and protected cells is beyond the scope of this document.</t>
    </r>
  </si>
  <si>
    <t>CIS CSAT Pro for CIS Controls v8/v8.1</t>
  </si>
  <si>
    <t>v8/v8.1 Safeguard #</t>
  </si>
  <si>
    <t>CIS-Hosted CSAT for CIS Controls v8/v8.1</t>
  </si>
  <si>
    <r>
      <t xml:space="preserve">1   </t>
    </r>
    <r>
      <rPr>
        <sz val="11"/>
        <color theme="1"/>
        <rFont val="Arial"/>
        <family val="2"/>
      </rPr>
      <t>In CIS-Hosted CSAT, filter on IG1 and IG2 and export the filtered Safeguards.</t>
    </r>
  </si>
  <si>
    <r>
      <t xml:space="preserve">a      </t>
    </r>
    <r>
      <rPr>
        <sz val="11"/>
        <color theme="1"/>
        <rFont val="Arial"/>
        <family val="2"/>
      </rPr>
      <t>Go to the All Controls page for the assessment of interest (this is reachable from the All Controls link on the menu on the left under “Current Assessment”).</t>
    </r>
  </si>
  <si>
    <r>
      <t xml:space="preserve">b      </t>
    </r>
    <r>
      <rPr>
        <sz val="11"/>
        <color theme="1"/>
        <rFont val="Arial"/>
        <family val="2"/>
      </rPr>
      <t>Click the Filter button.</t>
    </r>
  </si>
  <si>
    <r>
      <t xml:space="preserve">c      </t>
    </r>
    <r>
      <rPr>
        <sz val="11"/>
        <color theme="1"/>
        <rFont val="Arial"/>
        <family val="2"/>
      </rPr>
      <t>Select both “Group 1” and “Group 2” for the Implementation Group filter and click Filter.</t>
    </r>
  </si>
  <si>
    <r>
      <t xml:space="preserve">d      </t>
    </r>
    <r>
      <rPr>
        <sz val="11"/>
        <color theme="1"/>
        <rFont val="Arial"/>
        <family val="2"/>
      </rPr>
      <t>Select the checkbox next to each blue Safeguard.</t>
    </r>
  </si>
  <si>
    <r>
      <t xml:space="preserve">e      </t>
    </r>
    <r>
      <rPr>
        <sz val="11"/>
        <color theme="1"/>
        <rFont val="Arial"/>
        <family val="2"/>
      </rPr>
      <t>Select “Un-Assign the control” from the Bulk Action option dropdown and click the “Save” button next to the dropdown. Please note: If any of the selected Safeguards were assigned, this will remove the assignee and the due date.</t>
    </r>
  </si>
  <si>
    <r>
      <t xml:space="preserve">f       </t>
    </r>
    <r>
      <rPr>
        <sz val="11"/>
        <color theme="1"/>
        <rFont val="Arial"/>
        <family val="2"/>
      </rPr>
      <t>Click the Download Report button to export the report.</t>
    </r>
  </si>
  <si>
    <r>
      <t xml:space="preserve">2   </t>
    </r>
    <r>
      <rPr>
        <sz val="11"/>
        <color theme="1"/>
        <rFont val="Arial"/>
        <family val="2"/>
      </rPr>
      <t>Copy your scores from the exported CIS-Hosted CSAT XLSX file to the CIS RAM for IG2 Workbook.</t>
    </r>
  </si>
  <si>
    <r>
      <t xml:space="preserve">a      </t>
    </r>
    <r>
      <rPr>
        <sz val="11"/>
        <color theme="1"/>
        <rFont val="Arial"/>
        <family val="2"/>
      </rPr>
      <t>In the CIS-Hosted CSAT XLSX file, copy the contents of columns E through H (labeled Policy Defined, Control Implemented, Control Automated, and Control Reported) excluding the heading row.</t>
    </r>
  </si>
  <si>
    <r>
      <t xml:space="preserve">b      </t>
    </r>
    <r>
      <rPr>
        <sz val="11"/>
        <color theme="1"/>
        <rFont val="Arial"/>
        <family val="2"/>
      </rPr>
      <t>Go to the “CIS-Hosted CSAT” tab in the CIS RAM for IG2 Workbook.</t>
    </r>
  </si>
  <si>
    <r>
      <t xml:space="preserve">c      </t>
    </r>
    <r>
      <rPr>
        <sz val="11"/>
        <color theme="1"/>
        <rFont val="Arial"/>
        <family val="2"/>
      </rPr>
      <t>Paste the copied data into the appropriate section of the “CIS-Hosted CSAT” tab.</t>
    </r>
  </si>
  <si>
    <r>
      <t xml:space="preserve">3   </t>
    </r>
    <r>
      <rPr>
        <sz val="11"/>
        <color theme="1"/>
        <rFont val="Arial"/>
        <family val="2"/>
      </rPr>
      <t>Once scores are final, go to the appropriate CIS RAM.</t>
    </r>
  </si>
  <si>
    <r>
      <t xml:space="preserve">a      </t>
    </r>
    <r>
      <rPr>
        <sz val="11"/>
        <color theme="1"/>
        <rFont val="Arial"/>
        <family val="2"/>
      </rPr>
      <t>Sort the Risk Register by ‘CIS Safeguard #,’ lowest to highest. (This is a critical step, as the Risk Register is sorted by ‘Asset Class’ by default, not ‘CIS Safeguard #.’)</t>
    </r>
  </si>
  <si>
    <r>
      <t xml:space="preserve">b      </t>
    </r>
    <r>
      <rPr>
        <sz val="11"/>
        <color theme="1"/>
        <rFont val="Arial"/>
        <family val="2"/>
      </rPr>
      <t>Copy the scores in the “CIS RAM Maturity Score Final” column into the “Safeguard Maturity Score” column of the appropriate CIS RAM.</t>
    </r>
  </si>
  <si>
    <r>
      <t xml:space="preserve">c      </t>
    </r>
    <r>
      <rPr>
        <sz val="11"/>
        <color theme="1"/>
        <rFont val="Arial"/>
        <family val="2"/>
      </rPr>
      <t>Right-click to copy and “Paste Special” as “Values” (e.g., 1,2,3).</t>
    </r>
  </si>
  <si>
    <r>
      <t xml:space="preserve">d      </t>
    </r>
    <r>
      <rPr>
        <sz val="11"/>
        <color theme="1"/>
        <rFont val="Arial"/>
        <family val="2"/>
      </rPr>
      <t>Re-sort the Risk Register by ‘Asset Class,’ A &gt; Z.</t>
    </r>
  </si>
  <si>
    <r>
      <t xml:space="preserve">i	</t>
    </r>
    <r>
      <rPr>
        <sz val="11"/>
        <rFont val="Arial"/>
        <family val="2"/>
      </rPr>
      <t>Check to see if any of these Safeguards are in the blue (Not Assessed) state. You can see this in the “#” column – there will be a colored circle in each row by the Safeguard number. Any Safeguards that have a blue circle there will not export; if you have any blue Safeguards and you want to continue these steps, one way to get them out of the blue state is to:</t>
    </r>
  </si>
  <si>
    <r>
      <t xml:space="preserve">1   </t>
    </r>
    <r>
      <rPr>
        <sz val="11"/>
        <color theme="1"/>
        <rFont val="Arial"/>
        <family val="2"/>
      </rPr>
      <t>In CIS CSAT Pro, filter on IG1 and IG2 and Export Filtered CSV.</t>
    </r>
  </si>
  <si>
    <r>
      <t xml:space="preserve">a      </t>
    </r>
    <r>
      <rPr>
        <sz val="11"/>
        <color theme="1"/>
        <rFont val="Arial"/>
        <family val="2"/>
      </rPr>
      <t>Go to the Assessment Summary page for the assessment of interest (this is reachable from the Assessment Summary tab at the top of the Assessment Dashboard for that assessment).</t>
    </r>
  </si>
  <si>
    <r>
      <t xml:space="preserve">c      </t>
    </r>
    <r>
      <rPr>
        <sz val="11"/>
        <color theme="1"/>
        <rFont val="Arial"/>
        <family val="2"/>
      </rPr>
      <t>Select “IG-1 &amp; IG-2” for the Implementation Group filter and click Search.</t>
    </r>
  </si>
  <si>
    <r>
      <t xml:space="preserve">d      </t>
    </r>
    <r>
      <rPr>
        <sz val="11"/>
        <color theme="1"/>
        <rFont val="Arial"/>
        <family val="2"/>
      </rPr>
      <t>Click the “Export Filtered CSV” button to export the report.</t>
    </r>
  </si>
  <si>
    <r>
      <t xml:space="preserve">2   </t>
    </r>
    <r>
      <rPr>
        <sz val="11"/>
        <color theme="1"/>
        <rFont val="Arial"/>
        <family val="2"/>
      </rPr>
      <t>Copy your scores from the exported CSAT Pro CSV file to the CIS RAM for IG2 Workbook.</t>
    </r>
  </si>
  <si>
    <r>
      <t xml:space="preserve">b      </t>
    </r>
    <r>
      <rPr>
        <sz val="11"/>
        <color theme="1"/>
        <rFont val="Arial"/>
        <family val="2"/>
      </rPr>
      <t>Go to the “CIS CSAT Pro” tab in the CIS RAM for IG2 Workbook.</t>
    </r>
  </si>
  <si>
    <r>
      <t xml:space="preserve">c      </t>
    </r>
    <r>
      <rPr>
        <sz val="11"/>
        <color theme="1"/>
        <rFont val="Arial"/>
        <family val="2"/>
      </rPr>
      <t>Find the appropriate section in the “CIS CSAT Pro” tab based on which CIS Controls version you are using.</t>
    </r>
  </si>
  <si>
    <r>
      <t xml:space="preserve">d      </t>
    </r>
    <r>
      <rPr>
        <sz val="11"/>
        <color theme="1"/>
        <rFont val="Arial"/>
        <family val="2"/>
      </rPr>
      <t>Paste the copied data into the appropriate section of the “CIS CSAT Pro” tab.</t>
    </r>
  </si>
  <si>
    <r>
      <t xml:space="preserve">3   </t>
    </r>
    <r>
      <rPr>
        <sz val="11"/>
        <color theme="1"/>
        <rFont val="Arial"/>
        <family val="2"/>
      </rPr>
      <t>Once scores are final, go to the appropriate CIS RAM tab.</t>
    </r>
  </si>
  <si>
    <r>
      <t xml:space="preserve">b.        </t>
    </r>
    <r>
      <rPr>
        <sz val="11"/>
        <color theme="1"/>
        <rFont val="Arial"/>
        <family val="2"/>
      </rPr>
      <t>Copy the scores in the “CIS RAM Maturity Score Final” column into the “Safeguard Maturity Score” column of the appropriate CIS RAM tab.</t>
    </r>
  </si>
  <si>
    <r>
      <t xml:space="preserve">c.        </t>
    </r>
    <r>
      <rPr>
        <sz val="11"/>
        <color theme="1"/>
        <rFont val="Arial"/>
        <family val="2"/>
      </rPr>
      <t>Right-click to copy and “Paste Special” as “Values” (e.g., 1,2,3).</t>
    </r>
  </si>
  <si>
    <r>
      <t xml:space="preserve">d.         </t>
    </r>
    <r>
      <rPr>
        <sz val="11"/>
        <color theme="1"/>
        <rFont val="Arial"/>
        <family val="2"/>
      </rPr>
      <t>Re-sort the Risk Register by ‘Asset Class,’ A &gt; Z.</t>
    </r>
  </si>
  <si>
    <t/>
  </si>
  <si>
    <t>The mission would remain intact.</t>
  </si>
  <si>
    <t>Growth plan would be intact.</t>
  </si>
  <si>
    <t>No harm could foreseeably result.</t>
  </si>
  <si>
    <t>This mission would not be perfectly achieved, but could be recovered within normal operations.</t>
  </si>
  <si>
    <t>Growth plan would be off target, but within variance.</t>
  </si>
  <si>
    <t>Any harm that could result would not require correction, repair, or compensation to make the harmed parties "whole."</t>
  </si>
  <si>
    <t>This mission would not be achieved, and would require short-term, unplanned efforts, resources, or investments to recover.</t>
  </si>
  <si>
    <t>Growth plan would be out of variance, but can be recovered within a fiscal year.</t>
  </si>
  <si>
    <t>Correctible harm may occur to one or few others.</t>
  </si>
  <si>
    <t>This mission would not be achieved. If significant, unplanned efforts, resources, or investments are not made, the mission may not ever be achievable.</t>
  </si>
  <si>
    <t>Growth plan would be out of variance, and may require multiple years to correct.</t>
  </si>
  <si>
    <t>Correctible harm may occur to many others, or harm that can be partially corrected for a few others may occur.</t>
  </si>
  <si>
    <t>The mission would not be achievable.</t>
  </si>
  <si>
    <t>We would not be able to grow.</t>
  </si>
  <si>
    <t>We would not be able to protect others from any degree of harm.</t>
  </si>
  <si>
    <t>What is the highest impact to the Mission, Operational Objectives, Financial Objectives, and Obligations that each Asset Type could cause?</t>
  </si>
  <si>
    <r>
      <t xml:space="preserve">a      </t>
    </r>
    <r>
      <rPr>
        <sz val="11"/>
        <color theme="1"/>
        <rFont val="Arial"/>
        <family val="2"/>
      </rPr>
      <t>In the CSAT Pro CSV file, copy the contents of column E (labeled “Sub-Control</t>
    </r>
    <r>
      <rPr>
        <b/>
        <sz val="11"/>
        <color theme="1"/>
        <rFont val="Arial"/>
        <family val="2"/>
      </rPr>
      <t xml:space="preserve"> </t>
    </r>
    <r>
      <rPr>
        <sz val="11"/>
        <color theme="1"/>
        <rFont val="Arial"/>
        <family val="2"/>
      </rPr>
      <t>Score”) excluding the heading row.</t>
    </r>
  </si>
  <si>
    <t>CIS Controls v8.1 is not currently available in CIS-Hosted CSAT; however, copying the data from a CSAT Controls v 8.0 assessment will still work for 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</si>
</sst>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quot;$&quot;#,##0"/>
    <numFmt numFmtId="166" formatCode="[$-F800]dddd\,\ mmmm\ dd\,\ yyyy"/>
  </numFmts>
  <fonts count="45">
    <font>
      <sz val="11"/>
      <color theme="1"/>
      <name val="Calibri"/>
      <family val="2"/>
      <scheme val="minor"/>
    </font>
    <font>
      <sz val="11"/>
      <color theme="1"/>
      <name val="Arial"/>
      <family val="2"/>
    </font>
    <font>
      <sz val="11"/>
      <color theme="1"/>
      <name val="Calibri"/>
      <family val="2"/>
      <scheme val="minor"/>
    </font>
    <font>
      <b/>
      <sz val="10"/>
      <color theme="0"/>
      <name val="Arial"/>
      <family val="2"/>
    </font>
    <font>
      <b/>
      <sz val="10"/>
      <color theme="1"/>
      <name val="Arial"/>
      <family val="2"/>
    </font>
    <font>
      <sz val="10"/>
      <color theme="1"/>
      <name val="Arial"/>
      <family val="2"/>
    </font>
    <font>
      <b/>
      <i/>
      <u/>
      <sz val="10"/>
      <color rgb="FF7030A0"/>
      <name val="Arial"/>
      <family val="2"/>
    </font>
    <font>
      <b/>
      <sz val="10"/>
      <color rgb="FF7030A0"/>
      <name val="Arial"/>
      <family val="2"/>
    </font>
    <font>
      <sz val="10"/>
      <color rgb="FF000000"/>
      <name val="Arial"/>
      <family val="2"/>
    </font>
    <font>
      <i/>
      <sz val="10"/>
      <color rgb="FF000000"/>
      <name val="Arial"/>
      <family val="2"/>
    </font>
    <font>
      <i/>
      <sz val="10"/>
      <name val="Arial"/>
      <family val="2"/>
    </font>
    <font>
      <b/>
      <i/>
      <u/>
      <sz val="10"/>
      <color rgb="FF000000"/>
      <name val="Arial"/>
      <family val="2"/>
    </font>
    <font>
      <b/>
      <sz val="11"/>
      <color theme="1"/>
      <name val="Arial"/>
      <family val="2"/>
    </font>
    <font>
      <sz val="11"/>
      <color theme="1"/>
      <name val="Arial"/>
      <family val="2"/>
    </font>
    <font>
      <b/>
      <sz val="12"/>
      <color theme="1"/>
      <name val="Arial"/>
      <family val="2"/>
    </font>
    <font>
      <b/>
      <i/>
      <sz val="10"/>
      <color theme="0"/>
      <name val="Arial"/>
      <family val="2"/>
    </font>
    <font>
      <sz val="12"/>
      <color theme="1"/>
      <name val="Arial"/>
      <family val="2"/>
    </font>
    <font>
      <i/>
      <sz val="10"/>
      <color theme="1"/>
      <name val="Arial"/>
      <family val="2"/>
    </font>
    <font>
      <b/>
      <sz val="36"/>
      <color theme="1"/>
      <name val="Arial"/>
      <family val="2"/>
    </font>
    <font>
      <b/>
      <sz val="22"/>
      <color theme="1"/>
      <name val="Arial"/>
      <family val="2"/>
    </font>
    <font>
      <sz val="20"/>
      <color theme="1"/>
      <name val="Arial"/>
      <family val="2"/>
    </font>
    <font>
      <b/>
      <sz val="12"/>
      <color rgb="FFFF0000"/>
      <name val="Arial"/>
      <family val="2"/>
    </font>
    <font>
      <sz val="11"/>
      <color rgb="FF1B2B38"/>
      <name val="Arial"/>
      <family val="2"/>
    </font>
    <font>
      <b/>
      <sz val="35"/>
      <color theme="1"/>
      <name val="Arial"/>
      <family val="2"/>
    </font>
    <font>
      <b/>
      <sz val="11"/>
      <color rgb="FFFF0000"/>
      <name val="Arial"/>
      <family val="2"/>
    </font>
    <font>
      <b/>
      <u/>
      <sz val="11"/>
      <color rgb="FFFF0000"/>
      <name val="Arial"/>
      <family val="2"/>
    </font>
    <font>
      <i/>
      <sz val="11"/>
      <color theme="1"/>
      <name val="Arial"/>
      <family val="2"/>
    </font>
    <font>
      <sz val="4"/>
      <color theme="1"/>
      <name val="Arial"/>
      <family val="2"/>
    </font>
    <font>
      <b/>
      <i/>
      <sz val="10"/>
      <color theme="1"/>
      <name val="Arial"/>
      <family val="2"/>
    </font>
    <font>
      <sz val="8"/>
      <color rgb="FF1B2B38"/>
      <name val="Arial"/>
      <family val="2"/>
    </font>
    <font>
      <sz val="8"/>
      <name val="Calibri"/>
      <family val="2"/>
      <scheme val="minor"/>
    </font>
    <font>
      <b/>
      <sz val="11"/>
      <color theme="0"/>
      <name val="Arial"/>
      <family val="2"/>
    </font>
    <font>
      <b/>
      <sz val="12"/>
      <color theme="0"/>
      <name val="Arial"/>
      <family val="2"/>
    </font>
    <font>
      <b/>
      <sz val="20"/>
      <color rgb="FFFF0000"/>
      <name val="Arial"/>
      <family val="2"/>
    </font>
    <font>
      <sz val="9"/>
      <color indexed="81"/>
      <name val="Tahoma"/>
      <family val="2"/>
    </font>
    <font>
      <b/>
      <sz val="25"/>
      <color rgb="FF0086BF"/>
      <name val="Arial"/>
      <family val="2"/>
    </font>
    <font>
      <sz val="15"/>
      <color theme="0"/>
      <name val="Arial"/>
      <family val="2"/>
    </font>
    <font>
      <sz val="12"/>
      <color theme="1"/>
      <name val="Calibri"/>
      <family val="2"/>
      <scheme val="minor"/>
    </font>
    <font>
      <u/>
      <sz val="12"/>
      <color theme="10"/>
      <name val="Calibri"/>
      <family val="2"/>
      <scheme val="minor"/>
    </font>
    <font>
      <u/>
      <sz val="11"/>
      <color theme="10"/>
      <name val="Calibri"/>
      <family val="2"/>
      <scheme val="minor"/>
    </font>
    <font>
      <u/>
      <sz val="11"/>
      <color theme="10"/>
      <name val="Arial"/>
      <family val="2"/>
    </font>
    <font>
      <sz val="11"/>
      <color rgb="FF0086BF"/>
      <name val="Arial"/>
      <family val="2"/>
    </font>
    <font>
      <vertAlign val="superscript"/>
      <sz val="15"/>
      <color theme="0"/>
      <name val="Arial"/>
      <family val="2"/>
    </font>
    <font>
      <b/>
      <sz val="11"/>
      <color rgb="FF0083C1"/>
      <name val="Arial"/>
      <family val="2"/>
    </font>
    <font>
      <sz val="11"/>
      <name val="Arial"/>
      <family val="2"/>
    </font>
  </fonts>
  <fills count="22">
    <fill>
      <patternFill patternType="none"/>
    </fill>
    <fill>
      <patternFill patternType="gray125"/>
    </fill>
    <fill>
      <patternFill patternType="solid">
        <fgColor theme="3"/>
        <bgColor indexed="64"/>
      </patternFill>
    </fill>
    <fill>
      <patternFill patternType="solid">
        <fgColor rgb="FF00B050"/>
        <bgColor indexed="64"/>
      </patternFill>
    </fill>
    <fill>
      <patternFill patternType="solid">
        <fgColor rgb="FF92D050"/>
        <bgColor indexed="64"/>
      </patternFill>
    </fill>
    <fill>
      <patternFill patternType="solid">
        <fgColor rgb="FF002060"/>
        <bgColor indexed="64"/>
      </patternFill>
    </fill>
    <fill>
      <patternFill patternType="solid">
        <fgColor rgb="FF7030A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A391F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4"/>
        <bgColor indexed="64"/>
      </patternFill>
    </fill>
    <fill>
      <patternFill patternType="solid">
        <fgColor theme="4" tint="0.59999389629810485"/>
        <bgColor theme="4" tint="0.59999389629810485"/>
      </patternFill>
    </fill>
    <fill>
      <patternFill patternType="solid">
        <fgColor theme="0"/>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DADCDE"/>
        <bgColor indexed="64"/>
      </patternFill>
    </fill>
    <fill>
      <patternFill patternType="solid">
        <fgColor rgb="FF0086BF"/>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left>
      <right style="thin">
        <color theme="0"/>
      </right>
      <top/>
      <bottom style="thick">
        <color theme="0"/>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ck">
        <color theme="0"/>
      </bottom>
      <diagonal/>
    </border>
    <border>
      <left/>
      <right/>
      <top style="medium">
        <color indexed="64"/>
      </top>
      <bottom style="thick">
        <color theme="0"/>
      </bottom>
      <diagonal/>
    </border>
    <border>
      <left/>
      <right style="medium">
        <color indexed="64"/>
      </right>
      <top style="medium">
        <color indexed="64"/>
      </top>
      <bottom style="thick">
        <color theme="0"/>
      </bottom>
      <diagonal/>
    </border>
    <border>
      <left style="medium">
        <color indexed="64"/>
      </left>
      <right style="thin">
        <color theme="0"/>
      </right>
      <top/>
      <bottom style="thick">
        <color theme="0"/>
      </bottom>
      <diagonal/>
    </border>
    <border>
      <left style="thin">
        <color theme="0"/>
      </left>
      <right style="medium">
        <color indexed="64"/>
      </right>
      <top/>
      <bottom style="thick">
        <color theme="0"/>
      </bottom>
      <diagonal/>
    </border>
    <border>
      <left style="medium">
        <color indexed="64"/>
      </left>
      <right style="thin">
        <color theme="0"/>
      </right>
      <top style="thin">
        <color theme="0"/>
      </top>
      <bottom style="thin">
        <color theme="0"/>
      </bottom>
      <diagonal/>
    </border>
    <border>
      <left style="medium">
        <color indexed="64"/>
      </left>
      <right style="medium">
        <color indexed="64"/>
      </right>
      <top style="thick">
        <color theme="0"/>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thin">
        <color theme="0"/>
      </right>
      <top style="thin">
        <color theme="0"/>
      </top>
      <bottom style="medium">
        <color indexed="64"/>
      </bottom>
      <diagonal/>
    </border>
    <border>
      <left style="medium">
        <color indexed="64"/>
      </left>
      <right style="medium">
        <color indexed="64"/>
      </right>
      <top style="thin">
        <color theme="0"/>
      </top>
      <bottom style="medium">
        <color indexed="64"/>
      </bottom>
      <diagonal/>
    </border>
    <border>
      <left style="thick">
        <color indexed="64"/>
      </left>
      <right style="thin">
        <color indexed="64"/>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thin">
        <color indexed="64"/>
      </left>
      <right style="thick">
        <color indexed="64"/>
      </right>
      <top style="thick">
        <color indexed="64"/>
      </top>
      <bottom style="medium">
        <color indexed="64"/>
      </bottom>
      <diagonal/>
    </border>
    <border>
      <left style="thick">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top/>
      <bottom style="thick">
        <color theme="0"/>
      </bottom>
      <diagonal/>
    </border>
    <border>
      <left style="medium">
        <color theme="0"/>
      </left>
      <right/>
      <top/>
      <bottom style="thick">
        <color theme="0"/>
      </bottom>
      <diagonal/>
    </border>
    <border>
      <left style="medium">
        <color theme="0"/>
      </left>
      <right style="thin">
        <color theme="0"/>
      </right>
      <top/>
      <bottom style="thick">
        <color theme="0"/>
      </bottom>
      <diagonal/>
    </border>
    <border>
      <left style="medium">
        <color indexed="64"/>
      </left>
      <right style="medium">
        <color theme="0"/>
      </right>
      <top/>
      <bottom style="thick">
        <color theme="0"/>
      </bottom>
      <diagonal/>
    </border>
    <border>
      <left style="medium">
        <color indexed="64"/>
      </left>
      <right style="thin">
        <color theme="0"/>
      </right>
      <top style="thick">
        <color theme="0"/>
      </top>
      <bottom style="thin">
        <color theme="0"/>
      </bottom>
      <diagonal/>
    </border>
    <border>
      <left style="medium">
        <color theme="0"/>
      </left>
      <right/>
      <top style="medium">
        <color indexed="64"/>
      </top>
      <bottom style="thick">
        <color theme="0"/>
      </bottom>
      <diagonal/>
    </border>
    <border>
      <left/>
      <right style="medium">
        <color theme="0"/>
      </right>
      <top style="medium">
        <color indexed="64"/>
      </top>
      <bottom style="thick">
        <color theme="0"/>
      </bottom>
      <diagonal/>
    </border>
    <border>
      <left style="medium">
        <color theme="0"/>
      </left>
      <right/>
      <top style="medium">
        <color indexed="64"/>
      </top>
      <bottom/>
      <diagonal/>
    </border>
    <border>
      <left style="medium">
        <color theme="0"/>
      </left>
      <right style="medium">
        <color indexed="64"/>
      </right>
      <top style="medium">
        <color indexed="64"/>
      </top>
      <bottom/>
      <diagonal/>
    </border>
    <border>
      <left style="medium">
        <color theme="0"/>
      </left>
      <right style="medium">
        <color indexed="64"/>
      </right>
      <top/>
      <bottom style="thick">
        <color theme="0"/>
      </bottom>
      <diagonal/>
    </border>
    <border>
      <left/>
      <right style="thin">
        <color theme="4" tint="0.39997558519241921"/>
      </right>
      <top style="thin">
        <color theme="4" tint="0.39997558519241921"/>
      </top>
      <bottom style="thin">
        <color theme="4" tint="0.39997558519241921"/>
      </bottom>
      <diagonal/>
    </border>
    <border>
      <left/>
      <right style="thin">
        <color indexed="64"/>
      </right>
      <top/>
      <bottom style="thin">
        <color indexed="64"/>
      </bottom>
      <diagonal/>
    </border>
    <border>
      <left style="thin">
        <color indexed="64"/>
      </left>
      <right/>
      <top/>
      <bottom style="thin">
        <color indexed="64"/>
      </bottom>
      <diagonal/>
    </border>
    <border>
      <left style="thin">
        <color theme="1"/>
      </left>
      <right style="thin">
        <color theme="1"/>
      </right>
      <top/>
      <bottom style="thin">
        <color theme="1"/>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style="medium">
        <color indexed="64"/>
      </top>
      <bottom style="thin">
        <color theme="0"/>
      </bottom>
      <diagonal/>
    </border>
    <border>
      <left/>
      <right/>
      <top style="thin">
        <color theme="0"/>
      </top>
      <bottom style="thin">
        <color theme="0"/>
      </bottom>
      <diagonal/>
    </border>
    <border>
      <left/>
      <right/>
      <top style="thin">
        <color theme="0"/>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ck">
        <color indexed="64"/>
      </left>
      <right/>
      <top/>
      <bottom/>
      <diagonal/>
    </border>
  </borders>
  <cellStyleXfs count="6">
    <xf numFmtId="0" fontId="0" fillId="0" borderId="0"/>
    <xf numFmtId="9" fontId="2" fillId="0" borderId="0" applyFont="0" applyFill="0" applyBorder="0" applyAlignment="0" applyProtection="0"/>
    <xf numFmtId="44" fontId="2" fillId="0" borderId="0" applyFont="0" applyFill="0" applyBorder="0" applyAlignment="0" applyProtection="0"/>
    <xf numFmtId="0" fontId="37" fillId="0" borderId="0"/>
    <xf numFmtId="0" fontId="38" fillId="0" borderId="0" applyNumberFormat="0" applyFill="0" applyBorder="0" applyAlignment="0" applyProtection="0"/>
    <xf numFmtId="0" fontId="39" fillId="0" borderId="0" applyNumberFormat="0" applyFill="0" applyBorder="0" applyAlignment="0" applyProtection="0"/>
  </cellStyleXfs>
  <cellXfs count="328">
    <xf numFmtId="0" fontId="0" fillId="0" borderId="0" xfId="0"/>
    <xf numFmtId="0" fontId="4" fillId="7" borderId="1" xfId="0" applyFont="1" applyFill="1" applyBorder="1" applyAlignment="1">
      <alignment horizontal="left" vertical="center"/>
    </xf>
    <xf numFmtId="0" fontId="5" fillId="0" borderId="0" xfId="0" applyFont="1"/>
    <xf numFmtId="0" fontId="5" fillId="5" borderId="0" xfId="0" applyFont="1" applyFill="1" applyAlignment="1">
      <alignment horizontal="center" vertical="center"/>
    </xf>
    <xf numFmtId="0" fontId="5" fillId="5" borderId="0" xfId="0" applyFont="1" applyFill="1" applyAlignment="1">
      <alignment horizontal="left" vertical="center" wrapText="1"/>
    </xf>
    <xf numFmtId="0" fontId="4" fillId="6" borderId="0" xfId="0" applyFont="1" applyFill="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center"/>
    </xf>
    <xf numFmtId="0" fontId="4" fillId="3"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wrapText="1"/>
    </xf>
    <xf numFmtId="0" fontId="5" fillId="5" borderId="0" xfId="0" applyFont="1" applyFill="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8" fillId="0" borderId="0" xfId="0" applyFont="1" applyAlignment="1" applyProtection="1">
      <alignment horizontal="left" vertical="center" wrapText="1"/>
      <protection locked="0"/>
    </xf>
    <xf numFmtId="1" fontId="6" fillId="0" borderId="0" xfId="0" applyNumberFormat="1" applyFont="1" applyAlignment="1" applyProtection="1">
      <alignment horizontal="center" vertical="center" wrapText="1"/>
      <protection locked="0"/>
    </xf>
    <xf numFmtId="164" fontId="8" fillId="0" borderId="0" xfId="2" applyNumberFormat="1" applyFont="1" applyFill="1" applyAlignment="1" applyProtection="1">
      <alignment horizontal="center" vertical="center" wrapText="1"/>
      <protection locked="0"/>
    </xf>
    <xf numFmtId="1" fontId="8" fillId="0" borderId="0" xfId="0" applyNumberFormat="1" applyFont="1" applyAlignment="1" applyProtection="1">
      <alignment horizontal="center" vertical="center" wrapText="1"/>
      <protection locked="0"/>
    </xf>
    <xf numFmtId="44" fontId="5" fillId="0" borderId="0" xfId="2" applyFont="1" applyAlignment="1">
      <alignment horizontal="right" vertical="center"/>
    </xf>
    <xf numFmtId="0" fontId="5" fillId="5" borderId="0" xfId="0" applyFont="1" applyFill="1"/>
    <xf numFmtId="0" fontId="5" fillId="0" borderId="0" xfId="0" applyFont="1" applyAlignment="1">
      <alignment horizontal="center" vertical="center" wrapText="1"/>
    </xf>
    <xf numFmtId="0" fontId="4" fillId="8" borderId="1" xfId="0" applyFont="1" applyFill="1" applyBorder="1" applyAlignment="1">
      <alignment horizontal="left"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3" fillId="9" borderId="1" xfId="0" applyFont="1" applyFill="1" applyBorder="1" applyAlignment="1">
      <alignment horizontal="center" vertical="center" wrapText="1"/>
    </xf>
    <xf numFmtId="1" fontId="11" fillId="0" borderId="0" xfId="0" applyNumberFormat="1" applyFont="1" applyAlignment="1" applyProtection="1">
      <alignment horizontal="left" vertical="center" wrapText="1"/>
      <protection locked="0"/>
    </xf>
    <xf numFmtId="0" fontId="3" fillId="3" borderId="1" xfId="0" applyFont="1" applyFill="1" applyBorder="1" applyAlignment="1">
      <alignment horizontal="center" vertical="center" wrapText="1"/>
    </xf>
    <xf numFmtId="0" fontId="13" fillId="0" borderId="0" xfId="0" applyFont="1"/>
    <xf numFmtId="0" fontId="3" fillId="6"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4" fillId="0" borderId="1" xfId="0" applyFont="1" applyBorder="1" applyAlignment="1">
      <alignment horizontal="left" vertical="center"/>
    </xf>
    <xf numFmtId="0" fontId="5" fillId="0" borderId="0" xfId="0" applyFont="1" applyAlignment="1">
      <alignment horizontal="center" wrapText="1"/>
    </xf>
    <xf numFmtId="0" fontId="15" fillId="6" borderId="0" xfId="0" applyFont="1" applyFill="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wrapText="1"/>
    </xf>
    <xf numFmtId="0" fontId="16" fillId="0" borderId="0" xfId="0" applyFont="1"/>
    <xf numFmtId="0" fontId="4" fillId="7" borderId="13" xfId="0" applyFont="1" applyFill="1" applyBorder="1" applyAlignment="1">
      <alignment horizontal="left" vertical="center"/>
    </xf>
    <xf numFmtId="0" fontId="4" fillId="7" borderId="14" xfId="0" applyFont="1" applyFill="1" applyBorder="1" applyAlignment="1">
      <alignment horizontal="center" vertical="center"/>
    </xf>
    <xf numFmtId="0" fontId="14" fillId="8" borderId="1" xfId="0" applyFont="1" applyFill="1" applyBorder="1" applyAlignment="1">
      <alignment vertical="center"/>
    </xf>
    <xf numFmtId="0" fontId="16" fillId="0" borderId="0" xfId="0" applyFont="1" applyAlignment="1">
      <alignment horizontal="left" vertical="center"/>
    </xf>
    <xf numFmtId="0" fontId="3" fillId="9" borderId="16" xfId="0" applyFont="1" applyFill="1" applyBorder="1" applyAlignment="1">
      <alignment horizontal="center" vertical="center" wrapText="1"/>
    </xf>
    <xf numFmtId="0" fontId="5" fillId="0" borderId="0" xfId="0" applyFont="1" applyProtection="1">
      <protection locked="0"/>
    </xf>
    <xf numFmtId="0" fontId="19" fillId="8" borderId="17" xfId="0" applyFont="1" applyFill="1" applyBorder="1" applyAlignment="1" applyProtection="1">
      <alignment horizontal="center" vertical="center" wrapText="1"/>
      <protection locked="0"/>
    </xf>
    <xf numFmtId="0" fontId="20" fillId="0" borderId="0" xfId="0" applyFont="1" applyAlignment="1" applyProtection="1">
      <alignment wrapText="1"/>
      <protection locked="0"/>
    </xf>
    <xf numFmtId="0" fontId="5" fillId="0" borderId="0" xfId="0" applyFont="1" applyAlignment="1" applyProtection="1">
      <alignment wrapText="1"/>
      <protection locked="0"/>
    </xf>
    <xf numFmtId="0" fontId="5" fillId="0" borderId="0" xfId="0" applyFont="1" applyAlignment="1" applyProtection="1">
      <alignment horizontal="center" wrapText="1"/>
      <protection locked="0"/>
    </xf>
    <xf numFmtId="0" fontId="5" fillId="0" borderId="0" xfId="0" applyFont="1"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3" fillId="10" borderId="26" xfId="0" applyFont="1" applyFill="1" applyBorder="1" applyAlignment="1" applyProtection="1">
      <alignment horizontal="center" vertical="center" wrapText="1"/>
      <protection locked="0"/>
    </xf>
    <xf numFmtId="0" fontId="3" fillId="10" borderId="15" xfId="0" applyFont="1" applyFill="1" applyBorder="1" applyAlignment="1" applyProtection="1">
      <alignment horizontal="center" vertical="center" wrapText="1"/>
      <protection locked="0"/>
    </xf>
    <xf numFmtId="0" fontId="3" fillId="10" borderId="27" xfId="0" applyFont="1" applyFill="1" applyBorder="1" applyAlignment="1" applyProtection="1">
      <alignment horizontal="center" vertical="center" wrapText="1"/>
      <protection locked="0"/>
    </xf>
    <xf numFmtId="0" fontId="4" fillId="0" borderId="0" xfId="0" applyFont="1" applyAlignment="1" applyProtection="1">
      <alignment horizontal="center" vertical="center"/>
      <protection locked="0"/>
    </xf>
    <xf numFmtId="0" fontId="5" fillId="0" borderId="0" xfId="0" applyFont="1" applyAlignment="1" applyProtection="1">
      <alignment horizontal="left" vertical="center"/>
      <protection locked="0"/>
    </xf>
    <xf numFmtId="0" fontId="8" fillId="14" borderId="28" xfId="0" applyFont="1" applyFill="1" applyBorder="1" applyAlignment="1" applyProtection="1">
      <alignment horizontal="center" vertical="center" wrapText="1"/>
      <protection locked="0"/>
    </xf>
    <xf numFmtId="0" fontId="8" fillId="14" borderId="28" xfId="0" applyFont="1" applyFill="1" applyBorder="1" applyAlignment="1">
      <alignment horizontal="center" vertical="center" wrapText="1"/>
    </xf>
    <xf numFmtId="0" fontId="8" fillId="14" borderId="29" xfId="0" applyFont="1" applyFill="1" applyBorder="1" applyAlignment="1" applyProtection="1">
      <alignment horizontal="center" vertical="center" wrapText="1"/>
      <protection locked="0"/>
    </xf>
    <xf numFmtId="0" fontId="8" fillId="11" borderId="28" xfId="0" applyFont="1" applyFill="1" applyBorder="1" applyAlignment="1" applyProtection="1">
      <alignment horizontal="center" vertical="center" wrapText="1"/>
      <protection locked="0"/>
    </xf>
    <xf numFmtId="0" fontId="8" fillId="11" borderId="28" xfId="0" applyFont="1" applyFill="1" applyBorder="1" applyAlignment="1">
      <alignment horizontal="center" vertical="center" wrapText="1"/>
    </xf>
    <xf numFmtId="0" fontId="8" fillId="11" borderId="30" xfId="0" applyFont="1" applyFill="1" applyBorder="1" applyAlignment="1" applyProtection="1">
      <alignment horizontal="center" vertical="center" wrapText="1"/>
      <protection locked="0"/>
    </xf>
    <xf numFmtId="0" fontId="8" fillId="14" borderId="30" xfId="0" applyFont="1" applyFill="1" applyBorder="1" applyAlignment="1" applyProtection="1">
      <alignment horizontal="center" vertical="center" wrapText="1"/>
      <protection locked="0"/>
    </xf>
    <xf numFmtId="0" fontId="8" fillId="14" borderId="32" xfId="0" applyFont="1" applyFill="1" applyBorder="1" applyAlignment="1" applyProtection="1">
      <alignment horizontal="center" vertical="center" wrapText="1"/>
      <protection locked="0"/>
    </xf>
    <xf numFmtId="0" fontId="8" fillId="11" borderId="31" xfId="0" applyFont="1" applyFill="1" applyBorder="1" applyAlignment="1" applyProtection="1">
      <alignment horizontal="center" vertical="center" wrapText="1"/>
      <protection locked="0"/>
    </xf>
    <xf numFmtId="0" fontId="8" fillId="11" borderId="31" xfId="0" applyFont="1" applyFill="1" applyBorder="1" applyAlignment="1">
      <alignment horizontal="center" vertical="center" wrapText="1"/>
    </xf>
    <xf numFmtId="0" fontId="8" fillId="11" borderId="32" xfId="0" applyFont="1" applyFill="1" applyBorder="1" applyAlignment="1" applyProtection="1">
      <alignment horizontal="center" vertical="center" wrapText="1"/>
      <protection locked="0"/>
    </xf>
    <xf numFmtId="0" fontId="4" fillId="7" borderId="33" xfId="0" applyFont="1" applyFill="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4" fillId="7" borderId="36" xfId="0" applyFont="1" applyFill="1" applyBorder="1" applyAlignment="1">
      <alignment horizontal="center" vertical="center" wrapText="1"/>
    </xf>
    <xf numFmtId="0" fontId="4" fillId="7" borderId="37" xfId="0" applyFont="1" applyFill="1" applyBorder="1" applyAlignment="1">
      <alignment horizontal="center" vertical="center" wrapText="1"/>
    </xf>
    <xf numFmtId="0" fontId="5" fillId="0" borderId="38" xfId="0" applyFont="1" applyBorder="1" applyAlignment="1">
      <alignment vertical="center" wrapText="1"/>
    </xf>
    <xf numFmtId="0" fontId="5" fillId="0" borderId="39" xfId="0" applyFont="1" applyBorder="1" applyAlignment="1">
      <alignment vertical="center" wrapText="1"/>
    </xf>
    <xf numFmtId="0" fontId="4" fillId="7" borderId="40" xfId="0" applyFont="1" applyFill="1" applyBorder="1" applyAlignment="1">
      <alignment horizontal="center" vertical="center" wrapText="1"/>
    </xf>
    <xf numFmtId="0" fontId="4" fillId="7" borderId="41" xfId="0" applyFont="1" applyFill="1" applyBorder="1" applyAlignment="1">
      <alignment horizontal="center" vertical="center" wrapText="1"/>
    </xf>
    <xf numFmtId="0" fontId="5" fillId="0" borderId="42" xfId="0" applyFont="1" applyBorder="1" applyAlignment="1">
      <alignment vertical="center" wrapText="1"/>
    </xf>
    <xf numFmtId="0" fontId="4" fillId="7" borderId="43" xfId="0" applyFont="1" applyFill="1" applyBorder="1" applyAlignment="1">
      <alignment horizontal="center" vertical="center" wrapText="1"/>
    </xf>
    <xf numFmtId="0" fontId="4" fillId="7" borderId="44" xfId="0" applyFont="1" applyFill="1" applyBorder="1" applyAlignment="1">
      <alignment horizontal="center" vertical="center" wrapText="1"/>
    </xf>
    <xf numFmtId="0" fontId="5" fillId="0" borderId="45" xfId="0" applyFont="1" applyBorder="1" applyAlignment="1">
      <alignment vertical="center" wrapText="1"/>
    </xf>
    <xf numFmtId="0" fontId="5" fillId="0" borderId="46" xfId="0" applyFont="1" applyBorder="1" applyAlignment="1">
      <alignment vertical="center" wrapText="1"/>
    </xf>
    <xf numFmtId="0" fontId="4" fillId="7" borderId="47" xfId="0" applyFont="1" applyFill="1" applyBorder="1" applyAlignment="1">
      <alignment horizontal="center" vertical="center" wrapText="1"/>
    </xf>
    <xf numFmtId="0" fontId="5" fillId="0" borderId="0" xfId="0" applyFont="1" applyAlignment="1" applyProtection="1">
      <alignment vertical="center"/>
      <protection locked="0"/>
    </xf>
    <xf numFmtId="0" fontId="3" fillId="10" borderId="50" xfId="0" applyFont="1" applyFill="1" applyBorder="1" applyAlignment="1" applyProtection="1">
      <alignment horizontal="center" vertical="center" wrapText="1"/>
      <protection locked="0"/>
    </xf>
    <xf numFmtId="0" fontId="3" fillId="10" borderId="51" xfId="0" applyFont="1" applyFill="1" applyBorder="1" applyAlignment="1" applyProtection="1">
      <alignment horizontal="center" vertical="center" wrapText="1"/>
      <protection locked="0"/>
    </xf>
    <xf numFmtId="0" fontId="8" fillId="14" borderId="52" xfId="0" applyFont="1" applyFill="1" applyBorder="1" applyAlignment="1" applyProtection="1">
      <alignment horizontal="center" vertical="center" wrapText="1"/>
      <protection locked="0"/>
    </xf>
    <xf numFmtId="0" fontId="8" fillId="14" borderId="52" xfId="0" applyFont="1" applyFill="1" applyBorder="1" applyAlignment="1">
      <alignment horizontal="center" vertical="center" wrapText="1"/>
    </xf>
    <xf numFmtId="0" fontId="0" fillId="0" borderId="0" xfId="0" applyAlignment="1">
      <alignment wrapText="1"/>
    </xf>
    <xf numFmtId="0" fontId="8" fillId="0" borderId="0" xfId="0" applyFont="1" applyAlignment="1" applyProtection="1">
      <alignment horizontal="center" vertical="center" wrapText="1"/>
      <protection locked="0"/>
    </xf>
    <xf numFmtId="0" fontId="8" fillId="14" borderId="29"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4" borderId="30" xfId="0" applyFont="1" applyFill="1" applyBorder="1" applyAlignment="1">
      <alignment horizontal="center" vertical="center" wrapText="1"/>
    </xf>
    <xf numFmtId="2" fontId="8" fillId="11" borderId="28" xfId="0" applyNumberFormat="1" applyFont="1" applyFill="1" applyBorder="1" applyAlignment="1">
      <alignment horizontal="center" vertical="center" wrapText="1"/>
    </xf>
    <xf numFmtId="0" fontId="26" fillId="0" borderId="0" xfId="0" applyFont="1" applyAlignment="1">
      <alignment horizontal="left" vertical="center" wrapText="1"/>
    </xf>
    <xf numFmtId="0" fontId="27" fillId="12" borderId="0" xfId="0" applyFont="1" applyFill="1" applyAlignment="1">
      <alignment horizontal="left" vertical="center" wrapText="1"/>
    </xf>
    <xf numFmtId="0" fontId="27" fillId="0" borderId="0" xfId="0" applyFont="1"/>
    <xf numFmtId="0" fontId="5" fillId="0" borderId="0" xfId="0" applyFont="1" applyAlignment="1">
      <alignment horizontal="center"/>
    </xf>
    <xf numFmtId="0" fontId="13" fillId="0" borderId="0" xfId="0" applyFont="1" applyAlignment="1">
      <alignment vertical="center"/>
    </xf>
    <xf numFmtId="0" fontId="12" fillId="0" borderId="0" xfId="0" applyFont="1" applyAlignment="1">
      <alignment horizontal="left" vertical="center" wrapText="1"/>
    </xf>
    <xf numFmtId="0" fontId="27" fillId="0" borderId="0" xfId="0" applyFont="1" applyAlignment="1">
      <alignment vertical="center"/>
    </xf>
    <xf numFmtId="2" fontId="8" fillId="0" borderId="0" xfId="0" applyNumberFormat="1" applyFont="1" applyAlignment="1">
      <alignment horizontal="center" vertical="center" wrapText="1"/>
    </xf>
    <xf numFmtId="2" fontId="8" fillId="14" borderId="28" xfId="0" applyNumberFormat="1" applyFont="1" applyFill="1" applyBorder="1" applyAlignment="1">
      <alignment horizontal="center" vertical="center" wrapText="1"/>
    </xf>
    <xf numFmtId="15" fontId="5" fillId="0" borderId="0" xfId="0" applyNumberFormat="1" applyFont="1" applyAlignment="1" applyProtection="1">
      <alignment horizontal="left" vertical="center"/>
      <protection locked="0"/>
    </xf>
    <xf numFmtId="0" fontId="5" fillId="12" borderId="0" xfId="0" applyFont="1" applyFill="1" applyAlignment="1">
      <alignment horizontal="left" vertical="center"/>
    </xf>
    <xf numFmtId="0" fontId="5" fillId="12" borderId="0" xfId="0" applyFont="1" applyFill="1" applyAlignment="1">
      <alignment horizontal="left" vertical="center" wrapText="1"/>
    </xf>
    <xf numFmtId="0" fontId="29" fillId="0" borderId="0" xfId="0" applyFont="1" applyAlignment="1">
      <alignment vertical="center" wrapText="1"/>
    </xf>
    <xf numFmtId="0" fontId="17" fillId="8" borderId="1" xfId="0" applyFont="1" applyFill="1" applyBorder="1" applyAlignment="1">
      <alignment vertical="center" wrapText="1"/>
    </xf>
    <xf numFmtId="0" fontId="5" fillId="0" borderId="1" xfId="0" applyFont="1" applyBorder="1" applyAlignment="1" applyProtection="1">
      <alignment vertical="center" wrapText="1"/>
      <protection locked="0"/>
    </xf>
    <xf numFmtId="0" fontId="5" fillId="0" borderId="6" xfId="0" applyFont="1" applyBorder="1" applyAlignment="1" applyProtection="1">
      <alignment horizontal="center" vertical="center"/>
      <protection locked="0"/>
    </xf>
    <xf numFmtId="0" fontId="5" fillId="0" borderId="10" xfId="0" applyFont="1" applyBorder="1" applyAlignment="1" applyProtection="1">
      <alignment horizontal="center"/>
      <protection locked="0"/>
    </xf>
    <xf numFmtId="0" fontId="9" fillId="0" borderId="0" xfId="0" applyFont="1" applyAlignment="1" applyProtection="1">
      <alignment horizontal="center" vertical="center" wrapText="1"/>
      <protection locked="0"/>
    </xf>
    <xf numFmtId="1" fontId="6" fillId="0" borderId="0" xfId="0" applyNumberFormat="1" applyFont="1" applyAlignment="1">
      <alignment horizontal="center" vertical="center" wrapText="1"/>
    </xf>
    <xf numFmtId="0" fontId="3" fillId="2" borderId="1" xfId="0" applyFont="1" applyFill="1" applyBorder="1" applyAlignment="1">
      <alignment horizontal="left" vertical="center"/>
    </xf>
    <xf numFmtId="14" fontId="5" fillId="0" borderId="0" xfId="0" applyNumberFormat="1" applyFont="1" applyAlignment="1">
      <alignment horizontal="left" vertical="center"/>
    </xf>
    <xf numFmtId="9" fontId="5" fillId="0" borderId="0" xfId="1" applyFont="1" applyAlignment="1" applyProtection="1">
      <alignment horizontal="center" vertical="center"/>
    </xf>
    <xf numFmtId="9" fontId="5" fillId="0" borderId="0" xfId="1" applyFont="1" applyFill="1" applyAlignment="1" applyProtection="1">
      <alignment horizontal="center" vertical="center"/>
    </xf>
    <xf numFmtId="0" fontId="4" fillId="9" borderId="0" xfId="0" applyFont="1" applyFill="1" applyAlignment="1">
      <alignment horizontal="center" vertical="center" wrapText="1"/>
    </xf>
    <xf numFmtId="0" fontId="5" fillId="0" borderId="1" xfId="0" applyFont="1" applyBorder="1" applyAlignment="1" applyProtection="1">
      <alignment horizontal="left" vertical="center"/>
      <protection locked="0"/>
    </xf>
    <xf numFmtId="15" fontId="5" fillId="0" borderId="1" xfId="0" applyNumberFormat="1" applyFont="1" applyBorder="1" applyAlignment="1" applyProtection="1">
      <alignment horizontal="left" vertical="center"/>
      <protection locked="0"/>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3" fillId="10" borderId="23" xfId="0" applyFont="1" applyFill="1" applyBorder="1" applyAlignment="1" applyProtection="1">
      <alignment horizontal="center" vertical="center" wrapText="1"/>
      <protection locked="0"/>
    </xf>
    <xf numFmtId="0" fontId="3" fillId="10" borderId="48" xfId="0" applyFont="1" applyFill="1" applyBorder="1" applyAlignment="1" applyProtection="1">
      <alignment horizontal="center" vertical="center" wrapText="1"/>
      <protection locked="0"/>
    </xf>
    <xf numFmtId="0" fontId="31" fillId="5" borderId="5" xfId="0" applyFont="1" applyFill="1" applyBorder="1" applyAlignment="1">
      <alignment horizontal="center" vertical="center" wrapText="1"/>
    </xf>
    <xf numFmtId="0" fontId="5" fillId="0" borderId="16" xfId="0" applyFont="1" applyBorder="1" applyAlignment="1">
      <alignment horizontal="left" vertical="center" wrapText="1"/>
    </xf>
    <xf numFmtId="0" fontId="32" fillId="10" borderId="15" xfId="0" applyFont="1" applyFill="1" applyBorder="1" applyAlignment="1">
      <alignment horizontal="center" vertical="center" wrapText="1"/>
    </xf>
    <xf numFmtId="0" fontId="1" fillId="0" borderId="0" xfId="0" applyFont="1" applyAlignment="1">
      <alignment vertical="center"/>
    </xf>
    <xf numFmtId="0" fontId="1" fillId="0" borderId="0" xfId="0" applyFont="1" applyAlignment="1">
      <alignment horizontal="left" vertical="center" wrapText="1"/>
    </xf>
    <xf numFmtId="0" fontId="1" fillId="5" borderId="0" xfId="0" applyFont="1" applyFill="1" applyAlignment="1">
      <alignment horizontal="center" vertical="center" wrapText="1"/>
    </xf>
    <xf numFmtId="0" fontId="17" fillId="8" borderId="1" xfId="0" applyFont="1" applyFill="1" applyBorder="1" applyAlignment="1">
      <alignment horizontal="left" vertical="center" wrapText="1"/>
    </xf>
    <xf numFmtId="0" fontId="5" fillId="0" borderId="1" xfId="0" applyFont="1" applyBorder="1" applyAlignment="1" applyProtection="1">
      <alignment horizontal="left" vertical="center" wrapText="1"/>
      <protection locked="0"/>
    </xf>
    <xf numFmtId="0" fontId="32" fillId="9" borderId="1" xfId="0" applyFont="1" applyFill="1" applyBorder="1" applyAlignment="1">
      <alignment horizontal="center" vertical="center" wrapText="1"/>
    </xf>
    <xf numFmtId="165" fontId="5" fillId="7" borderId="1" xfId="0" applyNumberFormat="1" applyFont="1" applyFill="1" applyBorder="1" applyAlignment="1">
      <alignment horizontal="left" vertical="center" wrapText="1"/>
    </xf>
    <xf numFmtId="0" fontId="31" fillId="5" borderId="58" xfId="0" applyFont="1" applyFill="1" applyBorder="1" applyAlignment="1">
      <alignment horizontal="center" vertical="center" wrapText="1"/>
    </xf>
    <xf numFmtId="0" fontId="12" fillId="7" borderId="1" xfId="0" applyFont="1" applyFill="1" applyBorder="1" applyAlignment="1">
      <alignment horizontal="left" vertical="center"/>
    </xf>
    <xf numFmtId="49" fontId="5" fillId="0" borderId="1" xfId="0" applyNumberFormat="1" applyFont="1" applyBorder="1" applyAlignment="1" applyProtection="1">
      <alignment vertical="center"/>
      <protection locked="0"/>
    </xf>
    <xf numFmtId="0" fontId="5" fillId="0" borderId="1" xfId="0" applyFont="1" applyBorder="1" applyAlignment="1" applyProtection="1">
      <alignment vertical="center"/>
      <protection locked="0"/>
    </xf>
    <xf numFmtId="15" fontId="5" fillId="0" borderId="1" xfId="0" applyNumberFormat="1" applyFont="1" applyBorder="1" applyAlignment="1" applyProtection="1">
      <alignment vertical="center"/>
      <protection locked="0"/>
    </xf>
    <xf numFmtId="0" fontId="14" fillId="8" borderId="1" xfId="0" applyFont="1" applyFill="1" applyBorder="1" applyAlignment="1">
      <alignment horizontal="center" vertical="center"/>
    </xf>
    <xf numFmtId="0" fontId="0" fillId="0" borderId="0" xfId="0" applyAlignment="1">
      <alignment horizontal="center"/>
    </xf>
    <xf numFmtId="0" fontId="31" fillId="4" borderId="59" xfId="0" applyFont="1" applyFill="1" applyBorder="1" applyAlignment="1">
      <alignment horizontal="center" vertical="center" wrapText="1"/>
    </xf>
    <xf numFmtId="0" fontId="31" fillId="6" borderId="12" xfId="0" applyFont="1" applyFill="1" applyBorder="1" applyAlignment="1">
      <alignment horizontal="center" vertical="center" wrapText="1"/>
    </xf>
    <xf numFmtId="0" fontId="31" fillId="9" borderId="12" xfId="0" applyFont="1" applyFill="1" applyBorder="1" applyAlignment="1">
      <alignment horizontal="center" vertical="center" wrapText="1"/>
    </xf>
    <xf numFmtId="0" fontId="31" fillId="6" borderId="60" xfId="0" applyFont="1" applyFill="1" applyBorder="1" applyAlignment="1">
      <alignment horizontal="center" vertical="center" wrapText="1"/>
    </xf>
    <xf numFmtId="0" fontId="4" fillId="0" borderId="4" xfId="0" applyFont="1" applyBorder="1" applyAlignment="1">
      <alignment horizontal="center"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4" fillId="0" borderId="4" xfId="0" applyFont="1" applyBorder="1" applyAlignment="1">
      <alignment horizontal="left" vertical="center"/>
    </xf>
    <xf numFmtId="0" fontId="4" fillId="0" borderId="6" xfId="0" applyFont="1" applyBorder="1" applyAlignment="1">
      <alignment horizontal="left" vertical="center"/>
    </xf>
    <xf numFmtId="0" fontId="12" fillId="7" borderId="10" xfId="0" applyFont="1" applyFill="1" applyBorder="1" applyAlignment="1">
      <alignment horizontal="left" vertical="center"/>
    </xf>
    <xf numFmtId="0" fontId="5" fillId="0" borderId="7" xfId="0" applyFont="1" applyBorder="1" applyAlignment="1">
      <alignment horizontal="left" vertical="center" wrapText="1"/>
    </xf>
    <xf numFmtId="0" fontId="1" fillId="0" borderId="59" xfId="0" applyFont="1" applyBorder="1" applyAlignment="1">
      <alignment horizontal="center" vertical="center"/>
    </xf>
    <xf numFmtId="0" fontId="1" fillId="0" borderId="12" xfId="0" applyFont="1" applyBorder="1" applyAlignment="1">
      <alignment horizontal="center" vertical="center"/>
    </xf>
    <xf numFmtId="0" fontId="1" fillId="0" borderId="60" xfId="0" applyFont="1" applyBorder="1" applyAlignment="1">
      <alignment horizontal="center" vertical="center"/>
    </xf>
    <xf numFmtId="0" fontId="5" fillId="0" borderId="2" xfId="0" applyFont="1" applyBorder="1" applyAlignment="1">
      <alignment vertical="center" wrapText="1"/>
    </xf>
    <xf numFmtId="0" fontId="4" fillId="0" borderId="6" xfId="0" applyFont="1" applyBorder="1" applyAlignment="1">
      <alignment horizontal="center" vertical="center"/>
    </xf>
    <xf numFmtId="0" fontId="5" fillId="0" borderId="7" xfId="0" applyFont="1" applyBorder="1" applyAlignment="1">
      <alignment vertical="center" wrapText="1"/>
    </xf>
    <xf numFmtId="0" fontId="4" fillId="11" borderId="4" xfId="0" applyFont="1" applyFill="1" applyBorder="1" applyAlignment="1">
      <alignment horizontal="left" vertical="center"/>
    </xf>
    <xf numFmtId="0" fontId="7" fillId="0" borderId="1" xfId="0" applyFont="1" applyBorder="1" applyAlignment="1" applyProtection="1">
      <alignment horizontal="center" vertical="center" wrapText="1"/>
      <protection locked="0"/>
    </xf>
    <xf numFmtId="0" fontId="7" fillId="0" borderId="2" xfId="0" applyFont="1" applyBorder="1" applyAlignment="1" applyProtection="1">
      <alignment horizontal="center" vertical="center" wrapText="1"/>
      <protection locked="0"/>
    </xf>
    <xf numFmtId="0" fontId="7" fillId="11" borderId="1" xfId="0" applyFont="1" applyFill="1" applyBorder="1" applyAlignment="1" applyProtection="1">
      <alignment horizontal="center" vertical="center" wrapText="1"/>
      <protection locked="0"/>
    </xf>
    <xf numFmtId="0" fontId="7" fillId="11" borderId="2" xfId="0" applyFont="1" applyFill="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44" fontId="5" fillId="0" borderId="1" xfId="2" applyFont="1" applyBorder="1" applyAlignment="1" applyProtection="1">
      <alignment vertical="center" wrapText="1"/>
      <protection locked="0"/>
    </xf>
    <xf numFmtId="0" fontId="5" fillId="0" borderId="0" xfId="0" applyFont="1" applyAlignment="1">
      <alignment vertical="center"/>
    </xf>
    <xf numFmtId="0" fontId="4" fillId="8" borderId="1" xfId="0" applyFont="1" applyFill="1" applyBorder="1" applyAlignment="1">
      <alignment vertical="center" wrapText="1"/>
    </xf>
    <xf numFmtId="0" fontId="4" fillId="0" borderId="0" xfId="0" applyFont="1" applyAlignment="1">
      <alignment horizontal="left" vertical="center" wrapText="1"/>
    </xf>
    <xf numFmtId="0" fontId="17" fillId="0" borderId="0" xfId="0" applyFont="1" applyAlignment="1">
      <alignment horizontal="left" vertical="center" wrapText="1"/>
    </xf>
    <xf numFmtId="165" fontId="5" fillId="0" borderId="1" xfId="0" applyNumberFormat="1" applyFont="1" applyBorder="1" applyAlignment="1">
      <alignment horizontal="left" vertical="center" wrapText="1"/>
    </xf>
    <xf numFmtId="0" fontId="4" fillId="0" borderId="10" xfId="0" applyFont="1" applyBorder="1" applyAlignment="1">
      <alignment horizontal="left" vertical="center"/>
    </xf>
    <xf numFmtId="0" fontId="31" fillId="13" borderId="4" xfId="0" applyFont="1" applyFill="1" applyBorder="1" applyAlignment="1">
      <alignment horizontal="center" vertical="center"/>
    </xf>
    <xf numFmtId="0" fontId="31" fillId="13" borderId="1" xfId="0" applyFont="1" applyFill="1" applyBorder="1" applyAlignment="1">
      <alignment horizontal="center"/>
    </xf>
    <xf numFmtId="0" fontId="14" fillId="8"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1" fillId="0" borderId="0" xfId="0" applyFont="1"/>
    <xf numFmtId="0" fontId="5" fillId="0" borderId="61" xfId="0" applyFont="1" applyBorder="1" applyAlignment="1">
      <alignment horizontal="left" vertical="center" wrapText="1"/>
    </xf>
    <xf numFmtId="0" fontId="12" fillId="7" borderId="1" xfId="0" applyFont="1" applyFill="1" applyBorder="1" applyAlignment="1">
      <alignment horizontal="left" vertical="center" wrapText="1"/>
    </xf>
    <xf numFmtId="0" fontId="12" fillId="7" borderId="10" xfId="0" applyFont="1" applyFill="1" applyBorder="1" applyAlignment="1">
      <alignment horizontal="left" vertical="center" wrapText="1"/>
    </xf>
    <xf numFmtId="0" fontId="16" fillId="0" borderId="0" xfId="0" applyFont="1" applyAlignment="1">
      <alignment horizontal="left" vertical="center" wrapText="1"/>
    </xf>
    <xf numFmtId="0" fontId="16" fillId="0" borderId="0" xfId="0" applyFont="1" applyAlignment="1">
      <alignment wrapText="1"/>
    </xf>
    <xf numFmtId="0" fontId="1" fillId="0" borderId="12" xfId="0" applyFont="1" applyBorder="1" applyAlignment="1">
      <alignment horizontal="center" vertical="center" wrapText="1"/>
    </xf>
    <xf numFmtId="0" fontId="1" fillId="0" borderId="60" xfId="0" applyFont="1" applyBorder="1" applyAlignment="1">
      <alignment horizontal="center" vertical="center" wrapText="1"/>
    </xf>
    <xf numFmtId="0" fontId="4" fillId="0" borderId="1" xfId="0" applyFont="1" applyBorder="1" applyAlignment="1">
      <alignment horizontal="left" vertical="center" wrapText="1"/>
    </xf>
    <xf numFmtId="0" fontId="4" fillId="0" borderId="10" xfId="0" applyFont="1" applyBorder="1" applyAlignment="1">
      <alignment horizontal="left" vertical="center" wrapText="1"/>
    </xf>
    <xf numFmtId="0" fontId="31" fillId="13" borderId="4" xfId="0" applyFont="1" applyFill="1" applyBorder="1" applyAlignment="1">
      <alignment horizontal="center" vertical="center" wrapText="1"/>
    </xf>
    <xf numFmtId="0" fontId="31" fillId="13" borderId="1" xfId="0" applyFont="1" applyFill="1" applyBorder="1" applyAlignment="1">
      <alignment horizontal="center" wrapText="1"/>
    </xf>
    <xf numFmtId="0" fontId="5" fillId="0" borderId="6" xfId="0" applyFont="1" applyBorder="1" applyAlignment="1" applyProtection="1">
      <alignment horizontal="center" vertical="center" wrapText="1"/>
      <protection locked="0"/>
    </xf>
    <xf numFmtId="0" fontId="5" fillId="0" borderId="10" xfId="0" applyFont="1" applyBorder="1" applyAlignment="1" applyProtection="1">
      <alignment horizontal="center" wrapText="1"/>
      <protection locked="0"/>
    </xf>
    <xf numFmtId="0" fontId="4" fillId="7" borderId="13" xfId="0" applyFont="1" applyFill="1" applyBorder="1" applyAlignment="1">
      <alignment horizontal="left" vertical="center" wrapText="1"/>
    </xf>
    <xf numFmtId="0" fontId="4" fillId="7" borderId="14" xfId="0" applyFont="1" applyFill="1" applyBorder="1" applyAlignment="1">
      <alignment horizontal="center" vertical="center" wrapText="1"/>
    </xf>
    <xf numFmtId="44" fontId="5" fillId="0" borderId="1" xfId="2" applyFont="1" applyBorder="1" applyAlignment="1">
      <alignment horizontal="left" vertical="center" wrapText="1"/>
    </xf>
    <xf numFmtId="0" fontId="5" fillId="0" borderId="10" xfId="0" applyFont="1" applyBorder="1" applyAlignment="1">
      <alignment horizontal="left" vertical="center" wrapText="1"/>
    </xf>
    <xf numFmtId="0" fontId="16" fillId="0" borderId="0" xfId="0" applyFont="1" applyAlignment="1">
      <alignment horizontal="center"/>
    </xf>
    <xf numFmtId="0" fontId="14" fillId="7" borderId="10"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5" fillId="0" borderId="42" xfId="0" applyFont="1" applyBorder="1" applyAlignment="1">
      <alignment wrapText="1"/>
    </xf>
    <xf numFmtId="0" fontId="5" fillId="0" borderId="62" xfId="0" applyFont="1" applyBorder="1" applyAlignment="1">
      <alignment vertical="center" wrapText="1"/>
    </xf>
    <xf numFmtId="0" fontId="5" fillId="0" borderId="39" xfId="0" applyFont="1" applyBorder="1" applyAlignment="1">
      <alignment wrapText="1"/>
    </xf>
    <xf numFmtId="0" fontId="5" fillId="0" borderId="62" xfId="0" applyFont="1" applyBorder="1" applyAlignment="1">
      <alignment wrapText="1"/>
    </xf>
    <xf numFmtId="0" fontId="5" fillId="5" borderId="0" xfId="0" applyFont="1" applyFill="1" applyAlignment="1">
      <alignment wrapText="1"/>
    </xf>
    <xf numFmtId="0" fontId="4" fillId="0" borderId="2" xfId="0" applyFont="1" applyBorder="1" applyAlignment="1">
      <alignment horizontal="left" vertical="center"/>
    </xf>
    <xf numFmtId="0" fontId="5" fillId="0" borderId="4" xfId="0" applyFont="1" applyBorder="1" applyAlignment="1">
      <alignment wrapText="1"/>
    </xf>
    <xf numFmtId="0" fontId="4" fillId="18" borderId="61" xfId="0" applyFont="1" applyFill="1" applyBorder="1" applyAlignment="1">
      <alignment horizontal="center" vertical="center" wrapText="1"/>
    </xf>
    <xf numFmtId="0" fontId="4" fillId="19" borderId="16"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5" fillId="15" borderId="0" xfId="0" applyFont="1" applyFill="1" applyAlignment="1">
      <alignment horizontal="left" vertical="center" wrapText="1"/>
    </xf>
    <xf numFmtId="0" fontId="3" fillId="5" borderId="64" xfId="0" applyFont="1" applyFill="1" applyBorder="1" applyAlignment="1">
      <alignment horizontal="left" vertical="center" wrapText="1"/>
    </xf>
    <xf numFmtId="0" fontId="3" fillId="5" borderId="65" xfId="0" applyFont="1" applyFill="1" applyBorder="1" applyAlignment="1">
      <alignment horizontal="left" vertical="center" wrapText="1"/>
    </xf>
    <xf numFmtId="0" fontId="3" fillId="5" borderId="66" xfId="0" applyFont="1" applyFill="1" applyBorder="1" applyAlignment="1">
      <alignment horizontal="left" vertical="center" wrapText="1"/>
    </xf>
    <xf numFmtId="0" fontId="3" fillId="6" borderId="64" xfId="0" applyFont="1" applyFill="1" applyBorder="1" applyAlignment="1">
      <alignment horizontal="left" vertical="center" wrapText="1"/>
    </xf>
    <xf numFmtId="0" fontId="3" fillId="10" borderId="65" xfId="0" applyFont="1" applyFill="1" applyBorder="1" applyAlignment="1">
      <alignment horizontal="left" vertical="center" wrapText="1"/>
    </xf>
    <xf numFmtId="0" fontId="3" fillId="9" borderId="65" xfId="0" applyFont="1" applyFill="1" applyBorder="1" applyAlignment="1">
      <alignment horizontal="left" vertical="center" wrapText="1"/>
    </xf>
    <xf numFmtId="0" fontId="3" fillId="6" borderId="65" xfId="0" applyFont="1" applyFill="1" applyBorder="1" applyAlignment="1">
      <alignment horizontal="left" vertical="center" wrapText="1"/>
    </xf>
    <xf numFmtId="0" fontId="3" fillId="9" borderId="66" xfId="0" applyFont="1" applyFill="1" applyBorder="1" applyAlignment="1">
      <alignment horizontal="left" vertical="center" wrapText="1"/>
    </xf>
    <xf numFmtId="0" fontId="3" fillId="3" borderId="64" xfId="0" applyFont="1" applyFill="1" applyBorder="1" applyAlignment="1">
      <alignment horizontal="left" vertical="center" wrapText="1"/>
    </xf>
    <xf numFmtId="0" fontId="3" fillId="3" borderId="65" xfId="0" applyFont="1" applyFill="1" applyBorder="1" applyAlignment="1">
      <alignment horizontal="left" vertical="center" wrapText="1"/>
    </xf>
    <xf numFmtId="0" fontId="3" fillId="3" borderId="66" xfId="0" applyFont="1" applyFill="1" applyBorder="1" applyAlignment="1">
      <alignment horizontal="left" vertical="center" wrapText="1"/>
    </xf>
    <xf numFmtId="0" fontId="14" fillId="7" borderId="1" xfId="0" applyFont="1" applyFill="1" applyBorder="1" applyAlignment="1">
      <alignment horizontal="center" vertical="center" wrapText="1"/>
    </xf>
    <xf numFmtId="0" fontId="14" fillId="7" borderId="1" xfId="0" applyFont="1" applyFill="1" applyBorder="1" applyAlignment="1">
      <alignment horizontal="center" wrapText="1"/>
    </xf>
    <xf numFmtId="2" fontId="8" fillId="0" borderId="0" xfId="0" applyNumberFormat="1" applyFont="1" applyAlignment="1" applyProtection="1">
      <alignment horizontal="center" vertical="center" wrapText="1"/>
      <protection locked="0"/>
    </xf>
    <xf numFmtId="49" fontId="8" fillId="0" borderId="0" xfId="0" applyNumberFormat="1" applyFont="1" applyAlignment="1" applyProtection="1">
      <alignment horizontal="center" vertical="center" wrapText="1"/>
      <protection locked="0"/>
    </xf>
    <xf numFmtId="0" fontId="1" fillId="0" borderId="0" xfId="0" applyFont="1" applyAlignment="1">
      <alignment wrapText="1"/>
    </xf>
    <xf numFmtId="0" fontId="1" fillId="0" borderId="67" xfId="0" applyFont="1" applyBorder="1"/>
    <xf numFmtId="0" fontId="0" fillId="0" borderId="68" xfId="0" applyBorder="1"/>
    <xf numFmtId="0" fontId="1" fillId="0" borderId="69" xfId="0" applyFont="1" applyBorder="1" applyAlignment="1">
      <alignment wrapText="1"/>
    </xf>
    <xf numFmtId="0" fontId="1" fillId="0" borderId="70" xfId="0" applyFont="1" applyBorder="1"/>
    <xf numFmtId="0" fontId="1" fillId="0" borderId="71" xfId="0" applyFont="1" applyBorder="1" applyAlignment="1">
      <alignment wrapText="1"/>
    </xf>
    <xf numFmtId="0" fontId="40" fillId="0" borderId="71" xfId="5" applyFont="1" applyBorder="1" applyAlignment="1">
      <alignment wrapText="1"/>
    </xf>
    <xf numFmtId="0" fontId="12" fillId="0" borderId="71" xfId="3" applyFont="1" applyBorder="1" applyAlignment="1">
      <alignment vertical="center" wrapText="1"/>
    </xf>
    <xf numFmtId="0" fontId="1" fillId="0" borderId="71" xfId="3" applyFont="1" applyBorder="1" applyAlignment="1">
      <alignment vertical="top" wrapText="1"/>
    </xf>
    <xf numFmtId="0" fontId="1" fillId="0" borderId="71" xfId="3" applyFont="1" applyBorder="1" applyAlignment="1">
      <alignment horizontal="left" vertical="top" wrapText="1"/>
    </xf>
    <xf numFmtId="0" fontId="12" fillId="0" borderId="71" xfId="3" applyFont="1" applyBorder="1" applyAlignment="1">
      <alignment horizontal="left" vertical="top" wrapText="1"/>
    </xf>
    <xf numFmtId="0" fontId="41" fillId="0" borderId="71" xfId="4" applyFont="1" applyBorder="1" applyAlignment="1">
      <alignment horizontal="left" vertical="top" wrapText="1"/>
    </xf>
    <xf numFmtId="0" fontId="1" fillId="0" borderId="63" xfId="0" applyFont="1" applyBorder="1"/>
    <xf numFmtId="0" fontId="0" fillId="0" borderId="72" xfId="0" applyBorder="1"/>
    <xf numFmtId="0" fontId="41" fillId="0" borderId="73" xfId="4" applyFont="1" applyBorder="1" applyAlignment="1">
      <alignment horizontal="left" vertical="top" wrapText="1"/>
    </xf>
    <xf numFmtId="0" fontId="33" fillId="15" borderId="0" xfId="0" applyFont="1" applyFill="1" applyAlignment="1" applyProtection="1">
      <alignment horizontal="center" vertical="center" wrapText="1"/>
      <protection locked="0"/>
    </xf>
    <xf numFmtId="0" fontId="5" fillId="15" borderId="0" xfId="0" applyFont="1" applyFill="1" applyProtection="1">
      <protection locked="0"/>
    </xf>
    <xf numFmtId="0" fontId="22" fillId="0" borderId="0" xfId="0" applyFont="1" applyAlignment="1">
      <alignment horizontal="left" vertical="center" wrapText="1" indent="10"/>
    </xf>
    <xf numFmtId="0" fontId="22" fillId="0" borderId="0" xfId="0" applyFont="1" applyAlignment="1">
      <alignment horizontal="left" vertical="center" wrapText="1" indent="5"/>
    </xf>
    <xf numFmtId="0" fontId="43" fillId="0" borderId="18" xfId="0" applyFont="1" applyBorder="1" applyAlignment="1">
      <alignment horizontal="left" vertical="center" wrapText="1"/>
    </xf>
    <xf numFmtId="0" fontId="43" fillId="0" borderId="18" xfId="0" applyFont="1" applyBorder="1" applyAlignment="1">
      <alignment horizontal="left" vertical="center" wrapText="1" indent="4"/>
    </xf>
    <xf numFmtId="0" fontId="43" fillId="0" borderId="18" xfId="0" applyFont="1" applyBorder="1" applyAlignment="1">
      <alignment horizontal="left" vertical="center" wrapText="1" indent="7"/>
    </xf>
    <xf numFmtId="0" fontId="43" fillId="0" borderId="19" xfId="0" applyFont="1" applyBorder="1" applyAlignment="1">
      <alignment horizontal="left" vertical="center" wrapText="1" indent="4"/>
    </xf>
    <xf numFmtId="0" fontId="22" fillId="0" borderId="0" xfId="0" applyFont="1" applyAlignment="1">
      <alignment horizontal="left" vertical="center" wrapText="1" indent="2"/>
    </xf>
    <xf numFmtId="0" fontId="4" fillId="11" borderId="1"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11" borderId="1" xfId="0" applyFont="1" applyFill="1" applyBorder="1" applyAlignment="1">
      <alignment horizontal="center" vertical="center" wrapText="1"/>
    </xf>
    <xf numFmtId="0" fontId="35" fillId="20" borderId="2" xfId="0" applyFont="1" applyFill="1" applyBorder="1" applyAlignment="1">
      <alignment horizontal="center" vertical="center"/>
    </xf>
    <xf numFmtId="0" fontId="35" fillId="20" borderId="3" xfId="0" applyFont="1" applyFill="1" applyBorder="1" applyAlignment="1">
      <alignment horizontal="center" vertical="center"/>
    </xf>
    <xf numFmtId="0" fontId="35" fillId="20" borderId="4" xfId="0" applyFont="1" applyFill="1" applyBorder="1" applyAlignment="1">
      <alignment horizontal="center" vertical="center"/>
    </xf>
    <xf numFmtId="0" fontId="36" fillId="21" borderId="1" xfId="0" applyFont="1" applyFill="1" applyBorder="1" applyAlignment="1">
      <alignment horizontal="left" vertical="center" wrapText="1"/>
    </xf>
    <xf numFmtId="0" fontId="17" fillId="8" borderId="2" xfId="0" applyFont="1" applyFill="1" applyBorder="1" applyAlignment="1">
      <alignment horizontal="left" vertical="center" wrapText="1"/>
    </xf>
    <xf numFmtId="0" fontId="17" fillId="8" borderId="3" xfId="0" applyFont="1" applyFill="1" applyBorder="1" applyAlignment="1">
      <alignment horizontal="left" vertical="center" wrapText="1"/>
    </xf>
    <xf numFmtId="0" fontId="17" fillId="8" borderId="4" xfId="0" applyFont="1" applyFill="1" applyBorder="1" applyAlignment="1">
      <alignment horizontal="left" vertical="center" wrapText="1"/>
    </xf>
    <xf numFmtId="0" fontId="14" fillId="8" borderId="10" xfId="0" applyFont="1" applyFill="1" applyBorder="1" applyAlignment="1">
      <alignment horizontal="center" vertical="center"/>
    </xf>
    <xf numFmtId="0" fontId="14" fillId="8" borderId="11" xfId="0" applyFont="1" applyFill="1" applyBorder="1" applyAlignment="1">
      <alignment horizontal="center" vertical="center"/>
    </xf>
    <xf numFmtId="0" fontId="14" fillId="8" borderId="12" xfId="0" applyFont="1" applyFill="1" applyBorder="1" applyAlignment="1">
      <alignment horizontal="center" vertical="center"/>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1" xfId="0" applyFont="1" applyBorder="1" applyAlignment="1">
      <alignment horizontal="left" vertical="center" wrapText="1"/>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left" vertical="center" wrapText="1"/>
    </xf>
    <xf numFmtId="0" fontId="32" fillId="4" borderId="2" xfId="0" applyFont="1" applyFill="1" applyBorder="1" applyAlignment="1">
      <alignment horizontal="center" vertical="center" wrapText="1"/>
    </xf>
    <xf numFmtId="0" fontId="32" fillId="4" borderId="3" xfId="0" applyFont="1" applyFill="1" applyBorder="1" applyAlignment="1">
      <alignment horizontal="center" vertical="center" wrapText="1"/>
    </xf>
    <xf numFmtId="0" fontId="32" fillId="4" borderId="4" xfId="0" applyFont="1" applyFill="1" applyBorder="1" applyAlignment="1">
      <alignment horizontal="center" vertical="center" wrapText="1"/>
    </xf>
    <xf numFmtId="0" fontId="14" fillId="8" borderId="10" xfId="0" applyFont="1" applyFill="1" applyBorder="1" applyAlignment="1">
      <alignment horizontal="center" vertical="center" wrapText="1"/>
    </xf>
    <xf numFmtId="0" fontId="14" fillId="8" borderId="11"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5" fillId="0" borderId="2" xfId="0" applyFont="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166" fontId="5" fillId="0" borderId="2" xfId="0" applyNumberFormat="1" applyFont="1" applyBorder="1" applyAlignment="1" applyProtection="1">
      <alignment horizontal="left" vertical="center"/>
      <protection locked="0"/>
    </xf>
    <xf numFmtId="166" fontId="5" fillId="0" borderId="4" xfId="0" applyNumberFormat="1" applyFont="1" applyBorder="1" applyAlignment="1" applyProtection="1">
      <alignment horizontal="left" vertical="center"/>
      <protection locked="0"/>
    </xf>
    <xf numFmtId="0" fontId="32" fillId="4" borderId="2" xfId="0" applyFont="1" applyFill="1" applyBorder="1" applyAlignment="1">
      <alignment horizontal="left" vertical="center" wrapText="1"/>
    </xf>
    <xf numFmtId="0" fontId="32" fillId="4" borderId="3" xfId="0" applyFont="1" applyFill="1" applyBorder="1" applyAlignment="1">
      <alignment horizontal="left" vertical="center" wrapText="1"/>
    </xf>
    <xf numFmtId="0" fontId="32" fillId="4" borderId="4" xfId="0" applyFont="1" applyFill="1" applyBorder="1" applyAlignment="1">
      <alignment horizontal="left" vertical="center" wrapText="1"/>
    </xf>
    <xf numFmtId="0" fontId="14" fillId="8" borderId="7" xfId="0" applyFont="1" applyFill="1" applyBorder="1" applyAlignment="1">
      <alignment horizontal="center" vertical="center"/>
    </xf>
    <xf numFmtId="0" fontId="14" fillId="8" borderId="8" xfId="0" applyFont="1" applyFill="1" applyBorder="1" applyAlignment="1">
      <alignment horizontal="center" vertical="center"/>
    </xf>
    <xf numFmtId="0" fontId="14" fillId="0" borderId="1" xfId="0" applyFont="1" applyBorder="1" applyAlignment="1">
      <alignment horizontal="center" vertical="center"/>
    </xf>
    <xf numFmtId="0" fontId="31" fillId="3" borderId="2" xfId="0" applyFont="1" applyFill="1" applyBorder="1" applyAlignment="1">
      <alignment horizontal="center" vertical="center" wrapText="1"/>
    </xf>
    <xf numFmtId="0" fontId="31" fillId="3" borderId="4" xfId="0" applyFont="1" applyFill="1" applyBorder="1" applyAlignment="1">
      <alignment horizontal="center" vertical="center" wrapText="1"/>
    </xf>
    <xf numFmtId="0" fontId="32" fillId="4" borderId="17" xfId="0" applyFont="1" applyFill="1" applyBorder="1" applyAlignment="1">
      <alignment horizontal="center" vertical="center" wrapText="1"/>
    </xf>
    <xf numFmtId="0" fontId="32" fillId="4" borderId="18" xfId="0" applyFont="1" applyFill="1" applyBorder="1" applyAlignment="1">
      <alignment horizontal="center" vertical="center" wrapText="1"/>
    </xf>
    <xf numFmtId="0" fontId="32" fillId="4" borderId="19" xfId="0" applyFont="1" applyFill="1" applyBorder="1" applyAlignment="1">
      <alignment horizontal="center" vertical="center" wrapText="1"/>
    </xf>
    <xf numFmtId="0" fontId="21" fillId="0" borderId="20" xfId="0" applyFont="1" applyBorder="1" applyAlignment="1" applyProtection="1">
      <alignment horizontal="center" wrapText="1"/>
      <protection locked="0"/>
    </xf>
    <xf numFmtId="0" fontId="21" fillId="0" borderId="22" xfId="0" applyFont="1" applyBorder="1" applyAlignment="1" applyProtection="1">
      <alignment horizontal="center" wrapText="1"/>
      <protection locked="0"/>
    </xf>
    <xf numFmtId="0" fontId="3" fillId="10" borderId="23" xfId="0" applyFont="1" applyFill="1" applyBorder="1" applyAlignment="1" applyProtection="1">
      <alignment horizontal="center" vertical="center" wrapText="1"/>
      <protection locked="0"/>
    </xf>
    <xf numFmtId="0" fontId="3" fillId="10" borderId="24" xfId="0" applyFont="1" applyFill="1" applyBorder="1" applyAlignment="1" applyProtection="1">
      <alignment horizontal="center" vertical="center" wrapText="1"/>
      <protection locked="0"/>
    </xf>
    <xf numFmtId="0" fontId="3" fillId="10" borderId="25" xfId="0" applyFont="1" applyFill="1" applyBorder="1" applyAlignment="1" applyProtection="1">
      <alignment horizontal="center" vertical="center" wrapText="1"/>
      <protection locked="0"/>
    </xf>
    <xf numFmtId="0" fontId="18" fillId="8" borderId="20" xfId="0" applyFont="1" applyFill="1" applyBorder="1" applyAlignment="1" applyProtection="1">
      <alignment horizontal="center" vertical="center"/>
      <protection locked="0"/>
    </xf>
    <xf numFmtId="0" fontId="18" fillId="8" borderId="21" xfId="0" applyFont="1" applyFill="1" applyBorder="1" applyAlignment="1" applyProtection="1">
      <alignment horizontal="center" vertical="center"/>
      <protection locked="0"/>
    </xf>
    <xf numFmtId="0" fontId="18" fillId="8" borderId="22" xfId="0" applyFont="1" applyFill="1" applyBorder="1" applyAlignment="1" applyProtection="1">
      <alignment horizontal="center" vertical="center"/>
      <protection locked="0"/>
    </xf>
    <xf numFmtId="0" fontId="4" fillId="0" borderId="68" xfId="0" applyFont="1" applyBorder="1" applyAlignment="1" applyProtection="1">
      <alignment horizontal="center" wrapText="1"/>
      <protection locked="0"/>
    </xf>
    <xf numFmtId="0" fontId="4" fillId="0" borderId="0" xfId="0" applyFont="1" applyAlignment="1" applyProtection="1">
      <alignment horizontal="center" wrapText="1"/>
      <protection locked="0"/>
    </xf>
    <xf numFmtId="0" fontId="4" fillId="0" borderId="17" xfId="0" applyFont="1" applyBorder="1" applyAlignment="1" applyProtection="1">
      <alignment horizontal="center" wrapText="1"/>
      <protection locked="0"/>
    </xf>
    <xf numFmtId="0" fontId="4" fillId="0" borderId="18" xfId="0" applyFont="1" applyBorder="1" applyAlignment="1" applyProtection="1">
      <alignment horizontal="center" wrapText="1"/>
      <protection locked="0"/>
    </xf>
    <xf numFmtId="0" fontId="4" fillId="0" borderId="19" xfId="0" applyFont="1" applyBorder="1" applyAlignment="1" applyProtection="1">
      <alignment horizontal="center" wrapText="1"/>
      <protection locked="0"/>
    </xf>
    <xf numFmtId="0" fontId="24" fillId="0" borderId="20" xfId="0" applyFont="1" applyBorder="1" applyAlignment="1" applyProtection="1">
      <alignment horizontal="center" vertical="center" wrapText="1"/>
      <protection locked="0"/>
    </xf>
    <xf numFmtId="0" fontId="24" fillId="0" borderId="22" xfId="0" applyFont="1" applyBorder="1" applyAlignment="1" applyProtection="1">
      <alignment horizontal="center" vertical="center" wrapText="1"/>
      <protection locked="0"/>
    </xf>
    <xf numFmtId="0" fontId="3" fillId="10" borderId="53" xfId="0" applyFont="1" applyFill="1" applyBorder="1" applyAlignment="1" applyProtection="1">
      <alignment horizontal="center" vertical="center" wrapText="1"/>
      <protection locked="0"/>
    </xf>
    <xf numFmtId="0" fontId="3" fillId="10" borderId="54" xfId="0" applyFont="1" applyFill="1" applyBorder="1" applyAlignment="1" applyProtection="1">
      <alignment horizontal="center" vertical="center" wrapText="1"/>
      <protection locked="0"/>
    </xf>
    <xf numFmtId="0" fontId="3" fillId="10" borderId="55" xfId="0" applyFont="1" applyFill="1" applyBorder="1" applyAlignment="1" applyProtection="1">
      <alignment horizontal="center" vertical="center" wrapText="1"/>
      <protection locked="0"/>
    </xf>
    <xf numFmtId="0" fontId="3" fillId="10" borderId="49" xfId="0" applyFont="1" applyFill="1" applyBorder="1" applyAlignment="1" applyProtection="1">
      <alignment horizontal="center" vertical="center" wrapText="1"/>
      <protection locked="0"/>
    </xf>
    <xf numFmtId="0" fontId="3" fillId="10" borderId="56" xfId="0" applyFont="1" applyFill="1" applyBorder="1" applyAlignment="1" applyProtection="1">
      <alignment horizontal="center" vertical="center" wrapText="1"/>
      <protection locked="0"/>
    </xf>
    <xf numFmtId="0" fontId="3" fillId="10" borderId="57" xfId="0" applyFont="1" applyFill="1" applyBorder="1" applyAlignment="1" applyProtection="1">
      <alignment horizontal="center" vertical="center" wrapText="1"/>
      <protection locked="0"/>
    </xf>
    <xf numFmtId="0" fontId="23" fillId="8" borderId="20" xfId="0" applyFont="1" applyFill="1" applyBorder="1" applyAlignment="1" applyProtection="1">
      <alignment horizontal="center" vertical="center" wrapText="1"/>
      <protection locked="0"/>
    </xf>
    <xf numFmtId="0" fontId="23" fillId="8" borderId="21" xfId="0" applyFont="1" applyFill="1" applyBorder="1" applyAlignment="1" applyProtection="1">
      <alignment horizontal="center" vertical="center" wrapText="1"/>
      <protection locked="0"/>
    </xf>
    <xf numFmtId="0" fontId="23" fillId="8" borderId="22" xfId="0" applyFont="1" applyFill="1" applyBorder="1" applyAlignment="1" applyProtection="1">
      <alignment horizontal="center" vertical="center" wrapText="1"/>
      <protection locked="0"/>
    </xf>
    <xf numFmtId="0" fontId="4" fillId="0" borderId="74" xfId="0" applyFont="1" applyBorder="1" applyAlignment="1" applyProtection="1">
      <alignment horizontal="center" wrapText="1"/>
      <protection locked="0"/>
    </xf>
    <xf numFmtId="0" fontId="21" fillId="16" borderId="0" xfId="0" applyFont="1" applyFill="1" applyAlignment="1" applyProtection="1">
      <alignment horizontal="center" vertical="center" wrapText="1"/>
      <protection locked="0"/>
    </xf>
    <xf numFmtId="0" fontId="5" fillId="0" borderId="9" xfId="0" applyFont="1" applyBorder="1" applyAlignment="1">
      <alignment vertical="center" wrapText="1"/>
    </xf>
    <xf numFmtId="0" fontId="5" fillId="0" borderId="0" xfId="0" applyFont="1" applyAlignment="1">
      <alignment vertical="center" wrapText="1"/>
    </xf>
    <xf numFmtId="0" fontId="31" fillId="4" borderId="1" xfId="0" applyFont="1" applyFill="1" applyBorder="1" applyAlignment="1">
      <alignment horizontal="left" vertical="center" wrapText="1"/>
    </xf>
    <xf numFmtId="0" fontId="31" fillId="4" borderId="2" xfId="0" applyFont="1" applyFill="1" applyBorder="1" applyAlignment="1">
      <alignment horizontal="center" vertical="center" wrapText="1"/>
    </xf>
    <xf numFmtId="0" fontId="31" fillId="4" borderId="3" xfId="0" applyFont="1" applyFill="1" applyBorder="1" applyAlignment="1">
      <alignment horizontal="center" vertical="center" wrapText="1"/>
    </xf>
    <xf numFmtId="0" fontId="31" fillId="4" borderId="4" xfId="0" applyFont="1" applyFill="1" applyBorder="1" applyAlignment="1">
      <alignment horizontal="center" vertical="center" wrapText="1"/>
    </xf>
    <xf numFmtId="0" fontId="31" fillId="4" borderId="2" xfId="0" applyFont="1" applyFill="1" applyBorder="1" applyAlignment="1">
      <alignment horizontal="left" vertical="center" wrapText="1"/>
    </xf>
    <xf numFmtId="0" fontId="31" fillId="4" borderId="3" xfId="0" applyFont="1" applyFill="1" applyBorder="1" applyAlignment="1">
      <alignment horizontal="left" vertical="center" wrapText="1"/>
    </xf>
    <xf numFmtId="0" fontId="31" fillId="4" borderId="4" xfId="0" applyFont="1" applyFill="1" applyBorder="1" applyAlignment="1">
      <alignment horizontal="left" vertical="center" wrapText="1"/>
    </xf>
    <xf numFmtId="0" fontId="5" fillId="0" borderId="1" xfId="0" applyFont="1" applyBorder="1" applyAlignment="1" applyProtection="1">
      <alignment horizontal="left" vertical="center"/>
      <protection locked="0"/>
    </xf>
    <xf numFmtId="15" fontId="5" fillId="0" borderId="1" xfId="0" applyNumberFormat="1" applyFont="1" applyBorder="1" applyAlignment="1" applyProtection="1">
      <alignment horizontal="left" vertical="center"/>
      <protection locked="0"/>
    </xf>
    <xf numFmtId="0" fontId="33" fillId="17" borderId="0" xfId="0" applyFont="1" applyFill="1" applyAlignment="1" applyProtection="1">
      <alignment horizontal="center" vertical="center" wrapText="1"/>
      <protection locked="0"/>
    </xf>
    <xf numFmtId="0" fontId="33" fillId="17" borderId="0" xfId="0" applyFont="1" applyFill="1" applyAlignment="1">
      <alignment horizontal="center" vertical="center" wrapText="1"/>
    </xf>
  </cellXfs>
  <cellStyles count="6">
    <cellStyle name="Currency" xfId="2" builtinId="4"/>
    <cellStyle name="Hyperlink" xfId="5" builtinId="8"/>
    <cellStyle name="Hyperlink 2" xfId="4" xr:uid="{73CED877-CCB0-41AF-971E-B1160EF99993}"/>
    <cellStyle name="Normal" xfId="0" builtinId="0"/>
    <cellStyle name="Normal 2" xfId="3" xr:uid="{32F24D65-9528-4575-AA3A-B4290DF1E31B}"/>
    <cellStyle name="Percent" xfId="1" builtinId="5"/>
  </cellStyles>
  <dxfs count="238">
    <dxf>
      <font>
        <strike val="0"/>
        <outline val="0"/>
        <shadow val="0"/>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vertAlign val="baseline"/>
        <sz val="10"/>
        <name val="Arial"/>
        <family val="2"/>
        <scheme val="none"/>
      </font>
      <alignment horizontal="center"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i/>
        <strike val="0"/>
        <condense val="0"/>
        <extend val="0"/>
        <outline val="0"/>
        <shadow val="0"/>
        <u/>
        <vertAlign val="baseline"/>
        <sz val="10"/>
        <color rgb="FF000000"/>
        <name val="Arial"/>
        <family val="2"/>
        <scheme val="none"/>
      </font>
      <numFmt numFmtId="1" formatCode="0"/>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medium">
          <color rgb="FF0086BF"/>
        </top>
        <bottom style="medium">
          <color rgb="FF0086BF"/>
        </bottom>
      </border>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0"/>
      <protection locked="0" hidden="0"/>
    </dxf>
    <dxf>
      <font>
        <b val="0"/>
        <strike val="0"/>
        <outline val="0"/>
        <shadow val="0"/>
        <vertAlign val="baseline"/>
        <sz val="10"/>
        <name val="Arial"/>
        <family val="2"/>
        <scheme val="none"/>
      </font>
      <fill>
        <patternFill patternType="none">
          <fgColor rgb="FF000000"/>
          <bgColor auto="1"/>
        </patternFill>
      </fill>
    </dxf>
    <dxf>
      <font>
        <b/>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vertical="center" textRotation="0" indent="0" justifyLastLine="0" shrinkToFit="0" readingOrder="0"/>
    </dxf>
    <dxf>
      <border>
        <bottom style="thin">
          <color indexed="64"/>
        </bottom>
      </border>
    </dxf>
    <dxf>
      <font>
        <strike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7030A0"/>
        <name val="Arial"/>
        <family val="2"/>
        <scheme val="none"/>
      </font>
      <alignment horizontal="center" vertical="center" textRotation="0" wrapText="1" indent="0" justifyLastLine="0" shrinkToFit="0" readingOrder="0"/>
      <protection locked="0" hidden="0"/>
    </dxf>
    <dxf>
      <border>
        <bottom style="thin">
          <color indexed="64"/>
        </bottom>
      </border>
    </dxf>
    <dxf>
      <font>
        <b/>
        <i val="0"/>
        <strike val="0"/>
        <condense val="0"/>
        <extend val="0"/>
        <outline val="0"/>
        <shadow val="0"/>
        <u val="none"/>
        <vertAlign val="baseline"/>
        <sz val="11"/>
        <color theme="0"/>
        <name val="Arial"/>
        <family val="2"/>
        <scheme val="none"/>
      </font>
      <fill>
        <patternFill patternType="solid">
          <fgColor indexed="64"/>
          <bgColor rgb="FF7030A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bottom style="thin">
          <color indexed="64"/>
        </bottom>
      </border>
    </dxf>
    <dxf>
      <font>
        <strike val="0"/>
        <outline val="0"/>
        <shadow val="0"/>
        <u val="none"/>
        <vertAlign val="baseline"/>
        <sz val="11"/>
        <name val="Arial"/>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name val="Arial"/>
        <family val="2"/>
        <scheme val="none"/>
      </font>
      <numFmt numFmtId="165" formatCode="&quot;$&quot;#,##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i/>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outline val="0"/>
        <shadow val="0"/>
        <u val="none"/>
        <vertAlign val="baseline"/>
        <sz val="10"/>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color theme="1"/>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alignment horizontal="left"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border diagonalUp="0" diagonalDown="0">
        <left style="medium">
          <color rgb="FF000000"/>
        </left>
        <right style="medium">
          <color rgb="FF000000"/>
        </right>
        <top style="medium">
          <color rgb="FF000000"/>
        </top>
        <bottom style="medium">
          <color rgb="FF000000"/>
        </bottom>
      </border>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left"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border diagonalUp="0" diagonalDown="0">
        <left style="medium">
          <color rgb="FF000000"/>
        </left>
        <right style="medium">
          <color rgb="FF000000"/>
        </right>
        <top style="medium">
          <color rgb="FF000000"/>
        </top>
        <bottom style="medium">
          <color rgb="FF000000"/>
        </bottom>
      </border>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strike val="0"/>
        <outline val="0"/>
        <shadow val="0"/>
        <u val="none"/>
        <vertAlign val="baseline"/>
        <sz val="10"/>
        <color theme="1"/>
        <name val="Arial"/>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1" indent="0" justifyLastLine="0" shrinkToFit="0" readingOrder="0"/>
    </dxf>
    <dxf>
      <font>
        <strike val="0"/>
        <outline val="0"/>
        <shadow val="0"/>
        <u val="none"/>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numFmt numFmtId="0" formatCode="General"/>
      <alignment horizontal="center" vertical="center" textRotation="0" wrapText="0" indent="0" justifyLastLine="0" shrinkToFit="0" readingOrder="0"/>
      <protection locked="1" hidden="0"/>
    </dxf>
    <dxf>
      <font>
        <strike val="0"/>
        <outline val="0"/>
        <shadow val="0"/>
        <u val="none"/>
        <vertAlign val="baseline"/>
        <sz val="10"/>
        <name val="Arial"/>
        <family val="2"/>
        <scheme val="none"/>
      </font>
      <numFmt numFmtId="13" formatCode="0%"/>
      <alignment horizontal="center" vertical="center" textRotation="0" wrapText="0" indent="0" justifyLastLine="0" shrinkToFit="0" readingOrder="0"/>
      <protection locked="1" hidden="0"/>
    </dxf>
    <dxf>
      <font>
        <strike val="0"/>
        <outline val="0"/>
        <shadow val="0"/>
        <u val="none"/>
        <vertAlign val="baseline"/>
        <sz val="10"/>
        <name val="Arial"/>
        <family val="2"/>
        <scheme val="none"/>
      </font>
      <alignment horizontal="center" vertical="center" textRotation="0" wrapText="1" indent="0" justifyLastLine="0" shrinkToFit="0" readingOrder="0"/>
      <protection locked="1" hidden="0"/>
    </dxf>
    <dxf>
      <font>
        <strike val="0"/>
        <outline val="0"/>
        <shadow val="0"/>
        <u val="none"/>
        <vertAlign val="baseline"/>
        <sz val="10"/>
        <name val="Arial"/>
        <family val="2"/>
        <scheme val="none"/>
      </font>
      <alignment horizontal="left" vertical="center" textRotation="0" wrapText="0" indent="0" justifyLastLine="0" shrinkToFit="0" readingOrder="0"/>
      <protection locked="1" hidden="0"/>
    </dxf>
    <dxf>
      <font>
        <strike val="0"/>
        <outline val="0"/>
        <shadow val="0"/>
        <u val="none"/>
        <vertAlign val="baseline"/>
        <sz val="10"/>
        <name val="Arial"/>
        <family val="2"/>
        <scheme val="none"/>
      </font>
      <protection locked="1" hidden="0"/>
    </dxf>
    <dxf>
      <font>
        <strike val="0"/>
        <outline val="0"/>
        <shadow val="0"/>
        <u val="none"/>
        <vertAlign val="baseline"/>
        <sz val="10"/>
        <name val="Arial"/>
        <family val="2"/>
        <scheme val="none"/>
      </font>
      <alignment horizontal="center" vertical="center" textRotation="0" wrapText="0" indent="0" justifyLastLine="0" shrinkToFit="0" readingOrder="0"/>
      <protection locked="1" hidden="0"/>
    </dxf>
    <dxf>
      <font>
        <strike val="0"/>
        <outline val="0"/>
        <shadow val="0"/>
        <u val="none"/>
        <vertAlign val="baseline"/>
        <sz val="10"/>
        <name val="Arial"/>
        <family val="2"/>
        <scheme val="none"/>
      </font>
      <fill>
        <patternFill patternType="solid">
          <fgColor indexed="64"/>
          <bgColor theme="0"/>
        </patternFill>
      </fill>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strike val="0"/>
        <outline val="0"/>
        <shadow val="0"/>
        <u val="none"/>
        <vertAlign val="baseline"/>
        <sz val="1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bottom style="thin">
          <color indexed="64"/>
        </bottom>
      </border>
    </dxf>
    <dxf>
      <font>
        <strike val="0"/>
        <outline val="0"/>
        <shadow val="0"/>
        <u val="none"/>
        <vertAlign val="baseline"/>
        <sz val="11"/>
        <name val="Arial"/>
        <family val="2"/>
        <scheme val="none"/>
      </font>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0"/>
        <color rgb="FF7030A0"/>
        <name val="Arial"/>
        <family val="2"/>
        <scheme val="none"/>
      </font>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7030A0"/>
        <name val="Arial"/>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Arial"/>
        <family val="2"/>
        <scheme val="none"/>
      </font>
      <fill>
        <patternFill patternType="solid">
          <fgColor indexed="64"/>
          <bgColor rgb="FF7030A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vertAlign val="baseline"/>
        <sz val="10"/>
        <name val="Arial"/>
        <family val="2"/>
        <scheme val="none"/>
      </font>
      <numFmt numFmtId="0" formatCode="General"/>
      <alignment horizontal="center" vertical="center" textRotation="0" wrapText="0" indent="0" justifyLastLine="0" shrinkToFit="0" readingOrder="0"/>
    </dxf>
    <dxf>
      <font>
        <strike val="0"/>
        <outline val="0"/>
        <shadow val="0"/>
        <vertAlign val="baseline"/>
        <sz val="10"/>
        <name val="Arial"/>
        <family val="2"/>
        <scheme val="none"/>
      </font>
      <alignment horizontal="center"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alignment horizontal="right" vertical="center" textRotation="0" wrapText="0" indent="0" justifyLastLine="0" shrinkToFit="0" readingOrder="0"/>
    </dxf>
    <dxf>
      <font>
        <strike val="0"/>
        <outline val="0"/>
        <shadow val="0"/>
        <vertAlign val="baseline"/>
        <sz val="1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164" formatCode="_(&quot;$&quot;* #,##0_);_(&quot;$&quot;* \(#,##0\);_(&quot;$&quot;* &quot;-&quot;??_);_(@_)"/>
      <fill>
        <patternFill patternType="none">
          <fgColor indexed="64"/>
          <bgColor auto="1"/>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i/>
        <strike val="0"/>
        <condense val="0"/>
        <extend val="0"/>
        <outline val="0"/>
        <shadow val="0"/>
        <u/>
        <vertAlign val="baseline"/>
        <sz val="10"/>
        <color rgb="FF000000"/>
        <name val="Arial"/>
        <family val="2"/>
        <scheme val="none"/>
      </font>
      <numFmt numFmtId="1" formatCode="0"/>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i/>
        <strike val="0"/>
        <condense val="0"/>
        <extend val="0"/>
        <outline val="0"/>
        <shadow val="0"/>
        <u/>
        <vertAlign val="baseline"/>
        <sz val="10"/>
        <color rgb="FF7030A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right/>
        <top style="medium">
          <color rgb="FF0086BF"/>
        </top>
        <bottom style="medium">
          <color rgb="FF0086BF"/>
        </bottom>
      </border>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0"/>
      <protection locked="0" hidden="0"/>
    </dxf>
    <dxf>
      <font>
        <b val="0"/>
        <strike val="0"/>
        <outline val="0"/>
        <shadow val="0"/>
        <vertAlign val="baseline"/>
        <sz val="10"/>
        <name val="Arial"/>
        <family val="2"/>
        <scheme val="none"/>
      </font>
      <fill>
        <patternFill patternType="none">
          <fgColor rgb="FF000000"/>
          <bgColor auto="1"/>
        </patternFill>
      </fill>
    </dxf>
    <dxf>
      <font>
        <b/>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vertical="center" textRotation="0" indent="0" justifyLastLine="0" shrinkToFit="0" readingOrder="0"/>
    </dxf>
    <dxf>
      <border>
        <bottom style="thin">
          <color indexed="64"/>
        </bottom>
      </border>
    </dxf>
    <dxf>
      <font>
        <strike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0"/>
        <color rgb="FF7030A0"/>
        <name val="Arial"/>
        <family val="2"/>
        <scheme val="none"/>
      </font>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rgb="FF7030A0"/>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7030A0"/>
        <name val="Arial"/>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Arial"/>
        <family val="2"/>
        <scheme val="none"/>
      </font>
      <fill>
        <patternFill patternType="solid">
          <fgColor indexed="64"/>
          <bgColor rgb="FF7030A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border>
        <bottom style="thin">
          <color indexed="64"/>
        </bottom>
      </border>
    </dxf>
    <dxf>
      <font>
        <strike val="0"/>
        <outline val="0"/>
        <shadow val="0"/>
        <u val="none"/>
        <vertAlign val="baseline"/>
        <sz val="11"/>
        <name val="Arial"/>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numFmt numFmtId="165" formatCode="&quot;$&quot;#,##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i/>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0"/>
        <color theme="1"/>
        <name val="Arial"/>
        <family val="2"/>
        <scheme val="none"/>
      </font>
      <fill>
        <patternFill patternType="solid">
          <fgColor indexed="64"/>
          <bgColor theme="4"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vertical="center" textRotation="0" indent="0" justifyLastLine="0" shrinkToFit="0" readingOrder="0"/>
    </dxf>
    <dxf>
      <font>
        <strike val="0"/>
        <outline val="0"/>
        <shadow val="0"/>
        <u val="none"/>
        <vertAlign val="baseline"/>
        <name val="Arial"/>
        <family val="2"/>
        <scheme val="none"/>
      </font>
      <fill>
        <patternFill patternType="solid">
          <fgColor indexed="64"/>
          <bgColor rgb="FF002060"/>
        </patternFill>
      </fill>
      <alignment horizontal="center" vertical="center" textRotation="0" wrapText="1" indent="0" justifyLastLine="0" shrinkToFit="0" readingOrder="0"/>
    </dxf>
  </dxfs>
  <tableStyles count="0" defaultTableStyle="TableStyleMedium2" defaultPivotStyle="PivotStyleLight16"/>
  <colors>
    <mruColors>
      <color rgb="FF003B5C"/>
      <color rgb="FFA391F1"/>
      <color rgb="FFF2F2F2"/>
      <color rgb="FF0086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762000</xdr:colOff>
      <xdr:row>52</xdr:row>
      <xdr:rowOff>152400</xdr:rowOff>
    </xdr:to>
    <xdr:pic>
      <xdr:nvPicPr>
        <xdr:cNvPr id="2" name="Picture 1">
          <a:extLst>
            <a:ext uri="{FF2B5EF4-FFF2-40B4-BE49-F238E27FC236}">
              <a16:creationId xmlns:a16="http://schemas.microsoft.com/office/drawing/2014/main" id="{3927DD35-C480-B6F4-04A2-4FD1DC33B6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7772400" cy="10058400"/>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689707</xdr:colOff>
      <xdr:row>4</xdr:row>
      <xdr:rowOff>42234</xdr:rowOff>
    </xdr:from>
    <xdr:to>
      <xdr:col>1</xdr:col>
      <xdr:colOff>3625117</xdr:colOff>
      <xdr:row>4</xdr:row>
      <xdr:rowOff>567366</xdr:rowOff>
    </xdr:to>
    <xdr:pic>
      <xdr:nvPicPr>
        <xdr:cNvPr id="2" name="Graphic 3">
          <a:extLst>
            <a:ext uri="{FF2B5EF4-FFF2-40B4-BE49-F238E27FC236}">
              <a16:creationId xmlns:a16="http://schemas.microsoft.com/office/drawing/2014/main" id="{ABC01D64-980D-4A22-AD40-E273BE0DC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37407" y="816934"/>
          <a:ext cx="2935410" cy="525132"/>
        </a:xfrm>
        <a:prstGeom prst="rect">
          <a:avLst/>
        </a:prstGeom>
      </xdr:spPr>
    </xdr:pic>
    <xdr:clientData/>
  </xdr:twoCellAnchor>
  <xdr:twoCellAnchor editAs="oneCell">
    <xdr:from>
      <xdr:col>1</xdr:col>
      <xdr:colOff>720967</xdr:colOff>
      <xdr:row>9</xdr:row>
      <xdr:rowOff>0</xdr:rowOff>
    </xdr:from>
    <xdr:to>
      <xdr:col>1</xdr:col>
      <xdr:colOff>3723578</xdr:colOff>
      <xdr:row>10</xdr:row>
      <xdr:rowOff>190500</xdr:rowOff>
    </xdr:to>
    <xdr:pic>
      <xdr:nvPicPr>
        <xdr:cNvPr id="3" name="Graphic 2">
          <a:extLst>
            <a:ext uri="{FF2B5EF4-FFF2-40B4-BE49-F238E27FC236}">
              <a16:creationId xmlns:a16="http://schemas.microsoft.com/office/drawing/2014/main" id="{F2F960CA-6176-4399-82ED-B1589A641C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368667" y="3479800"/>
          <a:ext cx="3002611" cy="723900"/>
        </a:xfrm>
        <a:prstGeom prst="rect">
          <a:avLst/>
        </a:prstGeom>
      </xdr:spPr>
    </xdr:pic>
    <xdr:clientData/>
  </xdr:twoCellAnchor>
  <xdr:twoCellAnchor editAs="oneCell">
    <xdr:from>
      <xdr:col>1</xdr:col>
      <xdr:colOff>537613</xdr:colOff>
      <xdr:row>13</xdr:row>
      <xdr:rowOff>123826</xdr:rowOff>
    </xdr:from>
    <xdr:to>
      <xdr:col>1</xdr:col>
      <xdr:colOff>3562350</xdr:colOff>
      <xdr:row>17</xdr:row>
      <xdr:rowOff>25401</xdr:rowOff>
    </xdr:to>
    <xdr:pic>
      <xdr:nvPicPr>
        <xdr:cNvPr id="4" name="Graphic 5">
          <a:extLst>
            <a:ext uri="{FF2B5EF4-FFF2-40B4-BE49-F238E27FC236}">
              <a16:creationId xmlns:a16="http://schemas.microsoft.com/office/drawing/2014/main" id="{A220D51B-2926-4013-BA4D-2220BA088C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099588" y="4581526"/>
          <a:ext cx="3024737" cy="844550"/>
        </a:xfrm>
        <a:prstGeom prst="rect">
          <a:avLst/>
        </a:prstGeom>
      </xdr:spPr>
    </xdr:pic>
    <xdr:clientData/>
  </xdr:twoCellAnchor>
  <xdr:twoCellAnchor editAs="oneCell">
    <xdr:from>
      <xdr:col>1</xdr:col>
      <xdr:colOff>700906</xdr:colOff>
      <xdr:row>18</xdr:row>
      <xdr:rowOff>76200</xdr:rowOff>
    </xdr:from>
    <xdr:to>
      <xdr:col>1</xdr:col>
      <xdr:colOff>3009900</xdr:colOff>
      <xdr:row>20</xdr:row>
      <xdr:rowOff>245063</xdr:rowOff>
    </xdr:to>
    <xdr:pic>
      <xdr:nvPicPr>
        <xdr:cNvPr id="5" name="Graphic 8">
          <a:extLst>
            <a:ext uri="{FF2B5EF4-FFF2-40B4-BE49-F238E27FC236}">
              <a16:creationId xmlns:a16="http://schemas.microsoft.com/office/drawing/2014/main" id="{339D76F7-61C4-478B-A657-7D153852883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348606" y="5651500"/>
          <a:ext cx="2308994" cy="549863"/>
        </a:xfrm>
        <a:prstGeom prst="rect">
          <a:avLst/>
        </a:prstGeom>
      </xdr:spPr>
    </xdr:pic>
    <xdr:clientData/>
  </xdr:twoCellAnchor>
  <xdr:twoCellAnchor editAs="oneCell">
    <xdr:from>
      <xdr:col>1</xdr:col>
      <xdr:colOff>716035</xdr:colOff>
      <xdr:row>20</xdr:row>
      <xdr:rowOff>451654</xdr:rowOff>
    </xdr:from>
    <xdr:to>
      <xdr:col>1</xdr:col>
      <xdr:colOff>3746500</xdr:colOff>
      <xdr:row>22</xdr:row>
      <xdr:rowOff>35498</xdr:rowOff>
    </xdr:to>
    <xdr:pic>
      <xdr:nvPicPr>
        <xdr:cNvPr id="6" name="Graphic 4">
          <a:extLst>
            <a:ext uri="{FF2B5EF4-FFF2-40B4-BE49-F238E27FC236}">
              <a16:creationId xmlns:a16="http://schemas.microsoft.com/office/drawing/2014/main" id="{E8DE1486-8DEE-4E36-A6AE-CEC1FB3AA2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363735" y="6407954"/>
          <a:ext cx="3030465" cy="54904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BDB1C22-0831-455E-9D80-3CB50CFA5053}" name="tblMissionPrompts14" displayName="tblMissionPrompts14" ref="C7:E12" totalsRowShown="0" headerRowDxfId="237" dataDxfId="236">
  <autoFilter ref="C7:E12" xr:uid="{09324F53-4CF9-4A84-865D-5DA67071876A}"/>
  <tableColumns count="3">
    <tableColumn id="1" xr3:uid="{E8430FBC-5569-44AA-B82B-0C3E62C68356}" name="Impact Magnitude" dataDxfId="235"/>
    <tableColumn id="2" xr3:uid="{337C75B1-E855-481A-BF03-DFD2EA770FA3}" name="Prompt" dataDxfId="234"/>
    <tableColumn id="3" xr3:uid="{9A43E525-B93E-40F6-B6FD-66CB43ADAE48}" name="Response" dataDxfId="233"/>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23F7C1C-AA2E-407B-B213-D94117A47A8E}" name="tblOperationalObjectivesPrompts26" displayName="tblOperationalObjectivesPrompts26" ref="C20:E25" totalsRowShown="0" headerRowDxfId="232" dataDxfId="231">
  <autoFilter ref="C20:E25" xr:uid="{46EAAD7E-2ACA-4874-86BE-FF0085A8CE13}"/>
  <tableColumns count="3">
    <tableColumn id="1" xr3:uid="{535F53D4-86F0-4A36-887D-9D6631359F32}" name="Impact Magnitude" dataDxfId="230"/>
    <tableColumn id="2" xr3:uid="{CE887ECA-A047-42AB-8C26-95DED5D9B71B}" name="Prompt" dataDxfId="229"/>
    <tableColumn id="3" xr3:uid="{7F9BE9F0-9919-4FE1-B65C-11C6F94EA6C9}" name="Response" dataDxfId="228"/>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E169686-DAE3-4361-924C-4E0464623588}" name="tblFinancialObjectivesPrompts27" displayName="tblFinancialObjectivesPrompts27" ref="C33:E38" totalsRowShown="0" headerRowDxfId="227" dataDxfId="226">
  <autoFilter ref="C33:E38" xr:uid="{5B3764C1-C122-4A1D-B915-2B9D03361D63}"/>
  <tableColumns count="3">
    <tableColumn id="1" xr3:uid="{2D34249D-F98C-45AF-983C-A68F4E069883}" name="Impact Magnitude" dataDxfId="225"/>
    <tableColumn id="2" xr3:uid="{EA7E3BD7-6861-4E52-9960-3AE1002DC7EA}" name="Prompt" dataDxfId="224"/>
    <tableColumn id="3" xr3:uid="{520E4071-CBE2-4F78-966A-F4D607031C4B}" name="Response" dataDxfId="223"/>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F4AF5F8-3C64-4617-A0C2-202D26B431E6}" name="tblObligations28" displayName="tblObligations28" ref="C46:E51" totalsRowShown="0" headerRowDxfId="222" dataDxfId="221">
  <autoFilter ref="C46:E51" xr:uid="{614F668E-5111-40F9-AD5F-D214A6D31BA0}"/>
  <tableColumns count="3">
    <tableColumn id="1" xr3:uid="{BF7A29C5-E77A-456C-97B8-6FF6D1DF21CC}" name="Impact Magnitude" dataDxfId="220"/>
    <tableColumn id="2" xr3:uid="{54CB0C56-F545-4FD1-BE16-32AFFA33E1C9}" name="Prompt" dataDxfId="219"/>
    <tableColumn id="3" xr3:uid="{4DC93E75-3D17-411E-98E6-F5062AFA5ED2}" name="Response" dataDxfId="218"/>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BA82D-C6DB-4120-95D5-DB050AECF539}" name="tblImpactDefinitions29" displayName="tblImpactDefinitions29" ref="C10:G16" totalsRowShown="0" headerRowDxfId="217" dataDxfId="215" headerRowBorderDxfId="216" tableBorderDxfId="214" totalsRowBorderDxfId="213">
  <autoFilter ref="C10:G16" xr:uid="{8DD03DC5-50FC-44D0-B8F0-179EA60BA403}"/>
  <tableColumns count="5">
    <tableColumn id="1" xr3:uid="{BAC54837-23DB-4BCF-88DA-B6572157BE46}" name="Impact Scores" dataDxfId="212"/>
    <tableColumn id="2" xr3:uid="{24ADE7BD-E00C-40B1-B8DC-CDFF149BC72E}" name="Mission" dataDxfId="211"/>
    <tableColumn id="3" xr3:uid="{AAC3B212-DEAB-47EC-80E4-1B680BFDAA46}" name="Operational Objectives" dataDxfId="210"/>
    <tableColumn id="4" xr3:uid="{EB9B0B8C-2509-4335-A81B-418E123B40A7}" name="Financial Objectives" dataDxfId="209" dataCellStyle="Currency"/>
    <tableColumn id="5" xr3:uid="{D767CD6B-9DA6-4491-828E-8889CE62F12E}" name="Obligations" dataDxfId="20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3712D95-176C-4230-9C07-71A335F01BE8}" name="tblInherentImpacts30" displayName="tblInherentImpacts30" ref="C41:G47" totalsRowShown="0" headerRowDxfId="207" dataDxfId="205" headerRowBorderDxfId="206" tableBorderDxfId="204" totalsRowBorderDxfId="203">
  <autoFilter ref="C41:G47" xr:uid="{9273A98F-98B1-41B9-A7F2-1ADD2DC94951}"/>
  <tableColumns count="5">
    <tableColumn id="1" xr3:uid="{F4BA415F-A0A9-4F92-8063-BE7C9B63AAEE}" name="Asset Class" dataDxfId="202"/>
    <tableColumn id="2" xr3:uid="{8929D26B-6EDD-41CD-AD59-457B604345B3}" name="Mission Impact" dataDxfId="201"/>
    <tableColumn id="3" xr3:uid="{ACEAE1D3-DB66-42F9-A37E-422A6BD5CEB6}" name="Operational Objectives Impact" dataDxfId="200"/>
    <tableColumn id="4" xr3:uid="{27BEA72C-EBF9-4836-AE5D-430D9D4C9782}" name="Financial Objectives Impact" dataDxfId="199"/>
    <tableColumn id="5" xr3:uid="{3FE8F5F6-06E2-4142-B9DA-01A086940281}" name="Obligations Impact" dataDxfId="19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E55E4AD-C6C0-4436-8BF3-425225089402}" name="tblLikelihoodDefinitions31" displayName="tblLikelihoodDefinitions31" ref="C22:E27" totalsRowShown="0" headerRowDxfId="197" dataDxfId="195" headerRowBorderDxfId="196" tableBorderDxfId="194" totalsRowBorderDxfId="193">
  <autoFilter ref="C22:E27" xr:uid="{6531DCC4-4F6C-4E87-91EB-28D5C035F4E3}"/>
  <tableColumns count="3">
    <tableColumn id="1" xr3:uid="{D24B7B20-283F-4D0E-BBE7-F3E8F8377CE5}" name="Expectancy Score" dataDxfId="192"/>
    <tableColumn id="2" xr3:uid="{6030AE4B-E332-4400-8C85-5E7A287CC17B}" name="Expectancy" dataDxfId="191"/>
    <tableColumn id="3" xr3:uid="{FB487DE0-71E3-4A47-B8B4-4553174D12CB}" name="Criteria" dataDxfId="19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51C00C5-B87F-49E2-BC87-136C3E61754D}" name="tblRiskRegister32" displayName="tblRiskRegister32" ref="B10:AJ140" totalsRowShown="0" headerRowDxfId="189" dataDxfId="188">
  <autoFilter ref="B10:AJ140" xr:uid="{9DD1637E-6A24-4152-BF1D-6C69C54474D3}"/>
  <sortState xmlns:xlrd2="http://schemas.microsoft.com/office/spreadsheetml/2017/richdata2" ref="B11:AJ140">
    <sortCondition ref="D10:D140"/>
  </sortState>
  <tableColumns count="35">
    <tableColumn id="20" xr3:uid="{B386DF3E-CAE4-41D3-A53A-37CD45084AE0}" name="Asset Class" dataDxfId="187"/>
    <tableColumn id="22" xr3:uid="{0F07088F-2060-479B-AB7C-17A71C3B8111}" name="Asset Name" dataDxfId="186"/>
    <tableColumn id="33" xr3:uid="{22B6B5FC-1E7E-402C-BDB3-EF0E6960D5F6}" name="CIS Safeguard" dataDxfId="185"/>
    <tableColumn id="2" xr3:uid="{982ABEAC-4809-4124-8426-1788708A5167}" name="CIS Safeguard Title" dataDxfId="184"/>
    <tableColumn id="30" xr3:uid="{2D102FF0-B9CB-4A30-8CCB-7E930C651C58}" name="IG1" dataDxfId="183"/>
    <tableColumn id="29" xr3:uid="{2A501978-25BD-4220-AC19-3FC5A559FB48}" name="IG2" dataDxfId="182"/>
    <tableColumn id="35" xr3:uid="{5DDFB219-6EBE-4624-9B0C-15A1F647A816}" name="NIST CSF Security Function" dataDxfId="181"/>
    <tableColumn id="34" xr3:uid="{E0C41EAD-99CD-4FFD-9AEC-9A3BEB37B0C3}" name="Our Implementation" dataDxfId="180"/>
    <tableColumn id="32" xr3:uid="{5EE95070-0AEA-45EC-B900-26546CD53269}" name="Evidence of Implementation" dataDxfId="179"/>
    <tableColumn id="1" xr3:uid="{4C329DA3-8A00-4882-97D6-E8DED3101F0A}" name="Vulnerabilities" dataDxfId="178"/>
    <tableColumn id="3" xr3:uid="{DE32F5DE-4A34-43B1-BD4D-C8C31FDC0ABA}" name="Safeguard Maturity Score" dataDxfId="177"/>
    <tableColumn id="27" xr3:uid="{AF3D0754-0D31-4DD4-948C-B5B61156F301}" name="VCDB Index" dataDxfId="176">
      <calculatedColumnFormula>IFERROR(VLOOKUP(tblRiskRegister32[[#This Row],[Asset Class]],tblVCDBIndex[],4,FALSE),"")</calculatedColumnFormula>
    </tableColumn>
    <tableColumn id="9" xr3:uid="{9DFFCE7E-90F3-41AA-AB97-02C29E3056AF}" name="Expectancy Score" dataDxfId="175">
      <calculatedColumnFormula>IFERROR(VLOOKUP(10*tblRiskRegister32[[#This Row],[Safeguard Maturity Score]]+tblRiskRegister32[[#This Row],[VCDB Index]],tblHITIndexWeightTable[],4,FALSE),"")</calculatedColumnFormula>
    </tableColumn>
    <tableColumn id="10" xr3:uid="{5C8A7569-0154-4ADD-AA40-77A64DEB3054}" name="Impact to Mission" dataDxfId="174">
      <calculatedColumnFormula>VLOOKUP(tblRiskRegister32[[#This Row],[Asset Class]],tblInherentImpacts30[],2,FALSE)</calculatedColumnFormula>
    </tableColumn>
    <tableColumn id="11" xr3:uid="{49D36246-41FB-408C-A888-625D2BA6E5D6}" name="Impact to Operational Objectives" dataDxfId="173">
      <calculatedColumnFormula>VLOOKUP(tblRiskRegister32[[#This Row],[Asset Class]],tblInherentImpacts30[],3,FALSE)</calculatedColumnFormula>
    </tableColumn>
    <tableColumn id="4" xr3:uid="{BCC17CE9-A961-4E9A-B634-3B7856D7A5F9}" name="Impact to Financial Objectives" dataDxfId="172">
      <calculatedColumnFormula>VLOOKUP(tblRiskRegister32[[#This Row],[Asset Class]],tblInherentImpacts30[],4,FALSE)</calculatedColumnFormula>
    </tableColumn>
    <tableColumn id="12" xr3:uid="{A00E3462-7287-475B-B575-7BE7420373C0}" name="Impact to Obligations" dataDxfId="171">
      <calculatedColumnFormula>VLOOKUP(tblRiskRegister32[[#This Row],[Asset Class]],tblInherentImpacts30[],5,FALSE)</calculatedColumnFormula>
    </tableColumn>
    <tableColumn id="13" xr3:uid="{0C576C88-0F5F-451B-A673-5833C54A352D}" name="Risk Score" dataDxfId="170">
      <calculatedColumnFormula>IFERROR(MAX(tblRiskRegister32[[#This Row],[Impact to Mission]:[Impact to Obligations]])*tblRiskRegister32[[#This Row],[Expectancy Score]],"")</calculatedColumnFormula>
    </tableColumn>
    <tableColumn id="14" xr3:uid="{0D85476C-FDB7-4719-AA34-655D011C000A}" name="Risk Level" dataDxfId="169">
      <calculatedColumnFormula>tblRiskRegister32[[#This Row],[Risk Score]]</calculatedColumnFormula>
    </tableColumn>
    <tableColumn id="25" xr3:uid="{FAB984D3-7F70-4E1E-943A-F2D67537C50A}" name="Risk Treatment Option" dataDxfId="168"/>
    <tableColumn id="5" xr3:uid="{054D0362-6301-484F-B8B8-124D5F94144B}" name="Risk Treatment Safeguard" dataDxfId="167"/>
    <tableColumn id="6" xr3:uid="{3975DA05-47EF-468D-B68B-DB1C38B4BECE}" name="Risk Treatment_x000a_Safeguard Title" dataDxfId="166"/>
    <tableColumn id="24" xr3:uid="{4EAC9308-CB78-4935-91A9-49DC03CE6F5E}" name="Risk Treatment_x000a_Safeguard Description" dataDxfId="165"/>
    <tableColumn id="21" xr3:uid="{17E35318-ED01-424F-8275-22B2A36A2166}" name="Our Planned Implementation" dataDxfId="164"/>
    <tableColumn id="7" xr3:uid="{7FC3B1A8-639C-4920-A4AF-6AD34C1B0CCE}" name="Risk Treatment Safeguard Maturity Score" dataDxfId="163"/>
    <tableColumn id="15" xr3:uid="{B4BEB8AC-0439-4C97-B0E5-230255ABDE1D}" name="Risk Treatment_x000a_Safeguard Expectancy Score" dataDxfId="162">
      <calculatedColumnFormula>IFERROR(VLOOKUP(10*tblRiskRegister32[[#This Row],[Risk Treatment Safeguard Maturity Score]]+tblRiskRegister32[[#This Row],[VCDB Index]],tblHITIndexWeightTable[],4,FALSE),"")</calculatedColumnFormula>
    </tableColumn>
    <tableColumn id="16" xr3:uid="{7E7FF273-7AE3-4B71-8DF7-5103C48270F0}" name="Risk Treatment Safeguard Impact to Mission" dataDxfId="161">
      <calculatedColumnFormula>VLOOKUP(tblRiskRegister32[[#This Row],[Asset Class]],tblInherentImpacts30[],2,FALSE)</calculatedColumnFormula>
    </tableColumn>
    <tableColumn id="17" xr3:uid="{E234E5FC-B87C-49AB-83F7-8F6E031E7C49}" name="Risk Treatment Safeguard Impact to Operational Objectives" dataDxfId="160">
      <calculatedColumnFormula>VLOOKUP(tblRiskRegister32[[#This Row],[Asset Class]],tblInherentImpacts30[],3,FALSE)</calculatedColumnFormula>
    </tableColumn>
    <tableColumn id="31" xr3:uid="{CF8589FA-F045-45CA-B868-242A68896202}" name="Risk Treatment Safeguard Impact to Financial Objectives" dataDxfId="159">
      <calculatedColumnFormula>VLOOKUP(tblRiskRegister32[[#This Row],[Asset Class]],tblInherentImpacts30[],4,FALSE)</calculatedColumnFormula>
    </tableColumn>
    <tableColumn id="18" xr3:uid="{EBA6F3A2-DCB1-4EFD-A655-B0BD5AE910E4}" name="Risk Treatment Safeguard Impact to Obligations" dataDxfId="158">
      <calculatedColumnFormula>VLOOKUP(tblRiskRegister32[[#This Row],[Asset Class]],tblInherentImpacts30[],5,FALSE)</calculatedColumnFormula>
    </tableColumn>
    <tableColumn id="28" xr3:uid="{F7B83DFB-FF9C-43AC-A3BD-70A58A5F15C6}" name="Risk Treatment Safeguard Risk Score" dataDxfId="157">
      <calculatedColumnFormula>IFERROR(MAX(tblRiskRegister32[[#This Row],[Risk Treatment Safeguard Impact to Mission]:[Risk Treatment Safeguard Impact to Obligations]])*tblRiskRegister32[[#This Row],[Risk Treatment
Safeguard Expectancy Score]],"")</calculatedColumnFormula>
    </tableColumn>
    <tableColumn id="26" xr3:uid="{6F4C4F60-3334-4128-81CE-FC73AD00F16A}" name="Reasonable and Acceptable" dataDxfId="156">
      <calculatedColumnFormula>IF(tblRiskRegister32[[#This Row],[Risk Score]]&gt;=AcceptableRisk,IF(tblRiskRegister32[[#This Row],[Risk Treatment Safeguard Risk Score]]&lt;AcceptableRisk, IF(tblRiskRegister32[[#This Row],[Risk Treatment Safeguard Risk Score]]&lt;tblRiskRegister32[[#This Row],[Risk Score]],"Yes","No"),"No"),"Yes")</calculatedColumnFormula>
    </tableColumn>
    <tableColumn id="19" xr3:uid="{15D7A831-919A-42AB-8722-C9CBEADE2F86}" name="Risk Treatment Safeguard Cost" dataDxfId="155" dataCellStyle="Currency"/>
    <tableColumn id="8" xr3:uid="{46272CCA-0793-4A93-9571-5F8AF995DBE7}" name="Implementation Quarter" dataDxfId="154" dataCellStyle="Currency"/>
    <tableColumn id="23" xr3:uid="{49E9853A-BB72-4DAD-AB59-4ABCF73F3CFE}" name="Implementation Year" dataDxfId="15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7567108-5A07-43F6-BCA9-B155B5543AF6}" name="tblCostImpacts33" displayName="tblCostImpacts33" ref="AL10:AN20" totalsRowShown="0" headerRowDxfId="152" dataDxfId="151">
  <autoFilter ref="AL10:AN20" xr:uid="{8DF8E5E0-4444-493D-923E-B023F5A18943}"/>
  <tableColumns count="3">
    <tableColumn id="1" xr3:uid="{AC7F14F8-211B-49A4-9A7C-EE1DC0628C0A}" name="Impact to Financial Objectives" dataDxfId="150" dataCellStyle="Currency">
      <calculatedColumnFormula>SUMIF(tblRiskRegister32[[#All],[Implementation Year]],"="&amp;tblCostImpacts33[[#This Row],[Year]],tblRiskRegister32[[#All],[Risk Treatment Safeguard Cost]])</calculatedColumnFormula>
    </tableColumn>
    <tableColumn id="2" xr3:uid="{FC34218E-1AA0-45C1-8E86-735B23BFA4D9}" name="Year" dataDxfId="149"/>
    <tableColumn id="3" xr3:uid="{2500527B-152A-4873-A543-6623623C36BE}" name="Reasonable?" dataDxfId="148">
      <calculatedColumnFormula>IF(tblCostImpacts33[[#This Row],[Impact to Financial Objectives]]&lt;='2. Enterprise Parameters'!$F$13,"Yes","No")</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715D722-C0DC-40F3-8939-425306C61E7A}" name="tblInherentImpacts3049" displayName="tblInherentImpacts3049" ref="F12:J18" totalsRowShown="0" headerRowDxfId="147" dataDxfId="145" headerRowBorderDxfId="146" tableBorderDxfId="144" totalsRowBorderDxfId="143">
  <tableColumns count="5">
    <tableColumn id="1" xr3:uid="{02FCC110-778C-4100-9418-34D68627396C}" name="Asset Class" dataDxfId="142"/>
    <tableColumn id="2" xr3:uid="{AA9BA4D5-E6E2-469D-B2AE-A50989E3BFAB}" name="Mission Impact" dataDxfId="141"/>
    <tableColumn id="3" xr3:uid="{F8B9C3A7-534A-4AA2-979B-DFA752C04141}" name="Operational Objectives Impact" dataDxfId="140"/>
    <tableColumn id="4" xr3:uid="{43B3DDD4-C43F-4881-8420-23813EB197C9}" name="Financial Objectives Impact" dataDxfId="139"/>
    <tableColumn id="5" xr3:uid="{946B9417-092B-44F8-B7EB-0DBF608AE0FE}" name="Obligations Impact" dataDxfId="13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BBA5EBE-03E7-45DE-8727-6AB98509E54B}" name="tblImpactDefinitions2950" displayName="tblImpactDefinitions2950" ref="F3:J9" totalsRowShown="0" headerRowDxfId="137" dataDxfId="135" headerRowBorderDxfId="136" tableBorderDxfId="134" totalsRowBorderDxfId="133">
  <tableColumns count="5">
    <tableColumn id="1" xr3:uid="{85376017-A3CF-4BE2-BB88-4AEB7C755F69}" name="Impact Scores" dataDxfId="132"/>
    <tableColumn id="2" xr3:uid="{04585905-B17C-4E87-8E57-FA4C5971F3D2}" name="Mission" dataDxfId="131"/>
    <tableColumn id="3" xr3:uid="{1ABAD568-DF55-402E-8C78-0E11DCD6F68E}" name="Operational Objectives" dataDxfId="130">
      <calculatedColumnFormula>IF(ISBLANK('1. Impact Criteria Survey '!H38),"",'1. Impact Criteria Survey '!H38)</calculatedColumnFormula>
    </tableColumn>
    <tableColumn id="4" xr3:uid="{D68FB863-1913-4052-8144-35A8F7241910}" name="Financial Objectives" dataDxfId="129" dataCellStyle="Currency"/>
    <tableColumn id="5" xr3:uid="{B1CF1284-FD2F-4F84-B81C-9A9748936E1C}" name="Obligations" dataDxfId="128">
      <calculatedColumnFormula>IF(ISBLANK('1. Impact Criteria Survey '!H64),"",'1. Impact Criteria Survey '!H64)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E48999-10B6-4E11-B044-B277753047A0}" name="tblMaturityScores" displayName="tblMaturityScores" ref="B18:C23" totalsRowShown="0" headerRowDxfId="127" dataDxfId="126">
  <autoFilter ref="B18:C23" xr:uid="{7B87A968-A3AD-4C4F-82A7-F496D86A46DA}"/>
  <tableColumns count="2">
    <tableColumn id="1" xr3:uid="{DD79982C-A9BA-4C29-9339-25D7077BA225}" name="Maturity Scores" dataDxfId="125"/>
    <tableColumn id="2" xr3:uid="{B95BD2FA-F1A4-4A6B-8B12-4B5DE8ABB09E}" name="Definition" dataDxfId="124"/>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E67D7F-408D-4247-9729-AF2715BBF482}" name="Table5" displayName="Table5" ref="B29:D34" totalsRowShown="0" headerRowDxfId="123" dataDxfId="122">
  <autoFilter ref="B29:D34" xr:uid="{9543C490-5DBE-41CA-B48C-0C5A61F445AA}"/>
  <tableColumns count="3">
    <tableColumn id="1" xr3:uid="{AB1F23FC-EFCD-4F47-981B-1A533DC44E01}" name="Expectancy Scores" dataDxfId="121"/>
    <tableColumn id="2" xr3:uid="{4239A226-FA5E-49A1-86BA-6C89EC06FDE3}" name="Expectancy" dataDxfId="120"/>
    <tableColumn id="3" xr3:uid="{0C12584E-04E3-4DDF-B031-4024B9D8D6D4}" name="Criteria" dataDxfId="119"/>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5C1274-FDB1-4BEB-98FC-B08D4109F889}" name="Table6" displayName="Table6" ref="B40:C41" totalsRowShown="0" headerRowDxfId="118" dataDxfId="117">
  <autoFilter ref="B40:C41" xr:uid="{1F2A4CDB-E353-417D-87C3-37E36339B4E8}"/>
  <tableColumns count="2">
    <tableColumn id="1" xr3:uid="{3DC79FAB-AE52-4C8A-96B3-D0F1100C46B0}" name="Acceptable Risk Score" dataDxfId="116">
      <calculatedColumnFormula>IF(AcceptableRisk&gt;0, "&lt; " &amp; AcceptableRisk, "Complete the Risk Acceptance Criteria table in Enterprise Parameters")</calculatedColumnFormula>
    </tableColumn>
    <tableColumn id="2" xr3:uid="{2716CAD0-D544-4052-A3D6-A853AF68014F}" name="Risk Acceptance Criteria" dataDxfId="115">
      <calculatedColumnFormula>IF(AcceptableRisk&gt;0, "All scores lower than '" &amp; AcceptableRisk &amp; "' may be automatically accepted. All other risks must be reduced.","Complete the Risk Acceptance Criteria table in Enterprise parameters.")</calculatedColumnFormula>
    </tableColumn>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7DE92C-2FC9-4A9B-8B56-9BBAC9A4D18C}" name="tblVCDBIndex" displayName="tblVCDBIndex" ref="B48:E54" totalsRowShown="0" headerRowDxfId="114" dataDxfId="113">
  <autoFilter ref="B48:E54" xr:uid="{3D5FFE15-1BB4-4EF0-B09F-4B164D6A82A7}"/>
  <tableColumns count="4">
    <tableColumn id="1" xr3:uid="{50E1FA10-603D-42D6-8A53-9DE10B2F836D}" name="Asset Class" dataDxfId="112"/>
    <tableColumn id="2" xr3:uid="{A5ADADF0-F404-4FB8-B93B-A9D20A6C8892}" name="Sum of Threat Count / Industry" dataDxfId="111"/>
    <tableColumn id="3" xr3:uid="{E69ACDA9-ACAA-4EEA-9C81-B28906831D41}" name="Percentage" dataDxfId="110" dataCellStyle="Percent">
      <calculatedColumnFormula>tblVCDBIndex[[#This Row],[Sum of Threat Count / Industry]]/$C$47</calculatedColumnFormula>
    </tableColumn>
    <tableColumn id="4" xr3:uid="{287EDDA7-0E69-4366-BA87-DCC60821B9A2}" name="Index" dataDxfId="109">
      <calculatedColumnFormula>IF(tblVCDBIndex[[#This Row],[Percentage]]&lt;0.2,1,IF(tblVCDBIndex[[#This Row],[Percentage]]&lt;0.4,2,IF(tblVCDBIndex[[#This Row],[Percentage]]&lt;0.6,3,IF(tblVCDBIndex[[#This Row],[Percentage]]&lt;0.8,4,5))))</calculatedColumnFormula>
    </tableColumn>
  </tableColumns>
  <tableStyleInfo name="TableStyleMedium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887B67-BF2C-4E30-9E2B-2AF3B21AC2F9}" name="tblHITIndexWeightTable" displayName="tblHITIndexWeightTable" ref="B60:E85" totalsRowShown="0" headerRowDxfId="108" dataDxfId="107">
  <autoFilter ref="B60:E85" xr:uid="{045CA64F-00D5-4A25-A420-B3A85B51667D}"/>
  <sortState xmlns:xlrd2="http://schemas.microsoft.com/office/spreadsheetml/2017/richdata2" ref="C61:E69">
    <sortCondition descending="1" ref="C60:C69"/>
  </sortState>
  <tableColumns count="4">
    <tableColumn id="4" xr3:uid="{42C0E347-189B-4749-AA0C-F2B9D0D43957}" name="VCDB Index Lookup" dataDxfId="106"/>
    <tableColumn id="1" xr3:uid="{54D34524-94CD-466A-B10E-F45894C20F46}" name="Maturity" dataDxfId="105"/>
    <tableColumn id="2" xr3:uid="{6FFDD197-6A58-4063-AFA5-225A42374912}" name="VCDB Index" dataDxfId="104"/>
    <tableColumn id="3" xr3:uid="{2AC0ACC8-58E6-4D9E-9B01-B192A02430C5}" name="Expectancy" dataDxfId="103"/>
  </tableColumns>
  <tableStyleInfo name="TableStyleMedium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F47F86D-E0F9-4DBA-AF95-CF1AC686018A}" name="Table10" displayName="Table10" ref="B6:B12" totalsRowShown="0" headerRowDxfId="102" dataDxfId="101">
  <autoFilter ref="B6:B12" xr:uid="{CC22DCD9-5E80-491A-A6DB-255929F03381}"/>
  <tableColumns count="1">
    <tableColumn id="1" xr3:uid="{EAB9E2CC-245E-4CC2-A0A0-5DC2A0BBFAB4}" name="Asset Classes" dataDxfId="100"/>
  </tableColumns>
  <tableStyleInfo name="TableStyleMedium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5197394-C98A-47C4-9CBC-32571ED11E59}" name="tblMaturityScores1213" displayName="tblMaturityScores1213" ref="I3:J8" totalsRowShown="0" headerRowDxfId="99" dataDxfId="98" tableBorderDxfId="97">
  <autoFilter ref="I3:J8" xr:uid="{ECF99691-39B8-4848-9BB4-E26E83115FB5}"/>
  <tableColumns count="2">
    <tableColumn id="1" xr3:uid="{D15C61DF-9172-462F-A129-7BD2507CE13B}" name="Maturity Scores" dataDxfId="96"/>
    <tableColumn id="2" xr3:uid="{BF18E76D-9C72-4FF8-91DD-95A72DE3BB71}" name="Definition" dataDxfId="95"/>
  </tableColumns>
  <tableStyleInfo name="TableStyleMedium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1622E9C-4AF0-4699-967D-6AFBE7C88591}" name="tblMaturityScores121323" displayName="tblMaturityScores121323" ref="P2:Q7" totalsRowShown="0" headerRowDxfId="94" dataDxfId="93" tableBorderDxfId="92">
  <autoFilter ref="P2:Q7" xr:uid="{93B096CB-86C1-4018-AE0F-75339CB7E9CD}"/>
  <tableColumns count="2">
    <tableColumn id="1" xr3:uid="{9A148BE5-5716-45D4-8A2B-FB9603CD49CC}" name="Maturity Scores" dataDxfId="91"/>
    <tableColumn id="2" xr3:uid="{7B2E1E6F-9365-4B40-A029-AFE4BB02AFA7}" name="Definition" dataDxfId="90"/>
  </tableColumns>
  <tableStyleInfo name="TableStyleMedium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325D08E-D4F8-4674-B472-287D2E2F9B24}" name="tblMissionPrompts1539" displayName="tblMissionPrompts1539" ref="C6:E11" totalsRowShown="0" headerRowDxfId="89" dataDxfId="88">
  <autoFilter ref="C6:E11" xr:uid="{8F20711D-F8B1-48CD-B22F-0A5A0A1C5D3C}"/>
  <tableColumns count="3">
    <tableColumn id="1" xr3:uid="{8DD8C15C-969A-4348-A666-A505EF01B4FB}" name="Impact Magnitude" dataDxfId="87"/>
    <tableColumn id="2" xr3:uid="{F98D7123-521C-4C49-A373-E13109FC035B}" name="Prompt" dataDxfId="86"/>
    <tableColumn id="3" xr3:uid="{54791CCD-0A9A-4145-A347-7827FD2C303D}" name="Response" dataDxfId="85"/>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52A6CDA-F661-44DE-9F88-3E2B6F2433F3}" name="tblOperationalObjectivesPrompts1640" displayName="tblOperationalObjectivesPrompts1640" ref="C19:E24" totalsRowShown="0" headerRowDxfId="84" dataDxfId="83">
  <autoFilter ref="C19:E24" xr:uid="{B367AB36-C3FA-43BC-A465-45E7905186F9}"/>
  <tableColumns count="3">
    <tableColumn id="1" xr3:uid="{F305EC84-4891-4445-81A7-24DF93A2E1FA}" name="Impact Magnitude" dataDxfId="82"/>
    <tableColumn id="2" xr3:uid="{B53E6250-0084-44B2-B0FF-8A7450EE55A5}" name="Prompt" dataDxfId="81"/>
    <tableColumn id="3" xr3:uid="{2DB02900-64C1-4EBE-B3C5-26DDDD60C131}" name="Response" dataDxfId="80"/>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05BEDC4-1A42-41AA-B7D6-B2DA6EF2DC63}" name="tblFinancialObjectivesPrompts1741" displayName="tblFinancialObjectivesPrompts1741" ref="C32:E37" totalsRowShown="0" headerRowDxfId="79" dataDxfId="78">
  <autoFilter ref="C32:E37" xr:uid="{CDA49DD3-0427-4E3F-8578-C3FCC4E21BFC}"/>
  <tableColumns count="3">
    <tableColumn id="1" xr3:uid="{FAE0EED5-64EE-4E3C-B77A-DC8074C3961C}" name="Impact Magnitude" dataDxfId="77"/>
    <tableColumn id="2" xr3:uid="{71FF4BD6-207E-4C3B-B2EE-F2564853062C}" name="Prompt" dataDxfId="76"/>
    <tableColumn id="3" xr3:uid="{F986A9D7-EBEF-43AD-9C9A-B573F6B1E3A8}" name="Response" dataDxfId="75"/>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F4783F5-0397-4184-8BA5-73D9FEC8A444}" name="tblObligations1842" displayName="tblObligations1842" ref="C45:E50" totalsRowShown="0" headerRowDxfId="74" dataDxfId="73">
  <autoFilter ref="C45:E50" xr:uid="{28D384D7-D4A2-45B2-9A91-0A8B145D46D3}"/>
  <tableColumns count="3">
    <tableColumn id="1" xr3:uid="{22E34050-297D-4ADA-97DC-CE4CC5D2EF15}" name="Impact Magnitude" dataDxfId="72"/>
    <tableColumn id="2" xr3:uid="{DEB9BBB3-938A-49A1-B595-B64230CC6D30}" name="Prompt" dataDxfId="71"/>
    <tableColumn id="3" xr3:uid="{BE2950B3-C8D5-460E-9DB8-27FDD3E0157B}" name="Response" dataDxfId="70"/>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B1E71CB-CBAE-40E0-8E43-17E2DBAA543D}" name="tblImpactDefinitions2945" displayName="tblImpactDefinitions2945" ref="C10:G16" totalsRowShown="0" headerRowDxfId="69" dataDxfId="67" headerRowBorderDxfId="68" tableBorderDxfId="66" totalsRowBorderDxfId="65">
  <autoFilter ref="C10:G16" xr:uid="{AC9EE49D-FD97-44FB-9443-D3A906BF843D}"/>
  <tableColumns count="5">
    <tableColumn id="1" xr3:uid="{F3AD8B7F-126A-4CF3-9DC6-D64FF62189DE}" name="Impact Scores" dataDxfId="64"/>
    <tableColumn id="2" xr3:uid="{DED4030E-F551-4AA4-AACF-660E6D67AD55}" name="Mission" dataDxfId="63">
      <calculatedColumnFormula>IF(ISBLANK('Impact Criteria Survey-EXAMPLE'!E6),"",'Impact Criteria Survey-EXAMPLE'!E6)</calculatedColumnFormula>
    </tableColumn>
    <tableColumn id="3" xr3:uid="{20148093-B4B3-4FF0-A110-16D84165B335}" name="Operational Objectives" dataDxfId="62"/>
    <tableColumn id="4" xr3:uid="{7750DC98-5F84-4E4D-B8C7-4B41B5B32211}" name="Financial Objectives" dataDxfId="61" dataCellStyle="Currency"/>
    <tableColumn id="5" xr3:uid="{25D5253D-A1E1-404B-91F1-8630ACB2CCCA}" name="Obligations" dataDxfId="60">
      <calculatedColumnFormula>IF(ISBLANK('1. Impact Criteria Survey '!E41),"",'1. Impact Criteria Survey '!E41)</calculatedColumnFormula>
    </tableColum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68D6C46-439B-4037-8400-FD7E4CACA45A}" name="tblInherentImpacts3046" displayName="tblInherentImpacts3046" ref="C41:G47" totalsRowShown="0" headerRowDxfId="59" dataDxfId="57" headerRowBorderDxfId="58" tableBorderDxfId="56" totalsRowBorderDxfId="55">
  <autoFilter ref="C41:G47" xr:uid="{BDD42A33-B57B-4DB3-BD86-31AC8D65158E}"/>
  <tableColumns count="5">
    <tableColumn id="1" xr3:uid="{3E7D73AD-97B9-4FDE-AFB5-46AFF196C758}" name="Asset Class" dataDxfId="54"/>
    <tableColumn id="2" xr3:uid="{D3E0FE09-DFB5-4A53-8726-3F5FF883D750}" name="Mission Impact" dataDxfId="53"/>
    <tableColumn id="3" xr3:uid="{8E61C2D3-6B72-47FF-9679-B78CB125C4FC}" name="Operational Objectives Impact" dataDxfId="52"/>
    <tableColumn id="4" xr3:uid="{7BF30770-5AAE-4342-9E04-97CE9C52CB12}" name="Financial Objectives Impact" dataDxfId="51"/>
    <tableColumn id="5" xr3:uid="{0396D0B1-BA5C-48AB-B707-9D3AE1040E51}" name="Obligations Impact" dataDxfId="50"/>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C9713C22-1B33-45C5-BBE2-3BA67AA909EF}" name="tblLikelihoodDefinitions3147" displayName="tblLikelihoodDefinitions3147" ref="C22:E27" totalsRowShown="0" headerRowDxfId="49" dataDxfId="47" headerRowBorderDxfId="48" tableBorderDxfId="46" totalsRowBorderDxfId="45">
  <autoFilter ref="C22:E27" xr:uid="{6FB9D85E-A6E4-46DD-BB11-47B5DB255A08}"/>
  <tableColumns count="3">
    <tableColumn id="1" xr3:uid="{93F52962-9677-46AA-8CAF-D2BDF21D68D4}" name="Expectancy Score" dataDxfId="44"/>
    <tableColumn id="2" xr3:uid="{4155E0A7-14EB-463C-9E08-EFA0EE4535AB}" name="Expectancy" dataDxfId="43"/>
    <tableColumn id="3" xr3:uid="{3872D790-16D4-4CE4-9D37-0C6E4C687BBF}" name="Criteria" dataDxfId="4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D585E0-C864-4594-A12E-454215854C1C}" name="tblRiskRegister322" displayName="tblRiskRegister322" ref="B10:AJ142" totalsRowShown="0" headerRowDxfId="41" dataDxfId="40">
  <autoFilter ref="B10:AJ142" xr:uid="{D5D585E0-C864-4594-A12E-454215854C1C}"/>
  <sortState xmlns:xlrd2="http://schemas.microsoft.com/office/spreadsheetml/2017/richdata2" ref="B11:AJ142">
    <sortCondition ref="D10:D142"/>
  </sortState>
  <tableColumns count="35">
    <tableColumn id="20" xr3:uid="{80691878-5261-456D-A879-36CE7C832564}" name="Asset Class" dataDxfId="39"/>
    <tableColumn id="22" xr3:uid="{ADC060B9-2C95-42C0-9DE6-1CFD83E74B12}" name="Asset Name" dataDxfId="38"/>
    <tableColumn id="36" xr3:uid="{F0E8DD83-C9F1-45AD-9D27-7BF5E80445A3}" name="CIS Safeguard #" dataDxfId="37"/>
    <tableColumn id="2" xr3:uid="{5F1D3A46-4635-45EE-886D-8129BAE43903}" name="CIS Safeguard Title" dataDxfId="36"/>
    <tableColumn id="30" xr3:uid="{88DBE0ED-7216-4057-B082-19934F6A7300}" name="IG1" dataDxfId="35"/>
    <tableColumn id="29" xr3:uid="{FA422FAE-EA63-4A8D-9B19-DF17436C7CDF}" name="IG2" dataDxfId="34"/>
    <tableColumn id="32" xr3:uid="{2B06C3D5-7971-4CE7-B6BD-2ED75D1EA50F}" name="NIST CSF Security Function" dataDxfId="33"/>
    <tableColumn id="35" xr3:uid="{38EAC5DE-BD1F-4A12-8602-4A643938E222}" name="Our Implementation" dataDxfId="32"/>
    <tableColumn id="1" xr3:uid="{8423CAC4-3005-4F25-B5EA-E73EDBE5A74F}" name="Evidence of Implementation" dataDxfId="31"/>
    <tableColumn id="34" xr3:uid="{1392BAA1-59E9-4956-999A-62554D454B45}" name="Vulnerabilities" dataDxfId="30"/>
    <tableColumn id="3" xr3:uid="{782376B1-9931-462A-A8FB-78A292DC8A53}" name="Safeguard Maturity Score" dataDxfId="29"/>
    <tableColumn id="27" xr3:uid="{346ADEB2-1F1D-48DB-9A3E-1AFC9366FAD5}" name="VCDB Index" dataDxfId="28">
      <calculatedColumnFormula>IFERROR(VLOOKUP(tblRiskRegister322[[#This Row],[Asset Class]],tblVCDBIndex[],4,FALSE),"")</calculatedColumnFormula>
    </tableColumn>
    <tableColumn id="9" xr3:uid="{F20E7F24-5130-4F77-84F1-C46308E87019}" name="Expectancy Score" dataDxfId="27">
      <calculatedColumnFormula>IFERROR(VLOOKUP(10*tblRiskRegister322[[#This Row],[Safeguard Maturity Score]]+tblRiskRegister322[[#This Row],[VCDB Index]],tblHITIndexWeightTable[],4,FALSE),"")</calculatedColumnFormula>
    </tableColumn>
    <tableColumn id="10" xr3:uid="{106835A6-7F4F-4012-A398-79563B800BDC}" name="Impact to Mission" dataDxfId="26">
      <calculatedColumnFormula>VLOOKUP(tblRiskRegister322[[#This Row],[Asset Class]],tblInherentImpacts3046[],2,FALSE)</calculatedColumnFormula>
    </tableColumn>
    <tableColumn id="11" xr3:uid="{8B908234-1DFF-4ED1-9EA3-7BB6AE4A1E69}" name="Impact to Operational Objectives" dataDxfId="25">
      <calculatedColumnFormula>VLOOKUP(tblRiskRegister322[[#This Row],[Asset Class]],tblInherentImpacts3046[],3,FALSE)</calculatedColumnFormula>
    </tableColumn>
    <tableColumn id="4" xr3:uid="{8E43F6AE-7DF9-406A-8B07-DAD8726C719A}" name="Impact to Financial Objectives" dataDxfId="24">
      <calculatedColumnFormula>VLOOKUP(tblRiskRegister322[[#This Row],[Asset Class]],tblInherentImpacts3046[],4,FALSE)</calculatedColumnFormula>
    </tableColumn>
    <tableColumn id="12" xr3:uid="{E4A3ADD3-7E42-4B59-9308-08B3B6C7274A}" name="Impact to Obligations" dataDxfId="23">
      <calculatedColumnFormula>VLOOKUP(tblRiskRegister322[[#This Row],[Asset Class]],tblInherentImpacts3046[],5,FALSE)</calculatedColumnFormula>
    </tableColumn>
    <tableColumn id="13" xr3:uid="{77AA18BA-E7D4-4DD6-9E95-8171F3B5805B}" name="Risk Score" dataDxfId="22">
      <calculatedColumnFormula>IFERROR(MAX(tblRiskRegister322[[#This Row],[Impact to Mission]:[Impact to Obligations]])*tblRiskRegister322[[#This Row],[Expectancy Score]],"")</calculatedColumnFormula>
    </tableColumn>
    <tableColumn id="14" xr3:uid="{BDE1C990-D52D-40EE-85CB-7691B700B8B0}" name="Risk Level" dataDxfId="21">
      <calculatedColumnFormula>tblRiskRegister322[[#This Row],[Risk Score]]</calculatedColumnFormula>
    </tableColumn>
    <tableColumn id="25" xr3:uid="{726FBDB8-DD30-4F67-896E-7D96BED55716}" name="Risk Treatment Option" dataDxfId="20"/>
    <tableColumn id="5" xr3:uid="{580D0DBE-7958-45D2-8CD2-3B80D95D553C}" name="Risk Treatment Safeguard" dataDxfId="19"/>
    <tableColumn id="6" xr3:uid="{A728B141-FE48-40BC-A10E-724F2BEE8A07}" name="Risk Treatment_x000a_Safeguard Title" dataDxfId="18"/>
    <tableColumn id="24" xr3:uid="{EFFAE801-138C-426A-898D-F46A863123E2}" name="Risk Treatment_x000a_Safeguard Description" dataDxfId="17"/>
    <tableColumn id="21" xr3:uid="{7C29A721-6CC3-4AC6-9034-AD521FE2922F}" name="Our Planned Implementation" dataDxfId="16"/>
    <tableColumn id="7" xr3:uid="{A21F528D-E428-42FB-A06F-93579A633C58}" name="Risk Treatment Safeguard Maturity Score" dataDxfId="15"/>
    <tableColumn id="15" xr3:uid="{FE5696B6-21A5-444D-B81A-AE2B55AC5632}" name="Risk Treatment_x000a_Safeguard Expectancy Score" dataDxfId="14">
      <calculatedColumnFormula>IFERROR(VLOOKUP(10*tblRiskRegister322[[#This Row],[Risk Treatment Safeguard Maturity Score]]+tblRiskRegister322[[#This Row],[VCDB Index]],tblHITIndexWeightTable[],4,FALSE),"")</calculatedColumnFormula>
    </tableColumn>
    <tableColumn id="16" xr3:uid="{EC79A448-C66F-4E00-A46D-E2303FDBC4DF}" name="Risk Treatment Safeguard Impact to Mission" dataDxfId="13">
      <calculatedColumnFormula>VLOOKUP(#REF!,#REF!,2,FALSE)</calculatedColumnFormula>
    </tableColumn>
    <tableColumn id="17" xr3:uid="{E684026E-5333-4A11-9E15-90EBC9102B81}" name="Risk Treatment Safeguard Impact to Operational Objectives" dataDxfId="12">
      <calculatedColumnFormula>VLOOKUP(#REF!,#REF!,3,FALSE)</calculatedColumnFormula>
    </tableColumn>
    <tableColumn id="31" xr3:uid="{7C411A34-79A1-4C3B-B900-7BEE9C3128CB}" name="Risk Treatment Safeguard Impact to Financial Objectives" dataDxfId="11">
      <calculatedColumnFormula>VLOOKUP(#REF!,#REF!,3,FALSE)</calculatedColumnFormula>
    </tableColumn>
    <tableColumn id="18" xr3:uid="{CE657541-C92D-488F-894D-ED33AB4EBD28}" name="Risk Treatment Safeguard Impact to Obligations" dataDxfId="10">
      <calculatedColumnFormula>VLOOKUP(#REF!,#REF!,4,FALSE)</calculatedColumnFormula>
    </tableColumn>
    <tableColumn id="28" xr3:uid="{1B611DCF-F8AD-4263-A290-9099F11C8AFA}" name="Risk Treatment Safeguard Risk Score" dataDxfId="9">
      <calculatedColumnFormula>IFERROR(MAX(tblRiskRegister322[[#This Row],[Risk Treatment Safeguard Impact to Mission]:[Risk Treatment Safeguard Impact to Obligations]])*tblRiskRegister322[[#This Row],[Risk Treatment
Safeguard Expectancy Score]],"")</calculatedColumnFormula>
    </tableColumn>
    <tableColumn id="26" xr3:uid="{31C77B38-2E32-4A32-A910-0B58E23980E1}" name="Reasonable and Acceptable" dataDxfId="8">
      <calculatedColumnFormula array="1">IF(tblRiskRegister322[[#This Row],[Risk Score]]&gt;=AcceptableRisk1,IF(tblRiskRegister322[[#This Row],[Risk Treatment Safeguard Risk Score]]&lt;AcceptableRisk1, IF(tblRiskRegister322[[#This Row],[Risk Treatment Safeguard Risk Score]]&lt;tblRiskRegister322[[#This Row],[Risk Score]],"Yes","No"),"No"),"Yes")</calculatedColumnFormula>
    </tableColumn>
    <tableColumn id="19" xr3:uid="{DB159915-DBDA-40D8-B50F-672F5F2497BB}" name="Risk Treatment Safeguard Cost" dataDxfId="7" dataCellStyle="Currency"/>
    <tableColumn id="8" xr3:uid="{E66FCFD3-3CEC-4EEB-B2F2-C6392FCB198D}" name="Implementation Quarter" dataDxfId="6" dataCellStyle="Currency"/>
    <tableColumn id="23" xr3:uid="{20E2162F-F17C-4BB3-98E8-CF87C5E37F5B}" name="Implementation Year" dataDxfId="5"/>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2F5A40-485A-4E1B-BD23-45BDF2D79AAA}" name="tblCostImpacts335" displayName="tblCostImpacts335" ref="AL10:AN20" totalsRowShown="0" headerRowDxfId="4" dataDxfId="3">
  <tableColumns count="3">
    <tableColumn id="1" xr3:uid="{CA450968-2EE5-4184-A7B5-3ADE21F0666C}" name="Impact to Financial Objectives" dataDxfId="2" dataCellStyle="Currency">
      <calculatedColumnFormula>SUMIF(tblRiskRegister322[[#All],[Implementation Year]],"="&amp;tblCostImpacts335[[#This Row],[Year]],tblRiskRegister322[[#All],[Risk Treatment Safeguard Cost]])</calculatedColumnFormula>
    </tableColumn>
    <tableColumn id="2" xr3:uid="{B21E7AA5-67E6-439A-8EEA-9252F7B2E130}" name="Year" dataDxfId="1"/>
    <tableColumn id="3" xr3:uid="{D07C27F0-02E9-4F9B-AB16-79670B802288}" name="Reasonable?" dataDxfId="0">
      <calculatedColumnFormula>IF(tblCostImpacts335[[#This Row],[Impact to Financial Objectives]]&lt;='Enterprise Parameters -EXAMPLE'!$F$13,"Yes","No")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isecurity.org/controls/resources?crc=about-the-cis-critical-security-controls" TargetMode="Externa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 Id="rId6" Type="http://schemas.openxmlformats.org/officeDocument/2006/relationships/drawing" Target="../drawings/drawing2.xml"/><Relationship Id="rId5" Type="http://schemas.openxmlformats.org/officeDocument/2006/relationships/hyperlink" Target="https://www.cisecurity.org/controls/cis-controls-self-assessment-tool-cis-csat/" TargetMode="External"/><Relationship Id="rId4" Type="http://schemas.openxmlformats.org/officeDocument/2006/relationships/hyperlink" Target="https://csat.cisecurity.org/"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2.bin"/><Relationship Id="rId4"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printerSettings" Target="../printerSettings/printerSettings5.bin"/><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0.xml"/><Relationship Id="rId7"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6" Type="http://schemas.openxmlformats.org/officeDocument/2006/relationships/table" Target="../tables/table23.xml"/><Relationship Id="rId5" Type="http://schemas.openxmlformats.org/officeDocument/2006/relationships/table" Target="../tables/table22.xml"/><Relationship Id="rId4" Type="http://schemas.openxmlformats.org/officeDocument/2006/relationships/table" Target="../tables/table2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vmlDrawing" Target="../drawings/vmlDrawing2.vml"/><Relationship Id="rId1" Type="http://schemas.openxmlformats.org/officeDocument/2006/relationships/printerSettings" Target="../printerSettings/printerSettings9.bin"/><Relationship Id="rId6" Type="http://schemas.openxmlformats.org/officeDocument/2006/relationships/comments" Target="../comments2.xml"/><Relationship Id="rId5" Type="http://schemas.openxmlformats.org/officeDocument/2006/relationships/table" Target="../tables/table26.xml"/><Relationship Id="rId4" Type="http://schemas.openxmlformats.org/officeDocument/2006/relationships/table" Target="../tables/table25.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vmlDrawing" Target="../drawings/vmlDrawing3.vml"/><Relationship Id="rId1" Type="http://schemas.openxmlformats.org/officeDocument/2006/relationships/printerSettings" Target="../printerSettings/printerSettings10.bin"/><Relationship Id="rId5" Type="http://schemas.openxmlformats.org/officeDocument/2006/relationships/comments" Target="../comments3.xml"/><Relationship Id="rId4" Type="http://schemas.openxmlformats.org/officeDocument/2006/relationships/table" Target="../tables/table28.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2B83-8F2B-4B79-B206-22E83925782E}">
  <sheetPr codeName="Sheet1">
    <tabColor rgb="FF003B5C"/>
  </sheetPr>
  <dimension ref="A1"/>
  <sheetViews>
    <sheetView showGridLines="0" tabSelected="1" zoomScaleNormal="100" workbookViewId="0">
      <selection activeCell="J32" sqref="J32"/>
    </sheetView>
  </sheetViews>
  <sheetFormatPr baseColWidth="10" defaultColWidth="11.5"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3294B-ED08-41AF-97D2-AB55E95E2C5D}">
  <sheetPr>
    <tabColor rgb="FF003B5C"/>
  </sheetPr>
  <dimension ref="A1:L2"/>
  <sheetViews>
    <sheetView showGridLines="0" zoomScale="115" zoomScaleNormal="115" workbookViewId="0">
      <selection sqref="A1:L1"/>
    </sheetView>
  </sheetViews>
  <sheetFormatPr baseColWidth="10" defaultColWidth="11.5" defaultRowHeight="15"/>
  <sheetData>
    <row r="1" spans="1:12" ht="31">
      <c r="A1" s="249" t="s">
        <v>529</v>
      </c>
      <c r="B1" s="250"/>
      <c r="C1" s="250"/>
      <c r="D1" s="250"/>
      <c r="E1" s="250"/>
      <c r="F1" s="250"/>
      <c r="G1" s="250"/>
      <c r="H1" s="250"/>
      <c r="I1" s="250"/>
      <c r="J1" s="250"/>
      <c r="K1" s="250"/>
      <c r="L1" s="251"/>
    </row>
    <row r="2" spans="1:12" ht="165.75" customHeight="1">
      <c r="A2" s="252" t="s">
        <v>577</v>
      </c>
      <c r="B2" s="252"/>
      <c r="C2" s="252"/>
      <c r="D2" s="252"/>
      <c r="E2" s="252"/>
      <c r="F2" s="252"/>
      <c r="G2" s="252"/>
      <c r="H2" s="252"/>
      <c r="I2" s="252"/>
      <c r="J2" s="252"/>
      <c r="K2" s="252"/>
      <c r="L2" s="252"/>
    </row>
  </sheetData>
  <sheetProtection sheet="1" objects="1" scenarios="1"/>
  <mergeCells count="2">
    <mergeCell ref="A1:L1"/>
    <mergeCell ref="A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3B93-FCDB-49AD-8114-BB7A0FF01FB8}">
  <sheetPr>
    <tabColor rgb="FF003B5C"/>
  </sheetPr>
  <dimension ref="B2:D29"/>
  <sheetViews>
    <sheetView showGridLines="0" workbookViewId="0">
      <selection activeCell="B2" sqref="B2"/>
    </sheetView>
  </sheetViews>
  <sheetFormatPr baseColWidth="10" defaultColWidth="8.5" defaultRowHeight="15"/>
  <cols>
    <col min="2" max="2" width="58.1640625" style="173" customWidth="1"/>
    <col min="4" max="4" width="93.5" style="221" customWidth="1"/>
    <col min="5" max="5" width="20" bestFit="1" customWidth="1"/>
  </cols>
  <sheetData>
    <row r="2" spans="2:4" ht="16" thickBot="1"/>
    <row r="3" spans="2:4">
      <c r="B3" s="222"/>
      <c r="C3" s="223"/>
      <c r="D3" s="224"/>
    </row>
    <row r="4" spans="2:4">
      <c r="B4" s="225"/>
      <c r="D4" s="226"/>
    </row>
    <row r="5" spans="2:4" ht="151">
      <c r="B5" s="225"/>
      <c r="D5" s="226" t="s">
        <v>569</v>
      </c>
    </row>
    <row r="6" spans="2:4" ht="16">
      <c r="B6" s="225"/>
      <c r="D6" s="227" t="s">
        <v>570</v>
      </c>
    </row>
    <row r="7" spans="2:4" ht="16">
      <c r="B7" s="225"/>
      <c r="D7" s="227" t="s">
        <v>571</v>
      </c>
    </row>
    <row r="8" spans="2:4">
      <c r="B8" s="225"/>
      <c r="D8" s="226"/>
    </row>
    <row r="9" spans="2:4">
      <c r="B9" s="225"/>
      <c r="D9" s="226"/>
    </row>
    <row r="10" spans="2:4" ht="42" customHeight="1">
      <c r="B10" s="225"/>
      <c r="D10" s="226" t="s">
        <v>572</v>
      </c>
    </row>
    <row r="11" spans="2:4" ht="16">
      <c r="B11" s="225"/>
      <c r="D11" s="227" t="s">
        <v>573</v>
      </c>
    </row>
    <row r="12" spans="2:4">
      <c r="B12" s="225"/>
      <c r="D12" s="226"/>
    </row>
    <row r="13" spans="2:4">
      <c r="B13" s="225"/>
      <c r="D13" s="226"/>
    </row>
    <row r="14" spans="2:4">
      <c r="B14" s="225"/>
      <c r="D14" s="226"/>
    </row>
    <row r="15" spans="2:4">
      <c r="B15" s="225"/>
      <c r="D15" s="226"/>
    </row>
    <row r="16" spans="2:4" ht="16">
      <c r="B16" s="225"/>
      <c r="D16" s="226" t="s">
        <v>574</v>
      </c>
    </row>
    <row r="17" spans="2:4" ht="16">
      <c r="B17" s="225"/>
      <c r="D17" s="227" t="s">
        <v>319</v>
      </c>
    </row>
    <row r="18" spans="2:4">
      <c r="B18" s="225"/>
      <c r="D18" s="226"/>
    </row>
    <row r="19" spans="2:4">
      <c r="B19" s="225"/>
      <c r="D19" s="228" t="s">
        <v>320</v>
      </c>
    </row>
    <row r="20" spans="2:4">
      <c r="B20" s="225"/>
      <c r="D20" s="229"/>
    </row>
    <row r="21" spans="2:4" ht="61">
      <c r="B21" s="225"/>
      <c r="D21" s="226" t="s">
        <v>526</v>
      </c>
    </row>
    <row r="22" spans="2:4">
      <c r="B22" s="225"/>
      <c r="D22" s="230"/>
    </row>
    <row r="23" spans="2:4">
      <c r="B23" s="225"/>
      <c r="D23" s="231" t="s">
        <v>321</v>
      </c>
    </row>
    <row r="24" spans="2:4">
      <c r="B24" s="225"/>
      <c r="D24" s="230"/>
    </row>
    <row r="25" spans="2:4" ht="31">
      <c r="B25" s="225"/>
      <c r="D25" s="226" t="s">
        <v>575</v>
      </c>
    </row>
    <row r="26" spans="2:4">
      <c r="B26" s="225"/>
      <c r="D26" s="232" t="s">
        <v>322</v>
      </c>
    </row>
    <row r="27" spans="2:4">
      <c r="B27" s="225"/>
      <c r="D27" s="232"/>
    </row>
    <row r="28" spans="2:4" ht="120">
      <c r="B28" s="225"/>
      <c r="D28" s="230" t="s">
        <v>576</v>
      </c>
    </row>
    <row r="29" spans="2:4" ht="16" thickBot="1">
      <c r="B29" s="233"/>
      <c r="C29" s="234"/>
      <c r="D29" s="235" t="s">
        <v>323</v>
      </c>
    </row>
  </sheetData>
  <sheetProtection sheet="1" objects="1" scenarios="1"/>
  <hyperlinks>
    <hyperlink ref="D17" r:id="rId1" xr:uid="{6E2E2794-D9FC-414A-B399-E584F8C20644}"/>
    <hyperlink ref="D6" r:id="rId2" xr:uid="{ED265B36-E05D-4253-BB81-DCE238DDBAAE}"/>
    <hyperlink ref="D7" r:id="rId3" xr:uid="{981C06EC-B6FB-42EE-B626-9319E57B8FA4}"/>
    <hyperlink ref="D26" r:id="rId4" xr:uid="{AB244600-6C86-42D6-BACC-558E96787200}"/>
    <hyperlink ref="D29" r:id="rId5" xr:uid="{A6C2E483-C944-46CB-A73A-628BAB5D246A}"/>
  </hyperlink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55178-005D-4C75-8F85-5C99D3D85F4C}">
  <sheetPr codeName="Sheet3">
    <tabColor rgb="FF0086BF"/>
  </sheetPr>
  <dimension ref="B2:E51"/>
  <sheetViews>
    <sheetView showGridLines="0" zoomScaleNormal="100" workbookViewId="0">
      <selection activeCell="B3" sqref="B3"/>
    </sheetView>
  </sheetViews>
  <sheetFormatPr baseColWidth="10" defaultColWidth="9.1640625" defaultRowHeight="14"/>
  <cols>
    <col min="1" max="1" width="4.5" style="95" customWidth="1"/>
    <col min="2" max="2" width="10.5" style="124" customWidth="1"/>
    <col min="3" max="3" width="22.6640625" style="125" customWidth="1"/>
    <col min="4" max="4" width="52.5" style="125" customWidth="1"/>
    <col min="5" max="5" width="52.1640625" style="7" customWidth="1"/>
    <col min="6" max="16384" width="9.1640625" style="95"/>
  </cols>
  <sheetData>
    <row r="2" spans="2:5" ht="15">
      <c r="D2" s="121" t="s">
        <v>154</v>
      </c>
      <c r="E2" s="131" t="s">
        <v>465</v>
      </c>
    </row>
    <row r="3" spans="2:5" ht="43" thickBot="1">
      <c r="B3" s="123">
        <v>1</v>
      </c>
      <c r="C3" s="123" t="s">
        <v>6</v>
      </c>
      <c r="D3" s="104" t="s">
        <v>464</v>
      </c>
      <c r="E3" s="105"/>
    </row>
    <row r="4" spans="2:5" ht="15" thickTop="1"/>
    <row r="5" spans="2:5" ht="32.25" customHeight="1">
      <c r="C5" s="253" t="s">
        <v>329</v>
      </c>
      <c r="D5" s="254"/>
      <c r="E5" s="255"/>
    </row>
    <row r="7" spans="2:5" ht="15">
      <c r="C7" s="126" t="s">
        <v>241</v>
      </c>
      <c r="D7" s="126" t="s">
        <v>154</v>
      </c>
      <c r="E7" s="126" t="s">
        <v>465</v>
      </c>
    </row>
    <row r="8" spans="2:5" ht="28">
      <c r="C8" s="22" t="s">
        <v>155</v>
      </c>
      <c r="D8" s="127" t="s">
        <v>139</v>
      </c>
      <c r="E8" s="128" t="s">
        <v>611</v>
      </c>
    </row>
    <row r="9" spans="2:5" ht="28">
      <c r="C9" s="22" t="s">
        <v>136</v>
      </c>
      <c r="D9" s="127" t="s">
        <v>140</v>
      </c>
      <c r="E9" s="128" t="s">
        <v>614</v>
      </c>
    </row>
    <row r="10" spans="2:5" ht="56">
      <c r="C10" s="22" t="s">
        <v>137</v>
      </c>
      <c r="D10" s="127" t="s">
        <v>142</v>
      </c>
      <c r="E10" s="128" t="s">
        <v>617</v>
      </c>
    </row>
    <row r="11" spans="2:5" ht="42">
      <c r="C11" s="22" t="s">
        <v>138</v>
      </c>
      <c r="D11" s="127" t="s">
        <v>141</v>
      </c>
      <c r="E11" s="128" t="s">
        <v>620</v>
      </c>
    </row>
    <row r="12" spans="2:5" ht="28">
      <c r="C12" s="22" t="s">
        <v>143</v>
      </c>
      <c r="D12" s="127" t="s">
        <v>466</v>
      </c>
      <c r="E12" s="128" t="s">
        <v>623</v>
      </c>
    </row>
    <row r="13" spans="2:5">
      <c r="C13" s="96"/>
      <c r="D13" s="91"/>
    </row>
    <row r="14" spans="2:5" s="97" customFormat="1" ht="13">
      <c r="C14" s="92"/>
      <c r="D14" s="92"/>
      <c r="E14" s="101"/>
    </row>
    <row r="15" spans="2:5" ht="15">
      <c r="D15" s="121" t="s">
        <v>154</v>
      </c>
      <c r="E15" s="131" t="s">
        <v>465</v>
      </c>
    </row>
    <row r="16" spans="2:5" ht="45" customHeight="1" thickBot="1">
      <c r="B16" s="123">
        <v>2</v>
      </c>
      <c r="C16" s="123" t="s">
        <v>96</v>
      </c>
      <c r="D16" s="104" t="s">
        <v>144</v>
      </c>
      <c r="E16" s="105"/>
    </row>
    <row r="17" spans="2:5" ht="15" thickTop="1"/>
    <row r="18" spans="2:5" ht="32.25" customHeight="1">
      <c r="C18" s="253" t="s">
        <v>330</v>
      </c>
      <c r="D18" s="254"/>
      <c r="E18" s="255"/>
    </row>
    <row r="20" spans="2:5" ht="15">
      <c r="C20" s="126" t="s">
        <v>241</v>
      </c>
      <c r="D20" s="126" t="s">
        <v>154</v>
      </c>
      <c r="E20" s="126" t="s">
        <v>465</v>
      </c>
    </row>
    <row r="21" spans="2:5" ht="28">
      <c r="C21" s="22" t="s">
        <v>155</v>
      </c>
      <c r="D21" s="127" t="s">
        <v>146</v>
      </c>
      <c r="E21" s="105" t="s">
        <v>612</v>
      </c>
    </row>
    <row r="22" spans="2:5" ht="42">
      <c r="C22" s="22" t="s">
        <v>136</v>
      </c>
      <c r="D22" s="127" t="s">
        <v>147</v>
      </c>
      <c r="E22" s="105" t="s">
        <v>615</v>
      </c>
    </row>
    <row r="23" spans="2:5" ht="56">
      <c r="C23" s="22" t="s">
        <v>137</v>
      </c>
      <c r="D23" s="127" t="s">
        <v>148</v>
      </c>
      <c r="E23" s="105" t="s">
        <v>618</v>
      </c>
    </row>
    <row r="24" spans="2:5" ht="42">
      <c r="C24" s="22" t="s">
        <v>138</v>
      </c>
      <c r="D24" s="127" t="s">
        <v>149</v>
      </c>
      <c r="E24" s="105" t="s">
        <v>621</v>
      </c>
    </row>
    <row r="25" spans="2:5" ht="42">
      <c r="C25" s="22" t="s">
        <v>143</v>
      </c>
      <c r="D25" s="127" t="s">
        <v>467</v>
      </c>
      <c r="E25" s="105" t="s">
        <v>624</v>
      </c>
    </row>
    <row r="27" spans="2:5" s="97" customFormat="1" ht="13">
      <c r="C27" s="92"/>
      <c r="D27" s="92"/>
      <c r="E27" s="102"/>
    </row>
    <row r="28" spans="2:5" ht="15">
      <c r="D28" s="121" t="s">
        <v>154</v>
      </c>
      <c r="E28" s="131" t="s">
        <v>465</v>
      </c>
    </row>
    <row r="29" spans="2:5" ht="45" customHeight="1">
      <c r="B29" s="129">
        <v>3</v>
      </c>
      <c r="C29" s="129" t="s">
        <v>97</v>
      </c>
      <c r="D29" s="104" t="s">
        <v>145</v>
      </c>
      <c r="E29" s="105"/>
    </row>
    <row r="31" spans="2:5" ht="32.25" customHeight="1">
      <c r="C31" s="253" t="s">
        <v>331</v>
      </c>
      <c r="D31" s="254"/>
      <c r="E31" s="255"/>
    </row>
    <row r="33" spans="2:5" ht="15">
      <c r="C33" s="126" t="s">
        <v>241</v>
      </c>
      <c r="D33" s="126" t="s">
        <v>154</v>
      </c>
      <c r="E33" s="126" t="s">
        <v>465</v>
      </c>
    </row>
    <row r="34" spans="2:5" ht="28">
      <c r="C34" s="22" t="s">
        <v>155</v>
      </c>
      <c r="D34" s="127" t="s">
        <v>150</v>
      </c>
      <c r="E34" s="162"/>
    </row>
    <row r="35" spans="2:5" ht="42">
      <c r="C35" s="22" t="s">
        <v>136</v>
      </c>
      <c r="D35" s="127" t="s">
        <v>151</v>
      </c>
      <c r="E35" s="162"/>
    </row>
    <row r="36" spans="2:5" ht="56">
      <c r="C36" s="22" t="s">
        <v>137</v>
      </c>
      <c r="D36" s="127" t="s">
        <v>152</v>
      </c>
      <c r="E36" s="162"/>
    </row>
    <row r="37" spans="2:5" ht="42">
      <c r="C37" s="22" t="s">
        <v>138</v>
      </c>
      <c r="D37" s="127" t="s">
        <v>153</v>
      </c>
      <c r="E37" s="162"/>
    </row>
    <row r="38" spans="2:5">
      <c r="C38" s="22" t="s">
        <v>143</v>
      </c>
      <c r="D38" s="127" t="s">
        <v>248</v>
      </c>
      <c r="E38" s="130"/>
    </row>
    <row r="40" spans="2:5" s="97" customFormat="1" ht="13">
      <c r="C40" s="92"/>
      <c r="D40" s="92"/>
      <c r="E40" s="102"/>
    </row>
    <row r="41" spans="2:5" ht="15">
      <c r="D41" s="121" t="s">
        <v>154</v>
      </c>
      <c r="E41" s="131" t="s">
        <v>465</v>
      </c>
    </row>
    <row r="42" spans="2:5" ht="45" customHeight="1" thickBot="1">
      <c r="B42" s="123">
        <v>4</v>
      </c>
      <c r="C42" s="123" t="s">
        <v>23</v>
      </c>
      <c r="D42" s="104" t="s">
        <v>468</v>
      </c>
      <c r="E42" s="105"/>
    </row>
    <row r="43" spans="2:5" ht="15" thickTop="1"/>
    <row r="44" spans="2:5" ht="32.25" customHeight="1">
      <c r="C44" s="253" t="s">
        <v>332</v>
      </c>
      <c r="D44" s="254"/>
      <c r="E44" s="255"/>
    </row>
    <row r="46" spans="2:5" ht="15">
      <c r="C46" s="126" t="s">
        <v>241</v>
      </c>
      <c r="D46" s="126" t="s">
        <v>154</v>
      </c>
      <c r="E46" s="126" t="s">
        <v>465</v>
      </c>
    </row>
    <row r="47" spans="2:5">
      <c r="C47" s="22" t="s">
        <v>155</v>
      </c>
      <c r="D47" s="104" t="s">
        <v>256</v>
      </c>
      <c r="E47" s="128" t="s">
        <v>613</v>
      </c>
    </row>
    <row r="48" spans="2:5" ht="28">
      <c r="C48" s="22" t="s">
        <v>136</v>
      </c>
      <c r="D48" s="104" t="s">
        <v>469</v>
      </c>
      <c r="E48" s="128" t="s">
        <v>616</v>
      </c>
    </row>
    <row r="49" spans="3:5" ht="28">
      <c r="C49" s="22" t="s">
        <v>137</v>
      </c>
      <c r="D49" s="104" t="s">
        <v>254</v>
      </c>
      <c r="E49" s="128" t="s">
        <v>619</v>
      </c>
    </row>
    <row r="50" spans="3:5" ht="56">
      <c r="C50" s="22" t="s">
        <v>138</v>
      </c>
      <c r="D50" s="104" t="s">
        <v>470</v>
      </c>
      <c r="E50" s="128" t="s">
        <v>622</v>
      </c>
    </row>
    <row r="51" spans="3:5" ht="28">
      <c r="C51" s="22" t="s">
        <v>143</v>
      </c>
      <c r="D51" s="104" t="s">
        <v>471</v>
      </c>
      <c r="E51" s="128" t="s">
        <v>625</v>
      </c>
    </row>
  </sheetData>
  <sheetProtection sheet="1" insertRows="0" sort="0" autoFilter="0"/>
  <mergeCells count="4">
    <mergeCell ref="C5:E5"/>
    <mergeCell ref="C18:E18"/>
    <mergeCell ref="C31:E31"/>
    <mergeCell ref="C44:E44"/>
  </mergeCells>
  <pageMargins left="0.7" right="0.7" top="0.75" bottom="0.75" header="0.3" footer="0.3"/>
  <pageSetup orientation="portrait"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B48D-930A-4BEC-A9BC-ABBFE295C7DD}">
  <sheetPr codeName="Sheet4">
    <tabColor rgb="FF0086BF"/>
  </sheetPr>
  <dimension ref="B1:G48"/>
  <sheetViews>
    <sheetView showGridLines="0" zoomScaleNormal="100" workbookViewId="0">
      <selection activeCell="B2" sqref="B2:B4"/>
    </sheetView>
  </sheetViews>
  <sheetFormatPr baseColWidth="10" defaultColWidth="8.83203125" defaultRowHeight="15"/>
  <cols>
    <col min="1" max="1" width="4.1640625" customWidth="1"/>
    <col min="2" max="2" width="8.6640625" style="137" customWidth="1"/>
    <col min="3" max="3" width="43.1640625" customWidth="1"/>
    <col min="4" max="5" width="41" customWidth="1"/>
    <col min="6" max="6" width="28.33203125" customWidth="1"/>
    <col min="7" max="7" width="41" customWidth="1"/>
  </cols>
  <sheetData>
    <row r="1" spans="2:7" s="2" customFormat="1" ht="13">
      <c r="B1" s="94"/>
      <c r="D1" s="8"/>
    </row>
    <row r="2" spans="2:7" s="2" customFormat="1" ht="14">
      <c r="B2" s="256">
        <v>1</v>
      </c>
      <c r="C2" s="256" t="s">
        <v>157</v>
      </c>
      <c r="D2" s="132" t="s">
        <v>95</v>
      </c>
      <c r="E2" s="133"/>
    </row>
    <row r="3" spans="2:7" s="2" customFormat="1" ht="14">
      <c r="B3" s="257"/>
      <c r="C3" s="257"/>
      <c r="D3" s="132" t="s">
        <v>24</v>
      </c>
      <c r="E3" s="134"/>
    </row>
    <row r="4" spans="2:7" s="2" customFormat="1" ht="14">
      <c r="B4" s="258"/>
      <c r="C4" s="258"/>
      <c r="D4" s="132" t="s">
        <v>25</v>
      </c>
      <c r="E4" s="135"/>
    </row>
    <row r="5" spans="2:7" s="2" customFormat="1" ht="13">
      <c r="B5" s="94"/>
      <c r="D5" s="8"/>
    </row>
    <row r="6" spans="2:7" s="2" customFormat="1" ht="13">
      <c r="B6" s="3"/>
      <c r="C6" s="3"/>
      <c r="D6" s="4"/>
      <c r="E6" s="4"/>
      <c r="F6" s="4"/>
      <c r="G6" s="4"/>
    </row>
    <row r="7" spans="2:7" s="2" customFormat="1" ht="13">
      <c r="B7" s="94"/>
      <c r="D7" s="8"/>
    </row>
    <row r="8" spans="2:7" s="2" customFormat="1" ht="16">
      <c r="B8" s="136">
        <v>2</v>
      </c>
      <c r="C8" s="39" t="s">
        <v>19</v>
      </c>
      <c r="D8" s="262"/>
      <c r="E8" s="262"/>
      <c r="F8" s="262"/>
      <c r="G8" s="262"/>
    </row>
    <row r="9" spans="2:7" s="2" customFormat="1" ht="13">
      <c r="B9" s="94"/>
    </row>
    <row r="10" spans="2:7" s="2" customFormat="1">
      <c r="B10" s="94"/>
      <c r="C10" s="138" t="s">
        <v>5</v>
      </c>
      <c r="D10" s="139" t="s">
        <v>6</v>
      </c>
      <c r="E10" s="139" t="s">
        <v>96</v>
      </c>
      <c r="F10" s="140" t="s">
        <v>97</v>
      </c>
      <c r="G10" s="141" t="s">
        <v>23</v>
      </c>
    </row>
    <row r="11" spans="2:7" s="2" customFormat="1" ht="14">
      <c r="B11" s="94"/>
      <c r="C11" s="142" t="s">
        <v>4</v>
      </c>
      <c r="D11" s="143" t="s">
        <v>610</v>
      </c>
      <c r="E11" s="143" t="s">
        <v>610</v>
      </c>
      <c r="F11" s="143" t="str">
        <f>IF(ISBLANK('1. Impact Criteria Survey '!E29),"",'1. Impact Criteria Survey '!E29)</f>
        <v/>
      </c>
      <c r="G11" s="144" t="s">
        <v>610</v>
      </c>
    </row>
    <row r="12" spans="2:7" s="2" customFormat="1" ht="14">
      <c r="B12" s="94"/>
      <c r="C12" s="145" t="s">
        <v>131</v>
      </c>
      <c r="D12" s="117" t="s">
        <v>611</v>
      </c>
      <c r="E12" s="117" t="s">
        <v>612</v>
      </c>
      <c r="F12" s="189" t="str">
        <f>IF(ISBLANK('1. Impact Criteria Survey '!E34),"",'1. Impact Criteria Survey '!E34)</f>
        <v/>
      </c>
      <c r="G12" s="118" t="s">
        <v>613</v>
      </c>
    </row>
    <row r="13" spans="2:7" s="2" customFormat="1" ht="42">
      <c r="B13" s="94"/>
      <c r="C13" s="145" t="s">
        <v>132</v>
      </c>
      <c r="D13" s="117" t="s">
        <v>614</v>
      </c>
      <c r="E13" s="117" t="s">
        <v>615</v>
      </c>
      <c r="F13" s="189" t="str">
        <f>IF(ISBLANK('1. Impact Criteria Survey '!E35),"",'1. Impact Criteria Survey '!E35)</f>
        <v/>
      </c>
      <c r="G13" s="118" t="s">
        <v>616</v>
      </c>
    </row>
    <row r="14" spans="2:7" s="2" customFormat="1" ht="42">
      <c r="B14" s="94"/>
      <c r="C14" s="145" t="s">
        <v>133</v>
      </c>
      <c r="D14" s="117" t="s">
        <v>617</v>
      </c>
      <c r="E14" s="117" t="s">
        <v>618</v>
      </c>
      <c r="F14" s="189" t="str">
        <f>IF(ISBLANK('1. Impact Criteria Survey '!E36),"",'1. Impact Criteria Survey '!E36)</f>
        <v/>
      </c>
      <c r="G14" s="118" t="s">
        <v>619</v>
      </c>
    </row>
    <row r="15" spans="2:7" s="2" customFormat="1" ht="56">
      <c r="B15" s="94"/>
      <c r="C15" s="145" t="s">
        <v>134</v>
      </c>
      <c r="D15" s="117" t="s">
        <v>620</v>
      </c>
      <c r="E15" s="117" t="s">
        <v>621</v>
      </c>
      <c r="F15" s="189" t="str">
        <f>IF(ISBLANK('1. Impact Criteria Survey '!E37),"",'1. Impact Criteria Survey '!E37)</f>
        <v/>
      </c>
      <c r="G15" s="118" t="s">
        <v>622</v>
      </c>
    </row>
    <row r="16" spans="2:7" s="2" customFormat="1" ht="28">
      <c r="B16" s="94"/>
      <c r="C16" s="146" t="s">
        <v>135</v>
      </c>
      <c r="D16" s="190" t="s">
        <v>623</v>
      </c>
      <c r="E16" s="190" t="s">
        <v>624</v>
      </c>
      <c r="F16" s="147" t="str">
        <f>IF(ISBLANK('1. Impact Criteria Survey '!E38),"",'1. Impact Criteria Survey '!E38)</f>
        <v/>
      </c>
      <c r="G16" s="148" t="s">
        <v>625</v>
      </c>
    </row>
    <row r="17" spans="2:7" s="2" customFormat="1" ht="13">
      <c r="B17" s="94"/>
      <c r="D17" s="8"/>
    </row>
    <row r="18" spans="2:7" s="2" customFormat="1" ht="13">
      <c r="B18" s="3"/>
      <c r="C18" s="3"/>
      <c r="D18" s="4"/>
      <c r="E18" s="4"/>
      <c r="F18" s="4"/>
      <c r="G18" s="4"/>
    </row>
    <row r="19" spans="2:7" s="2" customFormat="1" ht="13">
      <c r="B19" s="94"/>
      <c r="D19" s="8"/>
    </row>
    <row r="20" spans="2:7" s="2" customFormat="1" ht="16">
      <c r="B20" s="136">
        <v>3</v>
      </c>
      <c r="C20" s="39" t="s">
        <v>435</v>
      </c>
      <c r="D20" s="263"/>
      <c r="E20" s="264"/>
    </row>
    <row r="21" spans="2:7" s="2" customFormat="1" ht="16">
      <c r="B21" s="94"/>
      <c r="C21" s="36"/>
      <c r="D21" s="40"/>
      <c r="E21" s="36"/>
    </row>
    <row r="22" spans="2:7" s="2" customFormat="1" ht="14">
      <c r="B22" s="94"/>
      <c r="C22" s="149" t="s">
        <v>436</v>
      </c>
      <c r="D22" s="150" t="s">
        <v>437</v>
      </c>
      <c r="E22" s="151" t="s">
        <v>232</v>
      </c>
    </row>
    <row r="23" spans="2:7" s="2" customFormat="1" ht="14">
      <c r="B23" s="94"/>
      <c r="C23" s="142">
        <v>1</v>
      </c>
      <c r="D23" s="31" t="s">
        <v>233</v>
      </c>
      <c r="E23" s="152" t="s">
        <v>472</v>
      </c>
    </row>
    <row r="24" spans="2:7" s="2" customFormat="1" ht="28">
      <c r="B24" s="94"/>
      <c r="C24" s="142">
        <v>2</v>
      </c>
      <c r="D24" s="31" t="s">
        <v>234</v>
      </c>
      <c r="E24" s="152" t="s">
        <v>473</v>
      </c>
    </row>
    <row r="25" spans="2:7" s="2" customFormat="1" ht="28">
      <c r="B25" s="94"/>
      <c r="C25" s="142">
        <v>3</v>
      </c>
      <c r="D25" s="31" t="s">
        <v>235</v>
      </c>
      <c r="E25" s="152" t="s">
        <v>474</v>
      </c>
    </row>
    <row r="26" spans="2:7" s="2" customFormat="1" ht="14">
      <c r="B26" s="94"/>
      <c r="C26" s="142">
        <v>4</v>
      </c>
      <c r="D26" s="31" t="s">
        <v>236</v>
      </c>
      <c r="E26" s="152" t="s">
        <v>475</v>
      </c>
    </row>
    <row r="27" spans="2:7" s="2" customFormat="1" ht="14">
      <c r="B27" s="94"/>
      <c r="C27" s="153">
        <v>5</v>
      </c>
      <c r="D27" s="168" t="s">
        <v>237</v>
      </c>
      <c r="E27" s="154" t="s">
        <v>476</v>
      </c>
    </row>
    <row r="28" spans="2:7" s="2" customFormat="1" ht="13">
      <c r="B28" s="94"/>
      <c r="D28" s="8"/>
    </row>
    <row r="29" spans="2:7" s="2" customFormat="1" ht="13">
      <c r="B29" s="3"/>
      <c r="C29" s="3"/>
      <c r="D29" s="4"/>
      <c r="E29" s="4"/>
      <c r="F29" s="4"/>
      <c r="G29" s="4"/>
    </row>
    <row r="30" spans="2:7" s="2" customFormat="1" ht="13">
      <c r="B30" s="94"/>
      <c r="D30" s="8"/>
    </row>
    <row r="31" spans="2:7" s="2" customFormat="1" ht="16">
      <c r="B31" s="136">
        <v>4</v>
      </c>
      <c r="C31" s="39" t="s">
        <v>8</v>
      </c>
      <c r="D31" s="265"/>
      <c r="E31" s="266"/>
    </row>
    <row r="32" spans="2:7" s="2" customFormat="1" ht="13">
      <c r="B32" s="94"/>
      <c r="D32" s="6"/>
      <c r="E32" s="94"/>
    </row>
    <row r="33" spans="2:7" s="2" customFormat="1" ht="14">
      <c r="B33" s="94"/>
      <c r="C33" s="262" t="s">
        <v>477</v>
      </c>
      <c r="D33" s="169" t="s">
        <v>437</v>
      </c>
      <c r="E33" s="170" t="s">
        <v>238</v>
      </c>
    </row>
    <row r="34" spans="2:7" s="2" customFormat="1" ht="14" thickBot="1">
      <c r="B34" s="94"/>
      <c r="C34" s="262"/>
      <c r="D34" s="106"/>
      <c r="E34" s="107"/>
    </row>
    <row r="35" spans="2:7" s="2" customFormat="1" ht="14" thickBot="1">
      <c r="B35" s="94"/>
      <c r="C35" s="267"/>
      <c r="D35" s="37" t="s">
        <v>239</v>
      </c>
      <c r="E35" s="38">
        <f>D34*E34</f>
        <v>0</v>
      </c>
    </row>
    <row r="36" spans="2:7" s="2" customFormat="1" ht="13">
      <c r="B36" s="94"/>
      <c r="D36" s="8"/>
    </row>
    <row r="37" spans="2:7" s="2" customFormat="1" ht="13">
      <c r="B37" s="3"/>
      <c r="C37" s="3"/>
      <c r="D37" s="4"/>
      <c r="E37" s="4"/>
      <c r="F37" s="4"/>
      <c r="G37" s="4"/>
    </row>
    <row r="38" spans="2:7" s="2" customFormat="1" ht="13">
      <c r="B38" s="94"/>
      <c r="D38" s="8"/>
    </row>
    <row r="39" spans="2:7" s="2" customFormat="1" ht="16">
      <c r="B39" s="136">
        <v>5</v>
      </c>
      <c r="C39" s="39" t="s">
        <v>27</v>
      </c>
      <c r="D39" s="259" t="s">
        <v>530</v>
      </c>
      <c r="E39" s="260"/>
      <c r="F39" s="260"/>
      <c r="G39" s="261"/>
    </row>
    <row r="40" spans="2:7" s="2" customFormat="1" ht="13">
      <c r="B40" s="94"/>
      <c r="C40" s="6"/>
      <c r="D40" s="7"/>
      <c r="E40" s="7"/>
      <c r="F40" s="7"/>
    </row>
    <row r="41" spans="2:7" s="2" customFormat="1">
      <c r="B41" s="94"/>
      <c r="C41" s="138" t="s">
        <v>22</v>
      </c>
      <c r="D41" s="139" t="s">
        <v>17</v>
      </c>
      <c r="E41" s="139" t="s">
        <v>98</v>
      </c>
      <c r="F41" s="140" t="s">
        <v>156</v>
      </c>
      <c r="G41" s="141" t="s">
        <v>18</v>
      </c>
    </row>
    <row r="42" spans="2:7" s="2" customFormat="1" ht="13">
      <c r="B42" s="94"/>
      <c r="C42" s="155" t="s">
        <v>527</v>
      </c>
      <c r="D42" s="156"/>
      <c r="E42" s="156"/>
      <c r="F42" s="156"/>
      <c r="G42" s="156"/>
    </row>
    <row r="43" spans="2:7" s="2" customFormat="1" ht="13">
      <c r="B43" s="94"/>
      <c r="C43" s="145" t="s">
        <v>90</v>
      </c>
      <c r="D43" s="156"/>
      <c r="E43" s="156"/>
      <c r="F43" s="156"/>
      <c r="G43" s="157"/>
    </row>
    <row r="44" spans="2:7" s="2" customFormat="1" ht="13">
      <c r="B44" s="94"/>
      <c r="C44" s="155" t="s">
        <v>91</v>
      </c>
      <c r="D44" s="158"/>
      <c r="E44" s="158"/>
      <c r="F44" s="158"/>
      <c r="G44" s="159"/>
    </row>
    <row r="45" spans="2:7" s="2" customFormat="1" ht="13">
      <c r="B45" s="94"/>
      <c r="C45" s="145" t="s">
        <v>92</v>
      </c>
      <c r="D45" s="156"/>
      <c r="E45" s="156"/>
      <c r="F45" s="156"/>
      <c r="G45" s="157"/>
    </row>
    <row r="46" spans="2:7" s="2" customFormat="1" ht="13">
      <c r="B46" s="94"/>
      <c r="C46" s="155" t="s">
        <v>93</v>
      </c>
      <c r="D46" s="158"/>
      <c r="E46" s="158"/>
      <c r="F46" s="158"/>
      <c r="G46" s="159"/>
    </row>
    <row r="47" spans="2:7" s="2" customFormat="1" ht="13">
      <c r="B47" s="94"/>
      <c r="C47" s="146" t="s">
        <v>528</v>
      </c>
      <c r="D47" s="160"/>
      <c r="E47" s="160"/>
      <c r="F47" s="160"/>
      <c r="G47" s="161"/>
    </row>
    <row r="48" spans="2:7" s="2" customFormat="1" ht="13">
      <c r="B48" s="94"/>
      <c r="D48" s="8"/>
    </row>
  </sheetData>
  <sheetProtection sheet="1" objects="1" scenarios="1"/>
  <mergeCells count="7">
    <mergeCell ref="B2:B4"/>
    <mergeCell ref="D39:G39"/>
    <mergeCell ref="C2:C4"/>
    <mergeCell ref="D8:G8"/>
    <mergeCell ref="D20:E20"/>
    <mergeCell ref="D31:E31"/>
    <mergeCell ref="C33:C35"/>
  </mergeCells>
  <dataValidations count="1">
    <dataValidation type="list" allowBlank="1" showInputMessage="1" showErrorMessage="1" sqref="D34:E34 D42:G47" xr:uid="{0B7FA91E-6D46-4E2A-9021-369148D97762}">
      <formula1>"1,2,3,4,5"</formula1>
    </dataValidation>
  </dataValidations>
  <pageMargins left="0.7" right="0.7" top="0.75" bottom="0.75" header="0.3" footer="0.3"/>
  <pageSetup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58312-D345-4EA8-BCD2-72355D1B258F}">
  <sheetPr codeName="Sheet15">
    <tabColor rgb="FF0086BF"/>
  </sheetPr>
  <dimension ref="B2:AN140"/>
  <sheetViews>
    <sheetView showGridLines="0" zoomScale="110" zoomScaleNormal="110" workbookViewId="0"/>
  </sheetViews>
  <sheetFormatPr baseColWidth="10" defaultColWidth="9.1640625" defaultRowHeight="13"/>
  <cols>
    <col min="1" max="1" width="9.1640625" style="2"/>
    <col min="2" max="2" width="22.5" style="2" bestFit="1" customWidth="1"/>
    <col min="3" max="3" width="21.5" style="2" customWidth="1"/>
    <col min="4" max="4" width="11.5" style="2" customWidth="1"/>
    <col min="5" max="5" width="23.83203125" style="8" customWidth="1"/>
    <col min="6" max="6" width="9.33203125" style="8" customWidth="1"/>
    <col min="7" max="7" width="9.1640625" style="8" customWidth="1"/>
    <col min="8" max="8" width="15.5" style="8" customWidth="1"/>
    <col min="9" max="9" width="23.6640625" style="8" customWidth="1"/>
    <col min="10" max="10" width="23.1640625" style="8" customWidth="1"/>
    <col min="11" max="11" width="24.1640625" style="2" customWidth="1"/>
    <col min="12" max="12" width="16.1640625" style="2" customWidth="1"/>
    <col min="13" max="19" width="13.33203125" style="2" customWidth="1"/>
    <col min="20" max="20" width="16.5" style="2" customWidth="1"/>
    <col min="21" max="21" width="20.5" style="94" customWidth="1"/>
    <col min="22" max="22" width="26.5" style="2" customWidth="1"/>
    <col min="23" max="23" width="26" style="2" customWidth="1"/>
    <col min="24" max="24" width="67.83203125" style="2" customWidth="1"/>
    <col min="25" max="25" width="22.5" style="2" customWidth="1"/>
    <col min="26" max="26" width="18.1640625" style="2" customWidth="1"/>
    <col min="27" max="27" width="20.5" style="2" customWidth="1"/>
    <col min="28" max="32" width="15.5" style="2" customWidth="1"/>
    <col min="33" max="35" width="20.6640625" style="2" customWidth="1"/>
    <col min="36" max="36" width="20.1640625" style="2" customWidth="1"/>
    <col min="37" max="37" width="13.5" style="2" bestFit="1" customWidth="1"/>
    <col min="38" max="40" width="12.83203125" style="2" customWidth="1"/>
    <col min="41" max="16384" width="9.1640625" style="2"/>
  </cols>
  <sheetData>
    <row r="2" spans="2:40">
      <c r="B2" s="271" t="s">
        <v>157</v>
      </c>
      <c r="C2" s="1" t="s">
        <v>95</v>
      </c>
      <c r="D2" s="274" t="str">
        <f>IF(ISBLANK('2. Enterprise Parameters'!E2),"",'2. Enterprise Parameters'!E2)</f>
        <v/>
      </c>
      <c r="E2" s="275"/>
      <c r="F2" s="53"/>
      <c r="G2" s="53"/>
      <c r="H2" s="53"/>
      <c r="I2" s="53"/>
      <c r="J2" s="53"/>
    </row>
    <row r="3" spans="2:40">
      <c r="B3" s="272"/>
      <c r="C3" s="1" t="s">
        <v>24</v>
      </c>
      <c r="D3" s="274" t="str">
        <f>IF(ISBLANK('2. Enterprise Parameters'!E3),"",'2. Enterprise Parameters'!E3)</f>
        <v/>
      </c>
      <c r="E3" s="275"/>
      <c r="F3" s="53"/>
      <c r="G3" s="53"/>
      <c r="H3" s="53"/>
      <c r="I3" s="53"/>
      <c r="J3" s="53"/>
    </row>
    <row r="4" spans="2:40" ht="22.5" customHeight="1">
      <c r="B4" s="273"/>
      <c r="C4" s="1" t="s">
        <v>25</v>
      </c>
      <c r="D4" s="276" t="str">
        <f>IF(ISBLANK('2. Enterprise Parameters'!E4),"",'2. Enterprise Parameters'!E4)</f>
        <v/>
      </c>
      <c r="E4" s="277"/>
      <c r="F4" s="100"/>
      <c r="G4" s="100"/>
      <c r="H4" s="100"/>
      <c r="I4" s="100"/>
      <c r="J4" s="100"/>
    </row>
    <row r="6" spans="2:40">
      <c r="B6" s="3"/>
      <c r="C6" s="3"/>
      <c r="D6" s="3"/>
      <c r="E6" s="4"/>
      <c r="F6" s="4"/>
      <c r="G6" s="4"/>
      <c r="H6" s="4"/>
      <c r="I6" s="4"/>
      <c r="J6" s="4"/>
      <c r="K6" s="4"/>
      <c r="L6" s="4"/>
      <c r="M6" s="4"/>
      <c r="N6" s="4"/>
      <c r="O6" s="4"/>
      <c r="P6" s="4"/>
      <c r="Q6" s="4"/>
      <c r="R6" s="4"/>
      <c r="S6" s="4"/>
      <c r="T6" s="4"/>
      <c r="U6" s="12"/>
      <c r="V6" s="4"/>
      <c r="W6" s="4"/>
      <c r="X6" s="4"/>
      <c r="Y6" s="4"/>
      <c r="Z6" s="4"/>
      <c r="AA6" s="4"/>
      <c r="AB6" s="4"/>
      <c r="AC6" s="4"/>
      <c r="AD6" s="4"/>
      <c r="AE6" s="4"/>
      <c r="AF6" s="4"/>
      <c r="AG6" s="4"/>
      <c r="AH6" s="4"/>
      <c r="AI6" s="4"/>
      <c r="AJ6" s="4"/>
    </row>
    <row r="8" spans="2:40" s="36" customFormat="1" ht="15.75" customHeight="1">
      <c r="B8" s="171" t="s">
        <v>26</v>
      </c>
      <c r="C8" s="278" t="s">
        <v>114</v>
      </c>
      <c r="D8" s="279"/>
      <c r="E8" s="279"/>
      <c r="F8" s="279"/>
      <c r="G8" s="279"/>
      <c r="H8" s="279"/>
      <c r="I8" s="279"/>
      <c r="J8" s="279"/>
      <c r="K8" s="279"/>
      <c r="L8" s="279"/>
      <c r="M8" s="279"/>
      <c r="N8" s="279"/>
      <c r="O8" s="279"/>
      <c r="P8" s="279"/>
      <c r="Q8" s="279"/>
      <c r="R8" s="279"/>
      <c r="S8" s="279"/>
      <c r="T8" s="280"/>
      <c r="U8" s="171" t="s">
        <v>26</v>
      </c>
      <c r="V8" s="278" t="s">
        <v>112</v>
      </c>
      <c r="W8" s="279"/>
      <c r="X8" s="279"/>
      <c r="Y8" s="279"/>
      <c r="Z8" s="279"/>
      <c r="AA8" s="279"/>
      <c r="AB8" s="279"/>
      <c r="AC8" s="279"/>
      <c r="AD8" s="279"/>
      <c r="AE8" s="279"/>
      <c r="AF8" s="279"/>
      <c r="AG8" s="279"/>
      <c r="AH8" s="279"/>
      <c r="AI8" s="279"/>
      <c r="AJ8" s="280"/>
      <c r="AL8" s="268" t="s">
        <v>431</v>
      </c>
      <c r="AM8" s="269"/>
      <c r="AN8" s="270"/>
    </row>
    <row r="10" spans="2:40" s="11" customFormat="1" ht="56">
      <c r="B10" s="9" t="s">
        <v>22</v>
      </c>
      <c r="C10" s="114" t="s">
        <v>257</v>
      </c>
      <c r="D10" s="9" t="s">
        <v>531</v>
      </c>
      <c r="E10" s="9" t="s">
        <v>110</v>
      </c>
      <c r="F10" s="9" t="s">
        <v>427</v>
      </c>
      <c r="G10" s="9" t="s">
        <v>428</v>
      </c>
      <c r="H10" s="9" t="s">
        <v>519</v>
      </c>
      <c r="I10" s="5" t="s">
        <v>444</v>
      </c>
      <c r="J10" s="114" t="s">
        <v>463</v>
      </c>
      <c r="K10" s="5" t="s">
        <v>438</v>
      </c>
      <c r="L10" s="5" t="s">
        <v>124</v>
      </c>
      <c r="M10" s="9" t="s">
        <v>20</v>
      </c>
      <c r="N10" s="9" t="s">
        <v>436</v>
      </c>
      <c r="O10" s="9" t="s">
        <v>0</v>
      </c>
      <c r="P10" s="9" t="s">
        <v>99</v>
      </c>
      <c r="Q10" s="9" t="s">
        <v>101</v>
      </c>
      <c r="R10" s="9" t="s">
        <v>1</v>
      </c>
      <c r="S10" s="9" t="s">
        <v>2</v>
      </c>
      <c r="T10" s="9" t="s">
        <v>3</v>
      </c>
      <c r="U10" s="5" t="s">
        <v>128</v>
      </c>
      <c r="V10" s="10" t="s">
        <v>28</v>
      </c>
      <c r="W10" s="10" t="s">
        <v>32</v>
      </c>
      <c r="X10" s="10" t="s">
        <v>33</v>
      </c>
      <c r="Y10" s="25" t="s">
        <v>111</v>
      </c>
      <c r="Z10" s="5" t="s">
        <v>125</v>
      </c>
      <c r="AA10" s="10" t="s">
        <v>439</v>
      </c>
      <c r="AB10" s="10" t="s">
        <v>34</v>
      </c>
      <c r="AC10" s="10" t="s">
        <v>100</v>
      </c>
      <c r="AD10" s="10" t="s">
        <v>430</v>
      </c>
      <c r="AE10" s="10" t="s">
        <v>35</v>
      </c>
      <c r="AF10" s="10" t="s">
        <v>37</v>
      </c>
      <c r="AG10" s="10" t="s">
        <v>113</v>
      </c>
      <c r="AH10" s="114" t="s">
        <v>36</v>
      </c>
      <c r="AI10" s="114" t="s">
        <v>105</v>
      </c>
      <c r="AJ10" s="114" t="s">
        <v>29</v>
      </c>
      <c r="AL10" s="12" t="s">
        <v>101</v>
      </c>
      <c r="AM10" s="12" t="s">
        <v>30</v>
      </c>
      <c r="AN10" s="12" t="s">
        <v>31</v>
      </c>
    </row>
    <row r="11" spans="2:40" ht="168">
      <c r="B11" s="220" t="s">
        <v>91</v>
      </c>
      <c r="C11" s="15"/>
      <c r="D11" s="86">
        <v>1.1000000000000001</v>
      </c>
      <c r="E11" s="14" t="s">
        <v>38</v>
      </c>
      <c r="F11" s="13" t="s">
        <v>429</v>
      </c>
      <c r="G11" s="13" t="s">
        <v>429</v>
      </c>
      <c r="H11" s="13" t="s">
        <v>521</v>
      </c>
      <c r="I11" s="15"/>
      <c r="J11" s="15"/>
      <c r="K11" s="15"/>
      <c r="L11" s="16"/>
      <c r="M11" s="24">
        <f>IFERROR(VLOOKUP(tblRiskRegister32[[#This Row],[Asset Class]],tblVCDBIndex[],4,FALSE),"")</f>
        <v>4</v>
      </c>
      <c r="N11" s="24" t="str">
        <f>IFERROR(VLOOKUP(10*tblRiskRegister32[[#This Row],[Safeguard Maturity Score]]+tblRiskRegister32[[#This Row],[VCDB Index]],tblHITIndexWeightTable[],4,FALSE),"")</f>
        <v/>
      </c>
      <c r="O11" s="24">
        <f>VLOOKUP(tblRiskRegister32[[#This Row],[Asset Class]],tblInherentImpacts30[],2,FALSE)</f>
        <v>0</v>
      </c>
      <c r="P11" s="24">
        <f>VLOOKUP(tblRiskRegister32[[#This Row],[Asset Class]],tblInherentImpacts30[],3,FALSE)</f>
        <v>0</v>
      </c>
      <c r="Q11" s="24">
        <f>VLOOKUP(tblRiskRegister32[[#This Row],[Asset Class]],tblInherentImpacts30[],4,FALSE)</f>
        <v>0</v>
      </c>
      <c r="R11" s="24">
        <f>VLOOKUP(tblRiskRegister32[[#This Row],[Asset Class]],tblInherentImpacts30[],5,FALSE)</f>
        <v>0</v>
      </c>
      <c r="S11" s="24" t="str">
        <f>IFERROR(MAX(tblRiskRegister32[[#This Row],[Impact to Mission]:[Impact to Obligations]])*tblRiskRegister32[[#This Row],[Expectancy Score]],"")</f>
        <v/>
      </c>
      <c r="T11" s="24" t="str">
        <f>tblRiskRegister32[[#This Row],[Risk Score]]</f>
        <v/>
      </c>
      <c r="U11" s="86"/>
      <c r="V11" s="86">
        <v>1.1000000000000001</v>
      </c>
      <c r="W11" s="15" t="s">
        <v>38</v>
      </c>
      <c r="X11" s="15" t="s">
        <v>333</v>
      </c>
      <c r="Y11" s="15"/>
      <c r="Z11" s="16"/>
      <c r="AA11" s="23" t="str">
        <f>IFERROR(VLOOKUP(10*tblRiskRegister32[[#This Row],[Risk Treatment Safeguard Maturity Score]]+tblRiskRegister32[[#This Row],[VCDB Index]],tblHITIndexWeightTable[],4,FALSE),"")</f>
        <v/>
      </c>
      <c r="AB11" s="23">
        <f>VLOOKUP(tblRiskRegister32[[#This Row],[Asset Class]],tblInherentImpacts30[],2,FALSE)</f>
        <v>0</v>
      </c>
      <c r="AC11" s="23">
        <f>VLOOKUP(tblRiskRegister32[[#This Row],[Asset Class]],tblInherentImpacts30[],3,FALSE)</f>
        <v>0</v>
      </c>
      <c r="AD11" s="23">
        <f>VLOOKUP(tblRiskRegister32[[#This Row],[Asset Class]],tblInherentImpacts30[],4,FALSE)</f>
        <v>0</v>
      </c>
      <c r="AE11" s="23">
        <f>VLOOKUP(tblRiskRegister32[[#This Row],[Asset Class]],tblInherentImpacts30[],5,FALSE)</f>
        <v>0</v>
      </c>
      <c r="AF11" s="23" t="str">
        <f>IFERROR(MAX(tblRiskRegister32[[#This Row],[Risk Treatment Safeguard Impact to Mission]:[Risk Treatment Safeguard Impact to Obligations]])*tblRiskRegister32[[#This Row],[Risk Treatment
Safeguard Expectancy Score]],"")</f>
        <v/>
      </c>
      <c r="AG11" s="23" t="str">
        <f>IF(tblRiskRegister32[[#This Row],[Risk Score]]&gt;=AcceptableRisk,IF(tblRiskRegister32[[#This Row],[Risk Treatment Safeguard Risk Score]]&lt;AcceptableRisk, IF(tblRiskRegister32[[#This Row],[Risk Treatment Safeguard Risk Score]]&lt;tblRiskRegister32[[#This Row],[Risk Score]],"Yes","No"),"No"),"Yes")</f>
        <v>No</v>
      </c>
      <c r="AH11" s="17"/>
      <c r="AI11" s="17"/>
      <c r="AJ11" s="18"/>
      <c r="AL11" s="19">
        <f>SUMIF(tblRiskRegister32[[#All],[Implementation Year]],"="&amp;tblCostImpacts33[[#This Row],[Year]],tblRiskRegister32[[#All],[Risk Treatment Safeguard Cost]])</f>
        <v>0</v>
      </c>
      <c r="AM11" s="6">
        <v>2025</v>
      </c>
      <c r="AN11" s="6" t="str">
        <f>IF(tblCostImpacts33[[#This Row],[Impact to Financial Objectives]]&lt;='2. Enterprise Parameters'!$F$13,"Yes","No")</f>
        <v>Yes</v>
      </c>
    </row>
    <row r="12" spans="2:40" ht="42">
      <c r="B12" s="220" t="s">
        <v>91</v>
      </c>
      <c r="C12" s="15"/>
      <c r="D12" s="86">
        <v>1.2</v>
      </c>
      <c r="E12" s="14" t="s">
        <v>13</v>
      </c>
      <c r="F12" s="13" t="s">
        <v>429</v>
      </c>
      <c r="G12" s="13" t="s">
        <v>429</v>
      </c>
      <c r="H12" s="13" t="s">
        <v>522</v>
      </c>
      <c r="I12" s="15"/>
      <c r="J12" s="15"/>
      <c r="K12" s="15"/>
      <c r="L12" s="16"/>
      <c r="M12" s="24">
        <f>IFERROR(VLOOKUP(tblRiskRegister32[[#This Row],[Asset Class]],tblVCDBIndex[],4,FALSE),"")</f>
        <v>4</v>
      </c>
      <c r="N12" s="24" t="str">
        <f>IFERROR(VLOOKUP(10*tblRiskRegister32[[#This Row],[Safeguard Maturity Score]]+tblRiskRegister32[[#This Row],[VCDB Index]],tblHITIndexWeightTable[],4,FALSE),"")</f>
        <v/>
      </c>
      <c r="O12" s="24">
        <f>VLOOKUP(tblRiskRegister32[[#This Row],[Asset Class]],tblInherentImpacts30[],2,FALSE)</f>
        <v>0</v>
      </c>
      <c r="P12" s="24">
        <f>VLOOKUP(tblRiskRegister32[[#This Row],[Asset Class]],tblInherentImpacts30[],3,FALSE)</f>
        <v>0</v>
      </c>
      <c r="Q12" s="24">
        <f>VLOOKUP(tblRiskRegister32[[#This Row],[Asset Class]],tblInherentImpacts30[],4,FALSE)</f>
        <v>0</v>
      </c>
      <c r="R12" s="24">
        <f>VLOOKUP(tblRiskRegister32[[#This Row],[Asset Class]],tblInherentImpacts30[],5,FALSE)</f>
        <v>0</v>
      </c>
      <c r="S12" s="24" t="str">
        <f>IFERROR(MAX(tblRiskRegister32[[#This Row],[Impact to Mission]:[Impact to Obligations]])*tblRiskRegister32[[#This Row],[Expectancy Score]],"")</f>
        <v/>
      </c>
      <c r="T12" s="24" t="str">
        <f>tblRiskRegister32[[#This Row],[Risk Score]]</f>
        <v/>
      </c>
      <c r="U12" s="86"/>
      <c r="V12" s="86">
        <v>1.2</v>
      </c>
      <c r="W12" s="15" t="s">
        <v>13</v>
      </c>
      <c r="X12" s="15" t="s">
        <v>334</v>
      </c>
      <c r="Y12" s="26"/>
      <c r="Z12" s="16"/>
      <c r="AA12" s="23" t="str">
        <f>IFERROR(VLOOKUP(10*tblRiskRegister32[[#This Row],[Risk Treatment Safeguard Maturity Score]]+tblRiskRegister32[[#This Row],[VCDB Index]],tblHITIndexWeightTable[],4,FALSE),"")</f>
        <v/>
      </c>
      <c r="AB12" s="23">
        <f>VLOOKUP(tblRiskRegister32[[#This Row],[Asset Class]],tblInherentImpacts30[],2,FALSE)</f>
        <v>0</v>
      </c>
      <c r="AC12" s="23">
        <f>VLOOKUP(tblRiskRegister32[[#This Row],[Asset Class]],tblInherentImpacts30[],3,FALSE)</f>
        <v>0</v>
      </c>
      <c r="AD12" s="23">
        <f>VLOOKUP(tblRiskRegister32[[#This Row],[Asset Class]],tblInherentImpacts30[],4,FALSE)</f>
        <v>0</v>
      </c>
      <c r="AE12" s="23">
        <f>VLOOKUP(tblRiskRegister32[[#This Row],[Asset Class]],tblInherentImpacts30[],5,FALSE)</f>
        <v>0</v>
      </c>
      <c r="AF12" s="23" t="str">
        <f>IFERROR(MAX(tblRiskRegister32[[#This Row],[Risk Treatment Safeguard Impact to Mission]:[Risk Treatment Safeguard Impact to Obligations]])*tblRiskRegister32[[#This Row],[Risk Treatment
Safeguard Expectancy Score]],"")</f>
        <v/>
      </c>
      <c r="AG12" s="23" t="str">
        <f>IF(tblRiskRegister32[[#This Row],[Risk Score]]&gt;=AcceptableRisk,IF(tblRiskRegister32[[#This Row],[Risk Treatment Safeguard Risk Score]]&lt;AcceptableRisk, IF(tblRiskRegister32[[#This Row],[Risk Treatment Safeguard Risk Score]]&lt;tblRiskRegister32[[#This Row],[Risk Score]],"Yes","No"),"No"),"Yes")</f>
        <v>No</v>
      </c>
      <c r="AH12" s="17"/>
      <c r="AI12" s="17"/>
      <c r="AJ12" s="18"/>
      <c r="AL12" s="19">
        <f>SUMIF(tblRiskRegister32[[#All],[Implementation Year]],"="&amp;tblCostImpacts33[[#This Row],[Year]],tblRiskRegister32[[#All],[Risk Treatment Safeguard Cost]])</f>
        <v>0</v>
      </c>
      <c r="AM12" s="6">
        <v>2026</v>
      </c>
      <c r="AN12" s="6" t="str">
        <f>IF(tblCostImpacts33[[#This Row],[Impact to Financial Objectives]]&lt;='2. Enterprise Parameters'!$F$13,"Yes","No")</f>
        <v>Yes</v>
      </c>
    </row>
    <row r="13" spans="2:40" ht="28">
      <c r="B13" s="220" t="s">
        <v>91</v>
      </c>
      <c r="C13" s="15"/>
      <c r="D13" s="86">
        <v>1.3</v>
      </c>
      <c r="E13" s="14" t="s">
        <v>181</v>
      </c>
      <c r="F13" s="13"/>
      <c r="G13" s="13" t="s">
        <v>429</v>
      </c>
      <c r="H13" s="13" t="s">
        <v>524</v>
      </c>
      <c r="I13" s="15"/>
      <c r="J13" s="15"/>
      <c r="K13" s="15"/>
      <c r="L13" s="16"/>
      <c r="M13" s="24">
        <f>IFERROR(VLOOKUP(tblRiskRegister32[[#This Row],[Asset Class]],tblVCDBIndex[],4,FALSE),"")</f>
        <v>4</v>
      </c>
      <c r="N13" s="24" t="str">
        <f>IFERROR(VLOOKUP(10*tblRiskRegister32[[#This Row],[Safeguard Maturity Score]]+tblRiskRegister32[[#This Row],[VCDB Index]],tblHITIndexWeightTable[],4,FALSE),"")</f>
        <v/>
      </c>
      <c r="O13" s="24">
        <f>VLOOKUP(tblRiskRegister32[[#This Row],[Asset Class]],tblInherentImpacts30[],2,FALSE)</f>
        <v>0</v>
      </c>
      <c r="P13" s="24">
        <f>VLOOKUP(tblRiskRegister32[[#This Row],[Asset Class]],tblInherentImpacts30[],3,FALSE)</f>
        <v>0</v>
      </c>
      <c r="Q13" s="24">
        <f>VLOOKUP(tblRiskRegister32[[#This Row],[Asset Class]],tblInherentImpacts30[],4,FALSE)</f>
        <v>0</v>
      </c>
      <c r="R13" s="24">
        <f>VLOOKUP(tblRiskRegister32[[#This Row],[Asset Class]],tblInherentImpacts30[],5,FALSE)</f>
        <v>0</v>
      </c>
      <c r="S13" s="24" t="str">
        <f>IFERROR(MAX(tblRiskRegister32[[#This Row],[Impact to Mission]:[Impact to Obligations]])*tblRiskRegister32[[#This Row],[Expectancy Score]],"")</f>
        <v/>
      </c>
      <c r="T13" s="24" t="str">
        <f>tblRiskRegister32[[#This Row],[Risk Score]]</f>
        <v/>
      </c>
      <c r="U13" s="86"/>
      <c r="V13" s="86">
        <v>1.3</v>
      </c>
      <c r="W13" s="15" t="s">
        <v>181</v>
      </c>
      <c r="X13" s="15" t="s">
        <v>335</v>
      </c>
      <c r="Y13" s="26"/>
      <c r="Z13" s="16"/>
      <c r="AA13" s="23" t="str">
        <f>IFERROR(VLOOKUP(10*tblRiskRegister32[[#This Row],[Risk Treatment Safeguard Maturity Score]]+tblRiskRegister32[[#This Row],[VCDB Index]],tblHITIndexWeightTable[],4,FALSE),"")</f>
        <v/>
      </c>
      <c r="AB13" s="23">
        <f>VLOOKUP(tblRiskRegister32[[#This Row],[Asset Class]],tblInherentImpacts30[],2,FALSE)</f>
        <v>0</v>
      </c>
      <c r="AC13" s="23">
        <f>VLOOKUP(tblRiskRegister32[[#This Row],[Asset Class]],tblInherentImpacts30[],3,FALSE)</f>
        <v>0</v>
      </c>
      <c r="AD13" s="23">
        <f>VLOOKUP(tblRiskRegister32[[#This Row],[Asset Class]],tblInherentImpacts30[],4,FALSE)</f>
        <v>0</v>
      </c>
      <c r="AE13" s="23">
        <f>VLOOKUP(tblRiskRegister32[[#This Row],[Asset Class]],tblInherentImpacts30[],5,FALSE)</f>
        <v>0</v>
      </c>
      <c r="AF13" s="23" t="str">
        <f>IFERROR(MAX(tblRiskRegister32[[#This Row],[Risk Treatment Safeguard Impact to Mission]:[Risk Treatment Safeguard Impact to Obligations]])*tblRiskRegister32[[#This Row],[Risk Treatment
Safeguard Expectancy Score]],"")</f>
        <v/>
      </c>
      <c r="AG13" s="23" t="str">
        <f>IF(tblRiskRegister32[[#This Row],[Risk Score]]&gt;=AcceptableRisk,IF(tblRiskRegister32[[#This Row],[Risk Treatment Safeguard Risk Score]]&lt;AcceptableRisk, IF(tblRiskRegister32[[#This Row],[Risk Treatment Safeguard Risk Score]]&lt;tblRiskRegister32[[#This Row],[Risk Score]],"Yes","No"),"No"),"Yes")</f>
        <v>No</v>
      </c>
      <c r="AH13" s="17"/>
      <c r="AI13" s="17"/>
      <c r="AJ13" s="18"/>
      <c r="AL13" s="19">
        <f>SUMIF(tblRiskRegister32[[#All],[Implementation Year]],"="&amp;tblCostImpacts33[[#This Row],[Year]],tblRiskRegister32[[#All],[Risk Treatment Safeguard Cost]])</f>
        <v>0</v>
      </c>
      <c r="AM13" s="6">
        <v>2027</v>
      </c>
      <c r="AN13" s="6" t="str">
        <f>IF(tblCostImpacts33[[#This Row],[Impact to Financial Objectives]]&lt;='2. Enterprise Parameters'!$F$13,"Yes","No")</f>
        <v>Yes</v>
      </c>
    </row>
    <row r="14" spans="2:40" ht="56">
      <c r="B14" s="220" t="s">
        <v>91</v>
      </c>
      <c r="C14" s="15"/>
      <c r="D14" s="86">
        <v>1.4</v>
      </c>
      <c r="E14" s="14" t="s">
        <v>182</v>
      </c>
      <c r="F14" s="13"/>
      <c r="G14" s="13" t="s">
        <v>429</v>
      </c>
      <c r="H14" s="13" t="s">
        <v>521</v>
      </c>
      <c r="I14" s="15"/>
      <c r="J14" s="15"/>
      <c r="K14" s="15"/>
      <c r="L14" s="16"/>
      <c r="M14" s="24">
        <f>IFERROR(VLOOKUP(tblRiskRegister32[[#This Row],[Asset Class]],tblVCDBIndex[],4,FALSE),"")</f>
        <v>4</v>
      </c>
      <c r="N14" s="24" t="str">
        <f>IFERROR(VLOOKUP(10*tblRiskRegister32[[#This Row],[Safeguard Maturity Score]]+tblRiskRegister32[[#This Row],[VCDB Index]],tblHITIndexWeightTable[],4,FALSE),"")</f>
        <v/>
      </c>
      <c r="O14" s="24">
        <f>VLOOKUP(tblRiskRegister32[[#This Row],[Asset Class]],tblInherentImpacts30[],2,FALSE)</f>
        <v>0</v>
      </c>
      <c r="P14" s="24">
        <f>VLOOKUP(tblRiskRegister32[[#This Row],[Asset Class]],tblInherentImpacts30[],3,FALSE)</f>
        <v>0</v>
      </c>
      <c r="Q14" s="24">
        <f>VLOOKUP(tblRiskRegister32[[#This Row],[Asset Class]],tblInherentImpacts30[],4,FALSE)</f>
        <v>0</v>
      </c>
      <c r="R14" s="24">
        <f>VLOOKUP(tblRiskRegister32[[#This Row],[Asset Class]],tblInherentImpacts30[],5,FALSE)</f>
        <v>0</v>
      </c>
      <c r="S14" s="24" t="str">
        <f>IFERROR(MAX(tblRiskRegister32[[#This Row],[Impact to Mission]:[Impact to Obligations]])*tblRiskRegister32[[#This Row],[Expectancy Score]],"")</f>
        <v/>
      </c>
      <c r="T14" s="24" t="str">
        <f>tblRiskRegister32[[#This Row],[Risk Score]]</f>
        <v/>
      </c>
      <c r="U14" s="86"/>
      <c r="V14" s="86">
        <v>1.4</v>
      </c>
      <c r="W14" s="15" t="s">
        <v>182</v>
      </c>
      <c r="X14" s="15" t="s">
        <v>336</v>
      </c>
      <c r="Y14" s="26"/>
      <c r="Z14" s="16"/>
      <c r="AA14" s="23" t="str">
        <f>IFERROR(VLOOKUP(10*tblRiskRegister32[[#This Row],[Risk Treatment Safeguard Maturity Score]]+tblRiskRegister32[[#This Row],[VCDB Index]],tblHITIndexWeightTable[],4,FALSE),"")</f>
        <v/>
      </c>
      <c r="AB14" s="23">
        <f>VLOOKUP(tblRiskRegister32[[#This Row],[Asset Class]],tblInherentImpacts30[],2,FALSE)</f>
        <v>0</v>
      </c>
      <c r="AC14" s="23">
        <f>VLOOKUP(tblRiskRegister32[[#This Row],[Asset Class]],tblInherentImpacts30[],3,FALSE)</f>
        <v>0</v>
      </c>
      <c r="AD14" s="23">
        <f>VLOOKUP(tblRiskRegister32[[#This Row],[Asset Class]],tblInherentImpacts30[],4,FALSE)</f>
        <v>0</v>
      </c>
      <c r="AE14" s="23">
        <f>VLOOKUP(tblRiskRegister32[[#This Row],[Asset Class]],tblInherentImpacts30[],5,FALSE)</f>
        <v>0</v>
      </c>
      <c r="AF14" s="23" t="str">
        <f>IFERROR(MAX(tblRiskRegister32[[#This Row],[Risk Treatment Safeguard Impact to Mission]:[Risk Treatment Safeguard Impact to Obligations]])*tblRiskRegister32[[#This Row],[Risk Treatment
Safeguard Expectancy Score]],"")</f>
        <v/>
      </c>
      <c r="AG14" s="23" t="str">
        <f>IF(tblRiskRegister32[[#This Row],[Risk Score]]&gt;=AcceptableRisk,IF(tblRiskRegister32[[#This Row],[Risk Treatment Safeguard Risk Score]]&lt;AcceptableRisk, IF(tblRiskRegister32[[#This Row],[Risk Treatment Safeguard Risk Score]]&lt;tblRiskRegister32[[#This Row],[Risk Score]],"Yes","No"),"No"),"Yes")</f>
        <v>No</v>
      </c>
      <c r="AH14" s="17"/>
      <c r="AI14" s="17"/>
      <c r="AJ14" s="18"/>
      <c r="AL14" s="19">
        <f>SUMIF(tblRiskRegister32[[#All],[Implementation Year]],"="&amp;tblCostImpacts33[[#This Row],[Year]],tblRiskRegister32[[#All],[Risk Treatment Safeguard Cost]])</f>
        <v>0</v>
      </c>
      <c r="AM14" s="6">
        <v>2028</v>
      </c>
      <c r="AN14" s="6" t="str">
        <f>IF(tblCostImpacts33[[#This Row],[Impact to Financial Objectives]]&lt;='2. Enterprise Parameters'!$F$13,"Yes","No")</f>
        <v>Yes</v>
      </c>
    </row>
    <row r="15" spans="2:40" ht="100" customHeight="1">
      <c r="B15" s="220" t="s">
        <v>527</v>
      </c>
      <c r="C15" s="15"/>
      <c r="D15" s="86">
        <v>2.1</v>
      </c>
      <c r="E15" s="14" t="s">
        <v>39</v>
      </c>
      <c r="F15" s="13" t="s">
        <v>429</v>
      </c>
      <c r="G15" s="13" t="s">
        <v>429</v>
      </c>
      <c r="H15" s="13" t="s">
        <v>521</v>
      </c>
      <c r="I15" s="15"/>
      <c r="J15" s="15"/>
      <c r="K15" s="15"/>
      <c r="L15" s="16"/>
      <c r="M15" s="24">
        <f>IFERROR(VLOOKUP(tblRiskRegister32[[#This Row],[Asset Class]],tblVCDBIndex[],4,FALSE),"")</f>
        <v>2</v>
      </c>
      <c r="N15" s="24" t="str">
        <f>IFERROR(VLOOKUP(10*tblRiskRegister32[[#This Row],[Safeguard Maturity Score]]+tblRiskRegister32[[#This Row],[VCDB Index]],tblHITIndexWeightTable[],4,FALSE),"")</f>
        <v/>
      </c>
      <c r="O15" s="24">
        <f>VLOOKUP(tblRiskRegister32[[#This Row],[Asset Class]],tblInherentImpacts30[],2,FALSE)</f>
        <v>0</v>
      </c>
      <c r="P15" s="24">
        <f>VLOOKUP(tblRiskRegister32[[#This Row],[Asset Class]],tblInherentImpacts30[],3,FALSE)</f>
        <v>0</v>
      </c>
      <c r="Q15" s="24">
        <f>VLOOKUP(tblRiskRegister32[[#This Row],[Asset Class]],tblInherentImpacts30[],4,FALSE)</f>
        <v>0</v>
      </c>
      <c r="R15" s="24">
        <f>VLOOKUP(tblRiskRegister32[[#This Row],[Asset Class]],tblInherentImpacts30[],5,FALSE)</f>
        <v>0</v>
      </c>
      <c r="S15" s="24" t="str">
        <f>IFERROR(MAX(tblRiskRegister32[[#This Row],[Impact to Mission]:[Impact to Obligations]])*tblRiskRegister32[[#This Row],[Expectancy Score]],"")</f>
        <v/>
      </c>
      <c r="T15" s="24" t="str">
        <f>tblRiskRegister32[[#This Row],[Risk Score]]</f>
        <v/>
      </c>
      <c r="U15" s="86"/>
      <c r="V15" s="86">
        <v>2.1</v>
      </c>
      <c r="W15" s="15" t="s">
        <v>39</v>
      </c>
      <c r="X15" s="15" t="s">
        <v>533</v>
      </c>
      <c r="Y15" s="15"/>
      <c r="Z15" s="16"/>
      <c r="AA15" s="23" t="str">
        <f>IFERROR(VLOOKUP(10*tblRiskRegister32[[#This Row],[Risk Treatment Safeguard Maturity Score]]+tblRiskRegister32[[#This Row],[VCDB Index]],tblHITIndexWeightTable[],4,FALSE),"")</f>
        <v/>
      </c>
      <c r="AB15" s="23">
        <f>VLOOKUP(tblRiskRegister32[[#This Row],[Asset Class]],tblInherentImpacts30[],2,FALSE)</f>
        <v>0</v>
      </c>
      <c r="AC15" s="23">
        <f>VLOOKUP(tblRiskRegister32[[#This Row],[Asset Class]],tblInherentImpacts30[],3,FALSE)</f>
        <v>0</v>
      </c>
      <c r="AD15" s="23">
        <f>VLOOKUP(tblRiskRegister32[[#This Row],[Asset Class]],tblInherentImpacts30[],4,FALSE)</f>
        <v>0</v>
      </c>
      <c r="AE15" s="23">
        <f>VLOOKUP(tblRiskRegister32[[#This Row],[Asset Class]],tblInherentImpacts30[],5,FALSE)</f>
        <v>0</v>
      </c>
      <c r="AF15" s="23" t="str">
        <f>IFERROR(MAX(tblRiskRegister32[[#This Row],[Risk Treatment Safeguard Impact to Mission]:[Risk Treatment Safeguard Impact to Obligations]])*tblRiskRegister32[[#This Row],[Risk Treatment
Safeguard Expectancy Score]],"")</f>
        <v/>
      </c>
      <c r="AG15" s="23" t="str">
        <f>IF(tblRiskRegister32[[#This Row],[Risk Score]]&gt;=AcceptableRisk,IF(tblRiskRegister32[[#This Row],[Risk Treatment Safeguard Risk Score]]&lt;AcceptableRisk, IF(tblRiskRegister32[[#This Row],[Risk Treatment Safeguard Risk Score]]&lt;tblRiskRegister32[[#This Row],[Risk Score]],"Yes","No"),"No"),"Yes")</f>
        <v>No</v>
      </c>
      <c r="AH15" s="17"/>
      <c r="AI15" s="17"/>
      <c r="AJ15" s="18"/>
      <c r="AL15" s="19">
        <f>SUMIF(tblRiskRegister32[[#All],[Implementation Year]],"="&amp;tblCostImpacts33[[#This Row],[Year]],tblRiskRegister32[[#All],[Risk Treatment Safeguard Cost]])</f>
        <v>0</v>
      </c>
      <c r="AM15" s="6">
        <v>2029</v>
      </c>
      <c r="AN15" s="6" t="str">
        <f>IF(tblCostImpacts33[[#This Row],[Impact to Financial Objectives]]&lt;='2. Enterprise Parameters'!$F$13,"Yes","No")</f>
        <v>Yes</v>
      </c>
    </row>
    <row r="16" spans="2:40" ht="84">
      <c r="B16" s="220" t="s">
        <v>527</v>
      </c>
      <c r="C16" s="15"/>
      <c r="D16" s="86">
        <v>2.2000000000000002</v>
      </c>
      <c r="E16" s="14" t="s">
        <v>40</v>
      </c>
      <c r="F16" s="13" t="s">
        <v>429</v>
      </c>
      <c r="G16" s="13" t="s">
        <v>429</v>
      </c>
      <c r="H16" s="13" t="s">
        <v>521</v>
      </c>
      <c r="I16" s="15"/>
      <c r="J16" s="15"/>
      <c r="K16" s="15"/>
      <c r="L16" s="16"/>
      <c r="M16" s="24">
        <f>IFERROR(VLOOKUP(tblRiskRegister32[[#This Row],[Asset Class]],tblVCDBIndex[],4,FALSE),"")</f>
        <v>2</v>
      </c>
      <c r="N16" s="24" t="str">
        <f>IFERROR(VLOOKUP(10*tblRiskRegister32[[#This Row],[Safeguard Maturity Score]]+tblRiskRegister32[[#This Row],[VCDB Index]],tblHITIndexWeightTable[],4,FALSE),"")</f>
        <v/>
      </c>
      <c r="O16" s="24">
        <f>VLOOKUP(tblRiskRegister32[[#This Row],[Asset Class]],tblInherentImpacts30[],2,FALSE)</f>
        <v>0</v>
      </c>
      <c r="P16" s="24">
        <f>VLOOKUP(tblRiskRegister32[[#This Row],[Asset Class]],tblInherentImpacts30[],3,FALSE)</f>
        <v>0</v>
      </c>
      <c r="Q16" s="24">
        <f>VLOOKUP(tblRiskRegister32[[#This Row],[Asset Class]],tblInherentImpacts30[],4,FALSE)</f>
        <v>0</v>
      </c>
      <c r="R16" s="24">
        <f>VLOOKUP(tblRiskRegister32[[#This Row],[Asset Class]],tblInherentImpacts30[],5,FALSE)</f>
        <v>0</v>
      </c>
      <c r="S16" s="24" t="str">
        <f>IFERROR(MAX(tblRiskRegister32[[#This Row],[Impact to Mission]:[Impact to Obligations]])*tblRiskRegister32[[#This Row],[Expectancy Score]],"")</f>
        <v/>
      </c>
      <c r="T16" s="24" t="str">
        <f>tblRiskRegister32[[#This Row],[Risk Score]]</f>
        <v/>
      </c>
      <c r="U16" s="86"/>
      <c r="V16" s="86">
        <v>2.2000000000000002</v>
      </c>
      <c r="W16" s="15" t="s">
        <v>40</v>
      </c>
      <c r="X16" s="15" t="s">
        <v>337</v>
      </c>
      <c r="Y16" s="15"/>
      <c r="Z16" s="16"/>
      <c r="AA16" s="23" t="str">
        <f>IFERROR(VLOOKUP(10*tblRiskRegister32[[#This Row],[Risk Treatment Safeguard Maturity Score]]+tblRiskRegister32[[#This Row],[VCDB Index]],tblHITIndexWeightTable[],4,FALSE),"")</f>
        <v/>
      </c>
      <c r="AB16" s="23">
        <f>VLOOKUP(tblRiskRegister32[[#This Row],[Asset Class]],tblInherentImpacts30[],2,FALSE)</f>
        <v>0</v>
      </c>
      <c r="AC16" s="23">
        <f>VLOOKUP(tblRiskRegister32[[#This Row],[Asset Class]],tblInherentImpacts30[],3,FALSE)</f>
        <v>0</v>
      </c>
      <c r="AD16" s="23">
        <f>VLOOKUP(tblRiskRegister32[[#This Row],[Asset Class]],tblInherentImpacts30[],4,FALSE)</f>
        <v>0</v>
      </c>
      <c r="AE16" s="23">
        <f>VLOOKUP(tblRiskRegister32[[#This Row],[Asset Class]],tblInherentImpacts30[],5,FALSE)</f>
        <v>0</v>
      </c>
      <c r="AF16" s="23" t="str">
        <f>IFERROR(MAX(tblRiskRegister32[[#This Row],[Risk Treatment Safeguard Impact to Mission]:[Risk Treatment Safeguard Impact to Obligations]])*tblRiskRegister32[[#This Row],[Risk Treatment
Safeguard Expectancy Score]],"")</f>
        <v/>
      </c>
      <c r="AG16" s="23" t="str">
        <f>IF(tblRiskRegister32[[#This Row],[Risk Score]]&gt;=AcceptableRisk,IF(tblRiskRegister32[[#This Row],[Risk Treatment Safeguard Risk Score]]&lt;AcceptableRisk, IF(tblRiskRegister32[[#This Row],[Risk Treatment Safeguard Risk Score]]&lt;tblRiskRegister32[[#This Row],[Risk Score]],"Yes","No"),"No"),"Yes")</f>
        <v>No</v>
      </c>
      <c r="AH16" s="17"/>
      <c r="AI16" s="17"/>
      <c r="AJ16" s="18"/>
      <c r="AL16" s="19">
        <f>SUMIF(tblRiskRegister32[[#All],[Implementation Year]],"="&amp;tblCostImpacts33[[#This Row],[Year]],tblRiskRegister32[[#All],[Risk Treatment Safeguard Cost]])</f>
        <v>0</v>
      </c>
      <c r="AM16" s="6">
        <v>2030</v>
      </c>
      <c r="AN16" s="6" t="str">
        <f>IF(tblCostImpacts33[[#This Row],[Impact to Financial Objectives]]&lt;='2. Enterprise Parameters'!$F$13,"Yes","No")</f>
        <v>Yes</v>
      </c>
    </row>
    <row r="17" spans="2:40" ht="28">
      <c r="B17" s="220" t="s">
        <v>527</v>
      </c>
      <c r="C17" s="15"/>
      <c r="D17" s="86">
        <v>2.2999999999999998</v>
      </c>
      <c r="E17" s="14" t="s">
        <v>41</v>
      </c>
      <c r="F17" s="13" t="s">
        <v>429</v>
      </c>
      <c r="G17" s="13" t="s">
        <v>429</v>
      </c>
      <c r="H17" s="13" t="s">
        <v>522</v>
      </c>
      <c r="I17" s="15"/>
      <c r="J17" s="15"/>
      <c r="K17" s="15"/>
      <c r="L17" s="16"/>
      <c r="M17" s="24">
        <f>IFERROR(VLOOKUP(tblRiskRegister32[[#This Row],[Asset Class]],tblVCDBIndex[],4,FALSE),"")</f>
        <v>2</v>
      </c>
      <c r="N17" s="24" t="str">
        <f>IFERROR(VLOOKUP(10*tblRiskRegister32[[#This Row],[Safeguard Maturity Score]]+tblRiskRegister32[[#This Row],[VCDB Index]],tblHITIndexWeightTable[],4,FALSE),"")</f>
        <v/>
      </c>
      <c r="O17" s="24">
        <f>VLOOKUP(tblRiskRegister32[[#This Row],[Asset Class]],tblInherentImpacts30[],2,FALSE)</f>
        <v>0</v>
      </c>
      <c r="P17" s="24">
        <f>VLOOKUP(tblRiskRegister32[[#This Row],[Asset Class]],tblInherentImpacts30[],3,FALSE)</f>
        <v>0</v>
      </c>
      <c r="Q17" s="24">
        <f>VLOOKUP(tblRiskRegister32[[#This Row],[Asset Class]],tblInherentImpacts30[],4,FALSE)</f>
        <v>0</v>
      </c>
      <c r="R17" s="24">
        <f>VLOOKUP(tblRiskRegister32[[#This Row],[Asset Class]],tblInherentImpacts30[],5,FALSE)</f>
        <v>0</v>
      </c>
      <c r="S17" s="24" t="str">
        <f>IFERROR(MAX(tblRiskRegister32[[#This Row],[Impact to Mission]:[Impact to Obligations]])*tblRiskRegister32[[#This Row],[Expectancy Score]],"")</f>
        <v/>
      </c>
      <c r="T17" s="24" t="str">
        <f>tblRiskRegister32[[#This Row],[Risk Score]]</f>
        <v/>
      </c>
      <c r="U17" s="86"/>
      <c r="V17" s="86">
        <v>2.2999999999999998</v>
      </c>
      <c r="W17" s="15" t="s">
        <v>41</v>
      </c>
      <c r="X17" s="15" t="s">
        <v>338</v>
      </c>
      <c r="Y17" s="15"/>
      <c r="Z17" s="16"/>
      <c r="AA17" s="23" t="str">
        <f>IFERROR(VLOOKUP(10*tblRiskRegister32[[#This Row],[Risk Treatment Safeguard Maturity Score]]+tblRiskRegister32[[#This Row],[VCDB Index]],tblHITIndexWeightTable[],4,FALSE),"")</f>
        <v/>
      </c>
      <c r="AB17" s="23">
        <f>VLOOKUP(tblRiskRegister32[[#This Row],[Asset Class]],tblInherentImpacts30[],2,FALSE)</f>
        <v>0</v>
      </c>
      <c r="AC17" s="23">
        <f>VLOOKUP(tblRiskRegister32[[#This Row],[Asset Class]],tblInherentImpacts30[],3,FALSE)</f>
        <v>0</v>
      </c>
      <c r="AD17" s="23">
        <f>VLOOKUP(tblRiskRegister32[[#This Row],[Asset Class]],tblInherentImpacts30[],4,FALSE)</f>
        <v>0</v>
      </c>
      <c r="AE17" s="23">
        <f>VLOOKUP(tblRiskRegister32[[#This Row],[Asset Class]],tblInherentImpacts30[],5,FALSE)</f>
        <v>0</v>
      </c>
      <c r="AF17" s="23" t="str">
        <f>IFERROR(MAX(tblRiskRegister32[[#This Row],[Risk Treatment Safeguard Impact to Mission]:[Risk Treatment Safeguard Impact to Obligations]])*tblRiskRegister32[[#This Row],[Risk Treatment
Safeguard Expectancy Score]],"")</f>
        <v/>
      </c>
      <c r="AG17" s="23" t="str">
        <f>IF(tblRiskRegister32[[#This Row],[Risk Score]]&gt;=AcceptableRisk,IF(tblRiskRegister32[[#This Row],[Risk Treatment Safeguard Risk Score]]&lt;AcceptableRisk, IF(tblRiskRegister32[[#This Row],[Risk Treatment Safeguard Risk Score]]&lt;tblRiskRegister32[[#This Row],[Risk Score]],"Yes","No"),"No"),"Yes")</f>
        <v>No</v>
      </c>
      <c r="AH17" s="17"/>
      <c r="AI17" s="17"/>
      <c r="AJ17" s="18"/>
      <c r="AL17" s="19">
        <f>SUMIF(tblRiskRegister32[[#All],[Implementation Year]],"="&amp;tblCostImpacts33[[#This Row],[Year]],tblRiskRegister32[[#All],[Risk Treatment Safeguard Cost]])</f>
        <v>0</v>
      </c>
      <c r="AM17" s="6">
        <v>2031</v>
      </c>
      <c r="AN17" s="6" t="str">
        <f>IF(tblCostImpacts33[[#This Row],[Impact to Financial Objectives]]&lt;='2. Enterprise Parameters'!$F$13,"Yes","No")</f>
        <v>Yes</v>
      </c>
    </row>
    <row r="18" spans="2:40" ht="28">
      <c r="B18" s="220" t="s">
        <v>527</v>
      </c>
      <c r="C18" s="15"/>
      <c r="D18" s="86">
        <v>2.4</v>
      </c>
      <c r="E18" s="14" t="s">
        <v>158</v>
      </c>
      <c r="F18" s="13"/>
      <c r="G18" s="13" t="s">
        <v>429</v>
      </c>
      <c r="H18" s="13" t="s">
        <v>524</v>
      </c>
      <c r="I18" s="15"/>
      <c r="J18" s="15"/>
      <c r="K18" s="15"/>
      <c r="L18" s="16"/>
      <c r="M18" s="24">
        <f>IFERROR(VLOOKUP(tblRiskRegister32[[#This Row],[Asset Class]],tblVCDBIndex[],4,FALSE),"")</f>
        <v>2</v>
      </c>
      <c r="N18" s="24" t="str">
        <f>IFERROR(VLOOKUP(10*tblRiskRegister32[[#This Row],[Safeguard Maturity Score]]+tblRiskRegister32[[#This Row],[VCDB Index]],tblHITIndexWeightTable[],4,FALSE),"")</f>
        <v/>
      </c>
      <c r="O18" s="24">
        <f>VLOOKUP(tblRiskRegister32[[#This Row],[Asset Class]],tblInherentImpacts30[],2,FALSE)</f>
        <v>0</v>
      </c>
      <c r="P18" s="24">
        <f>VLOOKUP(tblRiskRegister32[[#This Row],[Asset Class]],tblInherentImpacts30[],3,FALSE)</f>
        <v>0</v>
      </c>
      <c r="Q18" s="24">
        <f>VLOOKUP(tblRiskRegister32[[#This Row],[Asset Class]],tblInherentImpacts30[],4,FALSE)</f>
        <v>0</v>
      </c>
      <c r="R18" s="24">
        <f>VLOOKUP(tblRiskRegister32[[#This Row],[Asset Class]],tblInherentImpacts30[],5,FALSE)</f>
        <v>0</v>
      </c>
      <c r="S18" s="24" t="str">
        <f>IFERROR(MAX(tblRiskRegister32[[#This Row],[Impact to Mission]:[Impact to Obligations]])*tblRiskRegister32[[#This Row],[Expectancy Score]],"")</f>
        <v/>
      </c>
      <c r="T18" s="24" t="str">
        <f>tblRiskRegister32[[#This Row],[Risk Score]]</f>
        <v/>
      </c>
      <c r="U18" s="86"/>
      <c r="V18" s="86">
        <v>2.4</v>
      </c>
      <c r="W18" s="15" t="s">
        <v>158</v>
      </c>
      <c r="X18" s="15" t="s">
        <v>339</v>
      </c>
      <c r="Y18" s="15"/>
      <c r="Z18" s="16"/>
      <c r="AA18" s="23" t="str">
        <f>IFERROR(VLOOKUP(10*tblRiskRegister32[[#This Row],[Risk Treatment Safeguard Maturity Score]]+tblRiskRegister32[[#This Row],[VCDB Index]],tblHITIndexWeightTable[],4,FALSE),"")</f>
        <v/>
      </c>
      <c r="AB18" s="23">
        <f>VLOOKUP(tblRiskRegister32[[#This Row],[Asset Class]],tblInherentImpacts30[],2,FALSE)</f>
        <v>0</v>
      </c>
      <c r="AC18" s="23">
        <f>VLOOKUP(tblRiskRegister32[[#This Row],[Asset Class]],tblInherentImpacts30[],3,FALSE)</f>
        <v>0</v>
      </c>
      <c r="AD18" s="23">
        <f>VLOOKUP(tblRiskRegister32[[#This Row],[Asset Class]],tblInherentImpacts30[],4,FALSE)</f>
        <v>0</v>
      </c>
      <c r="AE18" s="23">
        <f>VLOOKUP(tblRiskRegister32[[#This Row],[Asset Class]],tblInherentImpacts30[],5,FALSE)</f>
        <v>0</v>
      </c>
      <c r="AF18" s="23" t="str">
        <f>IFERROR(MAX(tblRiskRegister32[[#This Row],[Risk Treatment Safeguard Impact to Mission]:[Risk Treatment Safeguard Impact to Obligations]])*tblRiskRegister32[[#This Row],[Risk Treatment
Safeguard Expectancy Score]],"")</f>
        <v/>
      </c>
      <c r="AG18" s="23" t="str">
        <f>IF(tblRiskRegister32[[#This Row],[Risk Score]]&gt;=AcceptableRisk,IF(tblRiskRegister32[[#This Row],[Risk Treatment Safeguard Risk Score]]&lt;AcceptableRisk, IF(tblRiskRegister32[[#This Row],[Risk Treatment Safeguard Risk Score]]&lt;tblRiskRegister32[[#This Row],[Risk Score]],"Yes","No"),"No"),"Yes")</f>
        <v>No</v>
      </c>
      <c r="AH18" s="17"/>
      <c r="AI18" s="17"/>
      <c r="AJ18" s="18"/>
      <c r="AL18" s="19">
        <f>SUMIF(tblRiskRegister32[[#All],[Implementation Year]],"="&amp;tblCostImpacts33[[#This Row],[Year]],tblRiskRegister32[[#All],[Risk Treatment Safeguard Cost]])</f>
        <v>0</v>
      </c>
      <c r="AM18" s="6">
        <v>2032</v>
      </c>
      <c r="AN18" s="6" t="str">
        <f>IF(tblCostImpacts33[[#This Row],[Impact to Financial Objectives]]&lt;='2. Enterprise Parameters'!$F$13,"Yes","No")</f>
        <v>Yes</v>
      </c>
    </row>
    <row r="19" spans="2:40" ht="42">
      <c r="B19" s="220" t="s">
        <v>527</v>
      </c>
      <c r="C19" s="15"/>
      <c r="D19" s="86">
        <v>2.5</v>
      </c>
      <c r="E19" s="14" t="s">
        <v>159</v>
      </c>
      <c r="F19" s="13"/>
      <c r="G19" s="13" t="s">
        <v>429</v>
      </c>
      <c r="H19" s="13" t="s">
        <v>523</v>
      </c>
      <c r="I19" s="15"/>
      <c r="J19" s="15"/>
      <c r="K19" s="15"/>
      <c r="L19" s="16"/>
      <c r="M19" s="24">
        <f>IFERROR(VLOOKUP(tblRiskRegister32[[#This Row],[Asset Class]],tblVCDBIndex[],4,FALSE),"")</f>
        <v>2</v>
      </c>
      <c r="N19" s="24" t="str">
        <f>IFERROR(VLOOKUP(10*tblRiskRegister32[[#This Row],[Safeguard Maturity Score]]+tblRiskRegister32[[#This Row],[VCDB Index]],tblHITIndexWeightTable[],4,FALSE),"")</f>
        <v/>
      </c>
      <c r="O19" s="24">
        <f>VLOOKUP(tblRiskRegister32[[#This Row],[Asset Class]],tblInherentImpacts30[],2,FALSE)</f>
        <v>0</v>
      </c>
      <c r="P19" s="24">
        <f>VLOOKUP(tblRiskRegister32[[#This Row],[Asset Class]],tblInherentImpacts30[],3,FALSE)</f>
        <v>0</v>
      </c>
      <c r="Q19" s="24">
        <f>VLOOKUP(tblRiskRegister32[[#This Row],[Asset Class]],tblInherentImpacts30[],4,FALSE)</f>
        <v>0</v>
      </c>
      <c r="R19" s="24">
        <f>VLOOKUP(tblRiskRegister32[[#This Row],[Asset Class]],tblInherentImpacts30[],5,FALSE)</f>
        <v>0</v>
      </c>
      <c r="S19" s="24" t="str">
        <f>IFERROR(MAX(tblRiskRegister32[[#This Row],[Impact to Mission]:[Impact to Obligations]])*tblRiskRegister32[[#This Row],[Expectancy Score]],"")</f>
        <v/>
      </c>
      <c r="T19" s="24" t="str">
        <f>tblRiskRegister32[[#This Row],[Risk Score]]</f>
        <v/>
      </c>
      <c r="U19" s="86"/>
      <c r="V19" s="86">
        <v>2.5</v>
      </c>
      <c r="W19" s="15" t="s">
        <v>159</v>
      </c>
      <c r="X19" s="15" t="s">
        <v>340</v>
      </c>
      <c r="Y19" s="15"/>
      <c r="Z19" s="16"/>
      <c r="AA19" s="23" t="str">
        <f>IFERROR(VLOOKUP(10*tblRiskRegister32[[#This Row],[Risk Treatment Safeguard Maturity Score]]+tblRiskRegister32[[#This Row],[VCDB Index]],tblHITIndexWeightTable[],4,FALSE),"")</f>
        <v/>
      </c>
      <c r="AB19" s="23">
        <f>VLOOKUP(tblRiskRegister32[[#This Row],[Asset Class]],tblInherentImpacts30[],2,FALSE)</f>
        <v>0</v>
      </c>
      <c r="AC19" s="23">
        <f>VLOOKUP(tblRiskRegister32[[#This Row],[Asset Class]],tblInherentImpacts30[],3,FALSE)</f>
        <v>0</v>
      </c>
      <c r="AD19" s="23">
        <f>VLOOKUP(tblRiskRegister32[[#This Row],[Asset Class]],tblInherentImpacts30[],4,FALSE)</f>
        <v>0</v>
      </c>
      <c r="AE19" s="23">
        <f>VLOOKUP(tblRiskRegister32[[#This Row],[Asset Class]],tblInherentImpacts30[],5,FALSE)</f>
        <v>0</v>
      </c>
      <c r="AF19" s="23" t="str">
        <f>IFERROR(MAX(tblRiskRegister32[[#This Row],[Risk Treatment Safeguard Impact to Mission]:[Risk Treatment Safeguard Impact to Obligations]])*tblRiskRegister32[[#This Row],[Risk Treatment
Safeguard Expectancy Score]],"")</f>
        <v/>
      </c>
      <c r="AG19" s="23" t="str">
        <f>IF(tblRiskRegister32[[#This Row],[Risk Score]]&gt;=AcceptableRisk,IF(tblRiskRegister32[[#This Row],[Risk Treatment Safeguard Risk Score]]&lt;AcceptableRisk, IF(tblRiskRegister32[[#This Row],[Risk Treatment Safeguard Risk Score]]&lt;tblRiskRegister32[[#This Row],[Risk Score]],"Yes","No"),"No"),"Yes")</f>
        <v>No</v>
      </c>
      <c r="AH19" s="17"/>
      <c r="AI19" s="17"/>
      <c r="AJ19" s="18"/>
      <c r="AL19" s="19">
        <f>SUMIF(tblRiskRegister32[[#All],[Implementation Year]],"="&amp;tblCostImpacts33[[#This Row],[Year]],tblRiskRegister32[[#All],[Risk Treatment Safeguard Cost]])</f>
        <v>0</v>
      </c>
      <c r="AM19" s="6">
        <v>2033</v>
      </c>
      <c r="AN19" s="6" t="str">
        <f>IF(tblCostImpacts33[[#This Row],[Impact to Financial Objectives]]&lt;='2. Enterprise Parameters'!$F$13,"Yes","No")</f>
        <v>Yes</v>
      </c>
    </row>
    <row r="20" spans="2:40" ht="56">
      <c r="B20" s="220" t="s">
        <v>527</v>
      </c>
      <c r="C20" s="15"/>
      <c r="D20" s="86">
        <v>2.6</v>
      </c>
      <c r="E20" s="14" t="s">
        <v>160</v>
      </c>
      <c r="F20" s="13"/>
      <c r="G20" s="13" t="s">
        <v>429</v>
      </c>
      <c r="H20" s="13" t="s">
        <v>523</v>
      </c>
      <c r="I20" s="15"/>
      <c r="J20" s="15"/>
      <c r="K20" s="15"/>
      <c r="L20" s="16"/>
      <c r="M20" s="24">
        <f>IFERROR(VLOOKUP(tblRiskRegister32[[#This Row],[Asset Class]],tblVCDBIndex[],4,FALSE),"")</f>
        <v>2</v>
      </c>
      <c r="N20" s="24" t="str">
        <f>IFERROR(VLOOKUP(10*tblRiskRegister32[[#This Row],[Safeguard Maturity Score]]+tblRiskRegister32[[#This Row],[VCDB Index]],tblHITIndexWeightTable[],4,FALSE),"")</f>
        <v/>
      </c>
      <c r="O20" s="24">
        <f>VLOOKUP(tblRiskRegister32[[#This Row],[Asset Class]],tblInherentImpacts30[],2,FALSE)</f>
        <v>0</v>
      </c>
      <c r="P20" s="24">
        <f>VLOOKUP(tblRiskRegister32[[#This Row],[Asset Class]],tblInherentImpacts30[],3,FALSE)</f>
        <v>0</v>
      </c>
      <c r="Q20" s="24">
        <f>VLOOKUP(tblRiskRegister32[[#This Row],[Asset Class]],tblInherentImpacts30[],4,FALSE)</f>
        <v>0</v>
      </c>
      <c r="R20" s="24">
        <f>VLOOKUP(tblRiskRegister32[[#This Row],[Asset Class]],tblInherentImpacts30[],5,FALSE)</f>
        <v>0</v>
      </c>
      <c r="S20" s="24" t="str">
        <f>IFERROR(MAX(tblRiskRegister32[[#This Row],[Impact to Mission]:[Impact to Obligations]])*tblRiskRegister32[[#This Row],[Expectancy Score]],"")</f>
        <v/>
      </c>
      <c r="T20" s="24" t="str">
        <f>tblRiskRegister32[[#This Row],[Risk Score]]</f>
        <v/>
      </c>
      <c r="U20" s="86"/>
      <c r="V20" s="86">
        <v>4.0999999999999996</v>
      </c>
      <c r="W20" s="15" t="s">
        <v>48</v>
      </c>
      <c r="X20" s="15" t="s">
        <v>534</v>
      </c>
      <c r="Y20" s="15"/>
      <c r="Z20" s="16"/>
      <c r="AA20" s="23" t="str">
        <f>IFERROR(VLOOKUP(10*tblRiskRegister32[[#This Row],[Risk Treatment Safeguard Maturity Score]]+tblRiskRegister32[[#This Row],[VCDB Index]],tblHITIndexWeightTable[],4,FALSE),"")</f>
        <v/>
      </c>
      <c r="AB20" s="23">
        <f>VLOOKUP(tblRiskRegister32[[#This Row],[Asset Class]],tblInherentImpacts30[],2,FALSE)</f>
        <v>0</v>
      </c>
      <c r="AC20" s="23">
        <f>VLOOKUP(tblRiskRegister32[[#This Row],[Asset Class]],tblInherentImpacts30[],3,FALSE)</f>
        <v>0</v>
      </c>
      <c r="AD20" s="23">
        <f>VLOOKUP(tblRiskRegister32[[#This Row],[Asset Class]],tblInherentImpacts30[],4,FALSE)</f>
        <v>0</v>
      </c>
      <c r="AE20" s="23">
        <f>VLOOKUP(tblRiskRegister32[[#This Row],[Asset Class]],tblInherentImpacts30[],5,FALSE)</f>
        <v>0</v>
      </c>
      <c r="AF20" s="23" t="str">
        <f>IFERROR(MAX(tblRiskRegister32[[#This Row],[Risk Treatment Safeguard Impact to Mission]:[Risk Treatment Safeguard Impact to Obligations]])*tblRiskRegister32[[#This Row],[Risk Treatment
Safeguard Expectancy Score]],"")</f>
        <v/>
      </c>
      <c r="AG20" s="23" t="str">
        <f>IF(tblRiskRegister32[[#This Row],[Risk Score]]&gt;=AcceptableRisk,IF(tblRiskRegister32[[#This Row],[Risk Treatment Safeguard Risk Score]]&lt;AcceptableRisk, IF(tblRiskRegister32[[#This Row],[Risk Treatment Safeguard Risk Score]]&lt;tblRiskRegister32[[#This Row],[Risk Score]],"Yes","No"),"No"),"Yes")</f>
        <v>No</v>
      </c>
      <c r="AH20" s="17"/>
      <c r="AI20" s="17"/>
      <c r="AJ20" s="18"/>
      <c r="AL20" s="19">
        <f>SUMIF(tblRiskRegister32[[#All],[Implementation Year]],"="&amp;tblCostImpacts33[[#This Row],[Year]],tblRiskRegister32[[#All],[Risk Treatment Safeguard Cost]])</f>
        <v>0</v>
      </c>
      <c r="AM20" s="6">
        <v>2034</v>
      </c>
      <c r="AN20" s="6" t="str">
        <f>IF(tblCostImpacts33[[#This Row],[Impact to Financial Objectives]]&lt;='2. Enterprise Parameters'!$F$13,"Yes","No")</f>
        <v>Yes</v>
      </c>
    </row>
    <row r="21" spans="2:40" ht="70">
      <c r="B21" s="220" t="s">
        <v>90</v>
      </c>
      <c r="C21" s="15"/>
      <c r="D21" s="86">
        <v>3.1</v>
      </c>
      <c r="E21" s="14" t="s">
        <v>42</v>
      </c>
      <c r="F21" s="13" t="s">
        <v>429</v>
      </c>
      <c r="G21" s="13" t="s">
        <v>429</v>
      </c>
      <c r="H21" s="13" t="s">
        <v>532</v>
      </c>
      <c r="I21" s="15"/>
      <c r="J21" s="15"/>
      <c r="K21" s="15"/>
      <c r="L21" s="16"/>
      <c r="M21" s="24">
        <f>IFERROR(VLOOKUP(tblRiskRegister32[[#This Row],[Asset Class]],tblVCDBIndex[],4,FALSE),"")</f>
        <v>2</v>
      </c>
      <c r="N21" s="24" t="str">
        <f>IFERROR(VLOOKUP(10*tblRiskRegister32[[#This Row],[Safeguard Maturity Score]]+tblRiskRegister32[[#This Row],[VCDB Index]],tblHITIndexWeightTable[],4,FALSE),"")</f>
        <v/>
      </c>
      <c r="O21" s="24">
        <f>VLOOKUP(tblRiskRegister32[[#This Row],[Asset Class]],tblInherentImpacts30[],2,FALSE)</f>
        <v>0</v>
      </c>
      <c r="P21" s="24">
        <f>VLOOKUP(tblRiskRegister32[[#This Row],[Asset Class]],tblInherentImpacts30[],3,FALSE)</f>
        <v>0</v>
      </c>
      <c r="Q21" s="24">
        <f>VLOOKUP(tblRiskRegister32[[#This Row],[Asset Class]],tblInherentImpacts30[],4,FALSE)</f>
        <v>0</v>
      </c>
      <c r="R21" s="24">
        <f>VLOOKUP(tblRiskRegister32[[#This Row],[Asset Class]],tblInherentImpacts30[],5,FALSE)</f>
        <v>0</v>
      </c>
      <c r="S21" s="24" t="str">
        <f>IFERROR(MAX(tblRiskRegister32[[#This Row],[Impact to Mission]:[Impact to Obligations]])*tblRiskRegister32[[#This Row],[Expectancy Score]],"")</f>
        <v/>
      </c>
      <c r="T21" s="24" t="str">
        <f>tblRiskRegister32[[#This Row],[Risk Score]]</f>
        <v/>
      </c>
      <c r="U21" s="86"/>
      <c r="V21" s="86">
        <v>3.1</v>
      </c>
      <c r="W21" s="15" t="s">
        <v>42</v>
      </c>
      <c r="X21" s="15" t="s">
        <v>535</v>
      </c>
      <c r="Y21" s="15"/>
      <c r="Z21" s="16"/>
      <c r="AA21" s="23" t="str">
        <f>IFERROR(VLOOKUP(10*tblRiskRegister32[[#This Row],[Risk Treatment Safeguard Maturity Score]]+tblRiskRegister32[[#This Row],[VCDB Index]],tblHITIndexWeightTable[],4,FALSE),"")</f>
        <v/>
      </c>
      <c r="AB21" s="23">
        <f>VLOOKUP(tblRiskRegister32[[#This Row],[Asset Class]],tblInherentImpacts30[],2,FALSE)</f>
        <v>0</v>
      </c>
      <c r="AC21" s="23">
        <f>VLOOKUP(tblRiskRegister32[[#This Row],[Asset Class]],tblInherentImpacts30[],3,FALSE)</f>
        <v>0</v>
      </c>
      <c r="AD21" s="23">
        <f>VLOOKUP(tblRiskRegister32[[#This Row],[Asset Class]],tblInherentImpacts30[],4,FALSE)</f>
        <v>0</v>
      </c>
      <c r="AE21" s="23">
        <f>VLOOKUP(tblRiskRegister32[[#This Row],[Asset Class]],tblInherentImpacts30[],5,FALSE)</f>
        <v>0</v>
      </c>
      <c r="AF21" s="23" t="str">
        <f>IFERROR(MAX(tblRiskRegister32[[#This Row],[Risk Treatment Safeguard Impact to Mission]:[Risk Treatment Safeguard Impact to Obligations]])*tblRiskRegister32[[#This Row],[Risk Treatment
Safeguard Expectancy Score]],"")</f>
        <v/>
      </c>
      <c r="AG21" s="23" t="str">
        <f>IF(tblRiskRegister32[[#This Row],[Risk Score]]&gt;=AcceptableRisk,IF(tblRiskRegister32[[#This Row],[Risk Treatment Safeguard Risk Score]]&lt;AcceptableRisk, IF(tblRiskRegister32[[#This Row],[Risk Treatment Safeguard Risk Score]]&lt;tblRiskRegister32[[#This Row],[Risk Score]],"Yes","No"),"No"),"Yes")</f>
        <v>No</v>
      </c>
      <c r="AH21" s="17"/>
      <c r="AI21" s="17"/>
      <c r="AJ21" s="18"/>
    </row>
    <row r="22" spans="2:40" ht="42">
      <c r="B22" s="220" t="s">
        <v>90</v>
      </c>
      <c r="C22" s="15"/>
      <c r="D22" s="86">
        <v>3.2</v>
      </c>
      <c r="E22" s="14" t="s">
        <v>43</v>
      </c>
      <c r="F22" s="13" t="s">
        <v>429</v>
      </c>
      <c r="G22" s="13" t="s">
        <v>429</v>
      </c>
      <c r="H22" s="13" t="s">
        <v>521</v>
      </c>
      <c r="I22" s="15"/>
      <c r="J22" s="15"/>
      <c r="K22" s="15"/>
      <c r="L22" s="16"/>
      <c r="M22" s="24">
        <f>IFERROR(VLOOKUP(tblRiskRegister32[[#This Row],[Asset Class]],tblVCDBIndex[],4,FALSE),"")</f>
        <v>2</v>
      </c>
      <c r="N22" s="24" t="str">
        <f>IFERROR(VLOOKUP(10*tblRiskRegister32[[#This Row],[Safeguard Maturity Score]]+tblRiskRegister32[[#This Row],[VCDB Index]],tblHITIndexWeightTable[],4,FALSE),"")</f>
        <v/>
      </c>
      <c r="O22" s="24">
        <f>VLOOKUP(tblRiskRegister32[[#This Row],[Asset Class]],tblInherentImpacts30[],2,FALSE)</f>
        <v>0</v>
      </c>
      <c r="P22" s="24">
        <f>VLOOKUP(tblRiskRegister32[[#This Row],[Asset Class]],tblInherentImpacts30[],3,FALSE)</f>
        <v>0</v>
      </c>
      <c r="Q22" s="24">
        <f>VLOOKUP(tblRiskRegister32[[#This Row],[Asset Class]],tblInherentImpacts30[],4,FALSE)</f>
        <v>0</v>
      </c>
      <c r="R22" s="24">
        <f>VLOOKUP(tblRiskRegister32[[#This Row],[Asset Class]],tblInherentImpacts30[],5,FALSE)</f>
        <v>0</v>
      </c>
      <c r="S22" s="24" t="str">
        <f>IFERROR(MAX(tblRiskRegister32[[#This Row],[Impact to Mission]:[Impact to Obligations]])*tblRiskRegister32[[#This Row],[Expectancy Score]],"")</f>
        <v/>
      </c>
      <c r="T22" s="24" t="str">
        <f>tblRiskRegister32[[#This Row],[Risk Score]]</f>
        <v/>
      </c>
      <c r="U22" s="86"/>
      <c r="V22" s="86">
        <v>3.2</v>
      </c>
      <c r="W22" s="15" t="s">
        <v>43</v>
      </c>
      <c r="X22" s="15" t="s">
        <v>536</v>
      </c>
      <c r="Y22" s="15"/>
      <c r="Z22" s="16"/>
      <c r="AA22" s="23" t="str">
        <f>IFERROR(VLOOKUP(10*tblRiskRegister32[[#This Row],[Risk Treatment Safeguard Maturity Score]]+tblRiskRegister32[[#This Row],[VCDB Index]],tblHITIndexWeightTable[],4,FALSE),"")</f>
        <v/>
      </c>
      <c r="AB22" s="23">
        <f>VLOOKUP(tblRiskRegister32[[#This Row],[Asset Class]],tblInherentImpacts30[],2,FALSE)</f>
        <v>0</v>
      </c>
      <c r="AC22" s="23">
        <f>VLOOKUP(tblRiskRegister32[[#This Row],[Asset Class]],tblInherentImpacts30[],3,FALSE)</f>
        <v>0</v>
      </c>
      <c r="AD22" s="23">
        <f>VLOOKUP(tblRiskRegister32[[#This Row],[Asset Class]],tblInherentImpacts30[],4,FALSE)</f>
        <v>0</v>
      </c>
      <c r="AE22" s="23">
        <f>VLOOKUP(tblRiskRegister32[[#This Row],[Asset Class]],tblInherentImpacts30[],5,FALSE)</f>
        <v>0</v>
      </c>
      <c r="AF22" s="23" t="str">
        <f>IFERROR(MAX(tblRiskRegister32[[#This Row],[Risk Treatment Safeguard Impact to Mission]:[Risk Treatment Safeguard Impact to Obligations]])*tblRiskRegister32[[#This Row],[Risk Treatment
Safeguard Expectancy Score]],"")</f>
        <v/>
      </c>
      <c r="AG22" s="23" t="str">
        <f>IF(tblRiskRegister32[[#This Row],[Risk Score]]&gt;=AcceptableRisk,IF(tblRiskRegister32[[#This Row],[Risk Treatment Safeguard Risk Score]]&lt;AcceptableRisk, IF(tblRiskRegister32[[#This Row],[Risk Treatment Safeguard Risk Score]]&lt;tblRiskRegister32[[#This Row],[Risk Score]],"Yes","No"),"No"),"Yes")</f>
        <v>No</v>
      </c>
      <c r="AH22" s="17"/>
      <c r="AI22" s="17"/>
      <c r="AJ22" s="18"/>
    </row>
    <row r="23" spans="2:40" ht="62.5" customHeight="1">
      <c r="B23" s="220" t="s">
        <v>90</v>
      </c>
      <c r="C23" s="15"/>
      <c r="D23" s="86">
        <v>3.3</v>
      </c>
      <c r="E23" s="14" t="s">
        <v>44</v>
      </c>
      <c r="F23" s="13" t="s">
        <v>429</v>
      </c>
      <c r="G23" s="13" t="s">
        <v>429</v>
      </c>
      <c r="H23" s="13" t="s">
        <v>523</v>
      </c>
      <c r="I23" s="15"/>
      <c r="J23" s="15"/>
      <c r="K23" s="15"/>
      <c r="L23" s="16"/>
      <c r="M23" s="24">
        <f>IFERROR(VLOOKUP(tblRiskRegister32[[#This Row],[Asset Class]],tblVCDBIndex[],4,FALSE),"")</f>
        <v>2</v>
      </c>
      <c r="N23" s="24" t="str">
        <f>IFERROR(VLOOKUP(10*tblRiskRegister32[[#This Row],[Safeguard Maturity Score]]+tblRiskRegister32[[#This Row],[VCDB Index]],tblHITIndexWeightTable[],4,FALSE),"")</f>
        <v/>
      </c>
      <c r="O23" s="24">
        <f>VLOOKUP(tblRiskRegister32[[#This Row],[Asset Class]],tblInherentImpacts30[],2,FALSE)</f>
        <v>0</v>
      </c>
      <c r="P23" s="24">
        <f>VLOOKUP(tblRiskRegister32[[#This Row],[Asset Class]],tblInherentImpacts30[],3,FALSE)</f>
        <v>0</v>
      </c>
      <c r="Q23" s="24">
        <f>VLOOKUP(tblRiskRegister32[[#This Row],[Asset Class]],tblInherentImpacts30[],4,FALSE)</f>
        <v>0</v>
      </c>
      <c r="R23" s="24">
        <f>VLOOKUP(tblRiskRegister32[[#This Row],[Asset Class]],tblInherentImpacts30[],5,FALSE)</f>
        <v>0</v>
      </c>
      <c r="S23" s="24" t="str">
        <f>IFERROR(MAX(tblRiskRegister32[[#This Row],[Impact to Mission]:[Impact to Obligations]])*tblRiskRegister32[[#This Row],[Expectancy Score]],"")</f>
        <v/>
      </c>
      <c r="T23" s="24" t="str">
        <f>tblRiskRegister32[[#This Row],[Risk Score]]</f>
        <v/>
      </c>
      <c r="U23" s="86"/>
      <c r="V23" s="86">
        <v>3.3</v>
      </c>
      <c r="W23" s="15" t="s">
        <v>44</v>
      </c>
      <c r="X23" s="15" t="s">
        <v>341</v>
      </c>
      <c r="Y23" s="15"/>
      <c r="Z23" s="16"/>
      <c r="AA23" s="23" t="str">
        <f>IFERROR(VLOOKUP(10*tblRiskRegister32[[#This Row],[Risk Treatment Safeguard Maturity Score]]+tblRiskRegister32[[#This Row],[VCDB Index]],tblHITIndexWeightTable[],4,FALSE),"")</f>
        <v/>
      </c>
      <c r="AB23" s="23">
        <f>VLOOKUP(tblRiskRegister32[[#This Row],[Asset Class]],tblInherentImpacts30[],2,FALSE)</f>
        <v>0</v>
      </c>
      <c r="AC23" s="23">
        <f>VLOOKUP(tblRiskRegister32[[#This Row],[Asset Class]],tblInherentImpacts30[],3,FALSE)</f>
        <v>0</v>
      </c>
      <c r="AD23" s="23">
        <f>VLOOKUP(tblRiskRegister32[[#This Row],[Asset Class]],tblInherentImpacts30[],4,FALSE)</f>
        <v>0</v>
      </c>
      <c r="AE23" s="23">
        <f>VLOOKUP(tblRiskRegister32[[#This Row],[Asset Class]],tblInherentImpacts30[],5,FALSE)</f>
        <v>0</v>
      </c>
      <c r="AF23" s="23" t="str">
        <f>IFERROR(MAX(tblRiskRegister32[[#This Row],[Risk Treatment Safeguard Impact to Mission]:[Risk Treatment Safeguard Impact to Obligations]])*tblRiskRegister32[[#This Row],[Risk Treatment
Safeguard Expectancy Score]],"")</f>
        <v/>
      </c>
      <c r="AG23" s="23" t="str">
        <f>IF(tblRiskRegister32[[#This Row],[Risk Score]]&gt;=AcceptableRisk,IF(tblRiskRegister32[[#This Row],[Risk Treatment Safeguard Risk Score]]&lt;AcceptableRisk, IF(tblRiskRegister32[[#This Row],[Risk Treatment Safeguard Risk Score]]&lt;tblRiskRegister32[[#This Row],[Risk Score]],"Yes","No"),"No"),"Yes")</f>
        <v>No</v>
      </c>
      <c r="AH23" s="17"/>
      <c r="AI23" s="17"/>
      <c r="AJ23" s="18"/>
    </row>
    <row r="24" spans="2:40" ht="37.5" customHeight="1">
      <c r="B24" s="220" t="s">
        <v>90</v>
      </c>
      <c r="C24" s="15"/>
      <c r="D24" s="86">
        <v>3.4</v>
      </c>
      <c r="E24" s="14" t="s">
        <v>45</v>
      </c>
      <c r="F24" s="13" t="s">
        <v>429</v>
      </c>
      <c r="G24" s="13" t="s">
        <v>429</v>
      </c>
      <c r="H24" s="13" t="s">
        <v>523</v>
      </c>
      <c r="I24" s="15"/>
      <c r="J24" s="15"/>
      <c r="K24" s="15"/>
      <c r="L24" s="16"/>
      <c r="M24" s="24">
        <f>IFERROR(VLOOKUP(tblRiskRegister32[[#This Row],[Asset Class]],tblVCDBIndex[],4,FALSE),"")</f>
        <v>2</v>
      </c>
      <c r="N24" s="24" t="str">
        <f>IFERROR(VLOOKUP(10*tblRiskRegister32[[#This Row],[Safeguard Maturity Score]]+tblRiskRegister32[[#This Row],[VCDB Index]],tblHITIndexWeightTable[],4,FALSE),"")</f>
        <v/>
      </c>
      <c r="O24" s="24">
        <f>VLOOKUP(tblRiskRegister32[[#This Row],[Asset Class]],tblInherentImpacts30[],2,FALSE)</f>
        <v>0</v>
      </c>
      <c r="P24" s="24">
        <f>VLOOKUP(tblRiskRegister32[[#This Row],[Asset Class]],tblInherentImpacts30[],3,FALSE)</f>
        <v>0</v>
      </c>
      <c r="Q24" s="24">
        <f>VLOOKUP(tblRiskRegister32[[#This Row],[Asset Class]],tblInherentImpacts30[],4,FALSE)</f>
        <v>0</v>
      </c>
      <c r="R24" s="24">
        <f>VLOOKUP(tblRiskRegister32[[#This Row],[Asset Class]],tblInherentImpacts30[],5,FALSE)</f>
        <v>0</v>
      </c>
      <c r="S24" s="24" t="str">
        <f>IFERROR(MAX(tblRiskRegister32[[#This Row],[Impact to Mission]:[Impact to Obligations]])*tblRiskRegister32[[#This Row],[Expectancy Score]],"")</f>
        <v/>
      </c>
      <c r="T24" s="24" t="str">
        <f>tblRiskRegister32[[#This Row],[Risk Score]]</f>
        <v/>
      </c>
      <c r="U24" s="86"/>
      <c r="V24" s="86">
        <v>3.4</v>
      </c>
      <c r="W24" s="15" t="s">
        <v>45</v>
      </c>
      <c r="X24" s="15" t="s">
        <v>537</v>
      </c>
      <c r="Y24" s="15"/>
      <c r="Z24" s="16"/>
      <c r="AA24" s="23" t="str">
        <f>IFERROR(VLOOKUP(10*tblRiskRegister32[[#This Row],[Risk Treatment Safeguard Maturity Score]]+tblRiskRegister32[[#This Row],[VCDB Index]],tblHITIndexWeightTable[],4,FALSE),"")</f>
        <v/>
      </c>
      <c r="AB24" s="23">
        <f>VLOOKUP(tblRiskRegister32[[#This Row],[Asset Class]],tblInherentImpacts30[],2,FALSE)</f>
        <v>0</v>
      </c>
      <c r="AC24" s="23">
        <f>VLOOKUP(tblRiskRegister32[[#This Row],[Asset Class]],tblInherentImpacts30[],3,FALSE)</f>
        <v>0</v>
      </c>
      <c r="AD24" s="23">
        <f>VLOOKUP(tblRiskRegister32[[#This Row],[Asset Class]],tblInherentImpacts30[],4,FALSE)</f>
        <v>0</v>
      </c>
      <c r="AE24" s="23">
        <f>VLOOKUP(tblRiskRegister32[[#This Row],[Asset Class]],tblInherentImpacts30[],5,FALSE)</f>
        <v>0</v>
      </c>
      <c r="AF24" s="23" t="str">
        <f>IFERROR(MAX(tblRiskRegister32[[#This Row],[Risk Treatment Safeguard Impact to Mission]:[Risk Treatment Safeguard Impact to Obligations]])*tblRiskRegister32[[#This Row],[Risk Treatment
Safeguard Expectancy Score]],"")</f>
        <v/>
      </c>
      <c r="AG24" s="23" t="str">
        <f>IF(tblRiskRegister32[[#This Row],[Risk Score]]&gt;=AcceptableRisk,IF(tblRiskRegister32[[#This Row],[Risk Treatment Safeguard Risk Score]]&lt;AcceptableRisk, IF(tblRiskRegister32[[#This Row],[Risk Treatment Safeguard Risk Score]]&lt;tblRiskRegister32[[#This Row],[Risk Score]],"Yes","No"),"No"),"Yes")</f>
        <v>No</v>
      </c>
      <c r="AH24" s="17"/>
      <c r="AI24" s="17"/>
      <c r="AJ24" s="18"/>
    </row>
    <row r="25" spans="2:40" ht="37.5" customHeight="1">
      <c r="B25" s="220" t="s">
        <v>90</v>
      </c>
      <c r="C25" s="15"/>
      <c r="D25" s="86">
        <v>3.5</v>
      </c>
      <c r="E25" s="14" t="s">
        <v>46</v>
      </c>
      <c r="F25" s="13" t="s">
        <v>429</v>
      </c>
      <c r="G25" s="13" t="s">
        <v>429</v>
      </c>
      <c r="H25" s="13" t="s">
        <v>523</v>
      </c>
      <c r="I25" s="15"/>
      <c r="J25" s="15"/>
      <c r="K25" s="15"/>
      <c r="L25" s="16"/>
      <c r="M25" s="24">
        <f>IFERROR(VLOOKUP(tblRiskRegister32[[#This Row],[Asset Class]],tblVCDBIndex[],4,FALSE),"")</f>
        <v>2</v>
      </c>
      <c r="N25" s="24" t="str">
        <f>IFERROR(VLOOKUP(10*tblRiskRegister32[[#This Row],[Safeguard Maturity Score]]+tblRiskRegister32[[#This Row],[VCDB Index]],tblHITIndexWeightTable[],4,FALSE),"")</f>
        <v/>
      </c>
      <c r="O25" s="24">
        <f>VLOOKUP(tblRiskRegister32[[#This Row],[Asset Class]],tblInherentImpacts30[],2,FALSE)</f>
        <v>0</v>
      </c>
      <c r="P25" s="24">
        <f>VLOOKUP(tblRiskRegister32[[#This Row],[Asset Class]],tblInherentImpacts30[],3,FALSE)</f>
        <v>0</v>
      </c>
      <c r="Q25" s="24">
        <f>VLOOKUP(tblRiskRegister32[[#This Row],[Asset Class]],tblInherentImpacts30[],4,FALSE)</f>
        <v>0</v>
      </c>
      <c r="R25" s="24">
        <f>VLOOKUP(tblRiskRegister32[[#This Row],[Asset Class]],tblInherentImpacts30[],5,FALSE)</f>
        <v>0</v>
      </c>
      <c r="S25" s="24" t="str">
        <f>IFERROR(MAX(tblRiskRegister32[[#This Row],[Impact to Mission]:[Impact to Obligations]])*tblRiskRegister32[[#This Row],[Expectancy Score]],"")</f>
        <v/>
      </c>
      <c r="T25" s="24" t="str">
        <f>tblRiskRegister32[[#This Row],[Risk Score]]</f>
        <v/>
      </c>
      <c r="U25" s="86"/>
      <c r="V25" s="86">
        <v>3.5</v>
      </c>
      <c r="W25" s="15" t="s">
        <v>46</v>
      </c>
      <c r="X25" s="15" t="s">
        <v>538</v>
      </c>
      <c r="Y25" s="15"/>
      <c r="Z25" s="16"/>
      <c r="AA25" s="23" t="str">
        <f>IFERROR(VLOOKUP(10*tblRiskRegister32[[#This Row],[Risk Treatment Safeguard Maturity Score]]+tblRiskRegister32[[#This Row],[VCDB Index]],tblHITIndexWeightTable[],4,FALSE),"")</f>
        <v/>
      </c>
      <c r="AB25" s="23">
        <f>VLOOKUP(tblRiskRegister32[[#This Row],[Asset Class]],tblInherentImpacts30[],2,FALSE)</f>
        <v>0</v>
      </c>
      <c r="AC25" s="23">
        <f>VLOOKUP(tblRiskRegister32[[#This Row],[Asset Class]],tblInherentImpacts30[],3,FALSE)</f>
        <v>0</v>
      </c>
      <c r="AD25" s="23">
        <f>VLOOKUP(tblRiskRegister32[[#This Row],[Asset Class]],tblInherentImpacts30[],4,FALSE)</f>
        <v>0</v>
      </c>
      <c r="AE25" s="23">
        <f>VLOOKUP(tblRiskRegister32[[#This Row],[Asset Class]],tblInherentImpacts30[],5,FALSE)</f>
        <v>0</v>
      </c>
      <c r="AF25" s="23" t="str">
        <f>IFERROR(MAX(tblRiskRegister32[[#This Row],[Risk Treatment Safeguard Impact to Mission]:[Risk Treatment Safeguard Impact to Obligations]])*tblRiskRegister32[[#This Row],[Risk Treatment
Safeguard Expectancy Score]],"")</f>
        <v/>
      </c>
      <c r="AG25" s="23" t="str">
        <f>IF(tblRiskRegister32[[#This Row],[Risk Score]]&gt;=AcceptableRisk,IF(tblRiskRegister32[[#This Row],[Risk Treatment Safeguard Risk Score]]&lt;AcceptableRisk, IF(tblRiskRegister32[[#This Row],[Risk Treatment Safeguard Risk Score]]&lt;tblRiskRegister32[[#This Row],[Risk Score]],"Yes","No"),"No"),"Yes")</f>
        <v>No</v>
      </c>
      <c r="AH25" s="17"/>
      <c r="AI25" s="17"/>
      <c r="AJ25" s="18"/>
    </row>
    <row r="26" spans="2:40" ht="25" customHeight="1">
      <c r="B26" s="220" t="s">
        <v>90</v>
      </c>
      <c r="C26" s="15"/>
      <c r="D26" s="86">
        <v>3.6</v>
      </c>
      <c r="E26" s="14" t="s">
        <v>47</v>
      </c>
      <c r="F26" s="13" t="s">
        <v>429</v>
      </c>
      <c r="G26" s="13" t="s">
        <v>429</v>
      </c>
      <c r="H26" s="13" t="s">
        <v>523</v>
      </c>
      <c r="I26" s="15"/>
      <c r="J26" s="15"/>
      <c r="K26" s="15"/>
      <c r="L26" s="16"/>
      <c r="M26" s="24">
        <f>IFERROR(VLOOKUP(tblRiskRegister32[[#This Row],[Asset Class]],tblVCDBIndex[],4,FALSE),"")</f>
        <v>2</v>
      </c>
      <c r="N26" s="24" t="str">
        <f>IFERROR(VLOOKUP(10*tblRiskRegister32[[#This Row],[Safeguard Maturity Score]]+tblRiskRegister32[[#This Row],[VCDB Index]],tblHITIndexWeightTable[],4,FALSE),"")</f>
        <v/>
      </c>
      <c r="O26" s="24">
        <f>VLOOKUP(tblRiskRegister32[[#This Row],[Asset Class]],tblInherentImpacts30[],2,FALSE)</f>
        <v>0</v>
      </c>
      <c r="P26" s="24">
        <f>VLOOKUP(tblRiskRegister32[[#This Row],[Asset Class]],tblInherentImpacts30[],3,FALSE)</f>
        <v>0</v>
      </c>
      <c r="Q26" s="24">
        <f>VLOOKUP(tblRiskRegister32[[#This Row],[Asset Class]],tblInherentImpacts30[],4,FALSE)</f>
        <v>0</v>
      </c>
      <c r="R26" s="24">
        <f>VLOOKUP(tblRiskRegister32[[#This Row],[Asset Class]],tblInherentImpacts30[],5,FALSE)</f>
        <v>0</v>
      </c>
      <c r="S26" s="24" t="str">
        <f>IFERROR(MAX(tblRiskRegister32[[#This Row],[Impact to Mission]:[Impact to Obligations]])*tblRiskRegister32[[#This Row],[Expectancy Score]],"")</f>
        <v/>
      </c>
      <c r="T26" s="24" t="str">
        <f>tblRiskRegister32[[#This Row],[Risk Score]]</f>
        <v/>
      </c>
      <c r="U26" s="86"/>
      <c r="V26" s="86">
        <v>3.6</v>
      </c>
      <c r="W26" s="15" t="s">
        <v>47</v>
      </c>
      <c r="X26" s="15" t="s">
        <v>342</v>
      </c>
      <c r="Y26" s="26"/>
      <c r="Z26" s="16"/>
      <c r="AA26" s="23" t="str">
        <f>IFERROR(VLOOKUP(10*tblRiskRegister32[[#This Row],[Risk Treatment Safeguard Maturity Score]]+tblRiskRegister32[[#This Row],[VCDB Index]],tblHITIndexWeightTable[],4,FALSE),"")</f>
        <v/>
      </c>
      <c r="AB26" s="23">
        <f>VLOOKUP(tblRiskRegister32[[#This Row],[Asset Class]],tblInherentImpacts30[],2,FALSE)</f>
        <v>0</v>
      </c>
      <c r="AC26" s="23">
        <f>VLOOKUP(tblRiskRegister32[[#This Row],[Asset Class]],tblInherentImpacts30[],3,FALSE)</f>
        <v>0</v>
      </c>
      <c r="AD26" s="23">
        <f>VLOOKUP(tblRiskRegister32[[#This Row],[Asset Class]],tblInherentImpacts30[],4,FALSE)</f>
        <v>0</v>
      </c>
      <c r="AE26" s="23">
        <f>VLOOKUP(tblRiskRegister32[[#This Row],[Asset Class]],tblInherentImpacts30[],5,FALSE)</f>
        <v>0</v>
      </c>
      <c r="AF26" s="23" t="str">
        <f>IFERROR(MAX(tblRiskRegister32[[#This Row],[Risk Treatment Safeguard Impact to Mission]:[Risk Treatment Safeguard Impact to Obligations]])*tblRiskRegister32[[#This Row],[Risk Treatment
Safeguard Expectancy Score]],"")</f>
        <v/>
      </c>
      <c r="AG26" s="23" t="str">
        <f>IF(tblRiskRegister32[[#This Row],[Risk Score]]&gt;=AcceptableRisk,IF(tblRiskRegister32[[#This Row],[Risk Treatment Safeguard Risk Score]]&lt;AcceptableRisk, IF(tblRiskRegister32[[#This Row],[Risk Treatment Safeguard Risk Score]]&lt;tblRiskRegister32[[#This Row],[Risk Score]],"Yes","No"),"No"),"Yes")</f>
        <v>No</v>
      </c>
      <c r="AH26" s="17"/>
      <c r="AI26" s="17"/>
      <c r="AJ26" s="18"/>
    </row>
    <row r="27" spans="2:40" ht="37.5" customHeight="1">
      <c r="B27" s="220" t="s">
        <v>90</v>
      </c>
      <c r="C27" s="15"/>
      <c r="D27" s="86">
        <v>3.7</v>
      </c>
      <c r="E27" s="14" t="s">
        <v>175</v>
      </c>
      <c r="F27" s="13"/>
      <c r="G27" s="13" t="s">
        <v>429</v>
      </c>
      <c r="H27" s="13" t="s">
        <v>521</v>
      </c>
      <c r="I27" s="15"/>
      <c r="J27" s="15"/>
      <c r="K27" s="15"/>
      <c r="L27" s="16"/>
      <c r="M27" s="24">
        <f>IFERROR(VLOOKUP(tblRiskRegister32[[#This Row],[Asset Class]],tblVCDBIndex[],4,FALSE),"")</f>
        <v>2</v>
      </c>
      <c r="N27" s="24" t="str">
        <f>IFERROR(VLOOKUP(10*tblRiskRegister32[[#This Row],[Safeguard Maturity Score]]+tblRiskRegister32[[#This Row],[VCDB Index]],tblHITIndexWeightTable[],4,FALSE),"")</f>
        <v/>
      </c>
      <c r="O27" s="24">
        <f>VLOOKUP(tblRiskRegister32[[#This Row],[Asset Class]],tblInherentImpacts30[],2,FALSE)</f>
        <v>0</v>
      </c>
      <c r="P27" s="24">
        <f>VLOOKUP(tblRiskRegister32[[#This Row],[Asset Class]],tblInherentImpacts30[],3,FALSE)</f>
        <v>0</v>
      </c>
      <c r="Q27" s="24">
        <f>VLOOKUP(tblRiskRegister32[[#This Row],[Asset Class]],tblInherentImpacts30[],4,FALSE)</f>
        <v>0</v>
      </c>
      <c r="R27" s="24">
        <f>VLOOKUP(tblRiskRegister32[[#This Row],[Asset Class]],tblInherentImpacts30[],5,FALSE)</f>
        <v>0</v>
      </c>
      <c r="S27" s="24" t="str">
        <f>IFERROR(MAX(tblRiskRegister32[[#This Row],[Impact to Mission]:[Impact to Obligations]])*tblRiskRegister32[[#This Row],[Expectancy Score]],"")</f>
        <v/>
      </c>
      <c r="T27" s="24" t="str">
        <f>tblRiskRegister32[[#This Row],[Risk Score]]</f>
        <v/>
      </c>
      <c r="U27" s="86"/>
      <c r="V27" s="86">
        <v>3.7</v>
      </c>
      <c r="W27" s="15" t="s">
        <v>175</v>
      </c>
      <c r="X27" s="15" t="s">
        <v>343</v>
      </c>
      <c r="Y27" s="15"/>
      <c r="Z27" s="16"/>
      <c r="AA27" s="23" t="str">
        <f>IFERROR(VLOOKUP(10*tblRiskRegister32[[#This Row],[Risk Treatment Safeguard Maturity Score]]+tblRiskRegister32[[#This Row],[VCDB Index]],tblHITIndexWeightTable[],4,FALSE),"")</f>
        <v/>
      </c>
      <c r="AB27" s="23">
        <f>VLOOKUP(tblRiskRegister32[[#This Row],[Asset Class]],tblInherentImpacts30[],2,FALSE)</f>
        <v>0</v>
      </c>
      <c r="AC27" s="23">
        <f>VLOOKUP(tblRiskRegister32[[#This Row],[Asset Class]],tblInherentImpacts30[],3,FALSE)</f>
        <v>0</v>
      </c>
      <c r="AD27" s="23">
        <f>VLOOKUP(tblRiskRegister32[[#This Row],[Asset Class]],tblInherentImpacts30[],4,FALSE)</f>
        <v>0</v>
      </c>
      <c r="AE27" s="23">
        <f>VLOOKUP(tblRiskRegister32[[#This Row],[Asset Class]],tblInherentImpacts30[],5,FALSE)</f>
        <v>0</v>
      </c>
      <c r="AF27" s="23" t="str">
        <f>IFERROR(MAX(tblRiskRegister32[[#This Row],[Risk Treatment Safeguard Impact to Mission]:[Risk Treatment Safeguard Impact to Obligations]])*tblRiskRegister32[[#This Row],[Risk Treatment
Safeguard Expectancy Score]],"")</f>
        <v/>
      </c>
      <c r="AG27" s="23" t="str">
        <f>IF(tblRiskRegister32[[#This Row],[Risk Score]]&gt;=AcceptableRisk,IF(tblRiskRegister32[[#This Row],[Risk Treatment Safeguard Risk Score]]&lt;AcceptableRisk, IF(tblRiskRegister32[[#This Row],[Risk Treatment Safeguard Risk Score]]&lt;tblRiskRegister32[[#This Row],[Risk Score]],"Yes","No"),"No"),"Yes")</f>
        <v>No</v>
      </c>
      <c r="AH27" s="17"/>
      <c r="AI27" s="17"/>
      <c r="AJ27" s="18"/>
    </row>
    <row r="28" spans="2:40" ht="37.5" customHeight="1">
      <c r="B28" s="220" t="s">
        <v>90</v>
      </c>
      <c r="C28" s="15"/>
      <c r="D28" s="86">
        <v>3.8</v>
      </c>
      <c r="E28" s="14" t="s">
        <v>176</v>
      </c>
      <c r="F28" s="13"/>
      <c r="G28" s="13" t="s">
        <v>429</v>
      </c>
      <c r="H28" s="13" t="s">
        <v>521</v>
      </c>
      <c r="I28" s="15"/>
      <c r="J28" s="15"/>
      <c r="K28" s="15"/>
      <c r="L28" s="16"/>
      <c r="M28" s="24">
        <f>IFERROR(VLOOKUP(tblRiskRegister32[[#This Row],[Asset Class]],tblVCDBIndex[],4,FALSE),"")</f>
        <v>2</v>
      </c>
      <c r="N28" s="24" t="str">
        <f>IFERROR(VLOOKUP(10*tblRiskRegister32[[#This Row],[Safeguard Maturity Score]]+tblRiskRegister32[[#This Row],[VCDB Index]],tblHITIndexWeightTable[],4,FALSE),"")</f>
        <v/>
      </c>
      <c r="O28" s="24">
        <f>VLOOKUP(tblRiskRegister32[[#This Row],[Asset Class]],tblInherentImpacts30[],2,FALSE)</f>
        <v>0</v>
      </c>
      <c r="P28" s="24">
        <f>VLOOKUP(tblRiskRegister32[[#This Row],[Asset Class]],tblInherentImpacts30[],3,FALSE)</f>
        <v>0</v>
      </c>
      <c r="Q28" s="24">
        <f>VLOOKUP(tblRiskRegister32[[#This Row],[Asset Class]],tblInherentImpacts30[],4,FALSE)</f>
        <v>0</v>
      </c>
      <c r="R28" s="24">
        <f>VLOOKUP(tblRiskRegister32[[#This Row],[Asset Class]],tblInherentImpacts30[],5,FALSE)</f>
        <v>0</v>
      </c>
      <c r="S28" s="24" t="str">
        <f>IFERROR(MAX(tblRiskRegister32[[#This Row],[Impact to Mission]:[Impact to Obligations]])*tblRiskRegister32[[#This Row],[Expectancy Score]],"")</f>
        <v/>
      </c>
      <c r="T28" s="24" t="str">
        <f>tblRiskRegister32[[#This Row],[Risk Score]]</f>
        <v/>
      </c>
      <c r="U28" s="86"/>
      <c r="V28" s="86">
        <v>3.8</v>
      </c>
      <c r="W28" s="15" t="s">
        <v>176</v>
      </c>
      <c r="X28" s="15" t="s">
        <v>344</v>
      </c>
      <c r="Y28" s="15"/>
      <c r="Z28" s="16"/>
      <c r="AA28" s="23" t="str">
        <f>IFERROR(VLOOKUP(10*tblRiskRegister32[[#This Row],[Risk Treatment Safeguard Maturity Score]]+tblRiskRegister32[[#This Row],[VCDB Index]],tblHITIndexWeightTable[],4,FALSE),"")</f>
        <v/>
      </c>
      <c r="AB28" s="23">
        <f>VLOOKUP(tblRiskRegister32[[#This Row],[Asset Class]],tblInherentImpacts30[],2,FALSE)</f>
        <v>0</v>
      </c>
      <c r="AC28" s="23">
        <f>VLOOKUP(tblRiskRegister32[[#This Row],[Asset Class]],tblInherentImpacts30[],3,FALSE)</f>
        <v>0</v>
      </c>
      <c r="AD28" s="23">
        <f>VLOOKUP(tblRiskRegister32[[#This Row],[Asset Class]],tblInherentImpacts30[],4,FALSE)</f>
        <v>0</v>
      </c>
      <c r="AE28" s="23">
        <f>VLOOKUP(tblRiskRegister32[[#This Row],[Asset Class]],tblInherentImpacts30[],5,FALSE)</f>
        <v>0</v>
      </c>
      <c r="AF28" s="23" t="str">
        <f>IFERROR(MAX(tblRiskRegister32[[#This Row],[Risk Treatment Safeguard Impact to Mission]:[Risk Treatment Safeguard Impact to Obligations]])*tblRiskRegister32[[#This Row],[Risk Treatment
Safeguard Expectancy Score]],"")</f>
        <v/>
      </c>
      <c r="AG28" s="23" t="str">
        <f>IF(tblRiskRegister32[[#This Row],[Risk Score]]&gt;=AcceptableRisk,IF(tblRiskRegister32[[#This Row],[Risk Treatment Safeguard Risk Score]]&lt;AcceptableRisk, IF(tblRiskRegister32[[#This Row],[Risk Treatment Safeguard Risk Score]]&lt;tblRiskRegister32[[#This Row],[Risk Score]],"Yes","No"),"No"),"Yes")</f>
        <v>No</v>
      </c>
      <c r="AH28" s="17"/>
      <c r="AI28" s="17"/>
      <c r="AJ28" s="18"/>
    </row>
    <row r="29" spans="2:40" ht="28">
      <c r="B29" s="220" t="s">
        <v>90</v>
      </c>
      <c r="C29" s="15"/>
      <c r="D29" s="86">
        <v>3.9</v>
      </c>
      <c r="E29" s="14" t="s">
        <v>177</v>
      </c>
      <c r="F29" s="13"/>
      <c r="G29" s="13" t="s">
        <v>429</v>
      </c>
      <c r="H29" s="13" t="s">
        <v>523</v>
      </c>
      <c r="I29" s="15"/>
      <c r="J29" s="15"/>
      <c r="K29" s="15"/>
      <c r="L29" s="16"/>
      <c r="M29" s="24">
        <f>IFERROR(VLOOKUP(tblRiskRegister32[[#This Row],[Asset Class]],tblVCDBIndex[],4,FALSE),"")</f>
        <v>2</v>
      </c>
      <c r="N29" s="24" t="str">
        <f>IFERROR(VLOOKUP(10*tblRiskRegister32[[#This Row],[Safeguard Maturity Score]]+tblRiskRegister32[[#This Row],[VCDB Index]],tblHITIndexWeightTable[],4,FALSE),"")</f>
        <v/>
      </c>
      <c r="O29" s="24">
        <f>VLOOKUP(tblRiskRegister32[[#This Row],[Asset Class]],tblInherentImpacts30[],2,FALSE)</f>
        <v>0</v>
      </c>
      <c r="P29" s="24">
        <f>VLOOKUP(tblRiskRegister32[[#This Row],[Asset Class]],tblInherentImpacts30[],3,FALSE)</f>
        <v>0</v>
      </c>
      <c r="Q29" s="24">
        <f>VLOOKUP(tblRiskRegister32[[#This Row],[Asset Class]],tblInherentImpacts30[],4,FALSE)</f>
        <v>0</v>
      </c>
      <c r="R29" s="24">
        <f>VLOOKUP(tblRiskRegister32[[#This Row],[Asset Class]],tblInherentImpacts30[],5,FALSE)</f>
        <v>0</v>
      </c>
      <c r="S29" s="24" t="str">
        <f>IFERROR(MAX(tblRiskRegister32[[#This Row],[Impact to Mission]:[Impact to Obligations]])*tblRiskRegister32[[#This Row],[Expectancy Score]],"")</f>
        <v/>
      </c>
      <c r="T29" s="24" t="str">
        <f>tblRiskRegister32[[#This Row],[Risk Score]]</f>
        <v/>
      </c>
      <c r="U29" s="86"/>
      <c r="V29" s="86">
        <v>3.9</v>
      </c>
      <c r="W29" s="15" t="s">
        <v>177</v>
      </c>
      <c r="X29" s="15" t="s">
        <v>345</v>
      </c>
      <c r="Y29" s="15"/>
      <c r="Z29" s="16"/>
      <c r="AA29" s="23" t="str">
        <f>IFERROR(VLOOKUP(10*tblRiskRegister32[[#This Row],[Risk Treatment Safeguard Maturity Score]]+tblRiskRegister32[[#This Row],[VCDB Index]],tblHITIndexWeightTable[],4,FALSE),"")</f>
        <v/>
      </c>
      <c r="AB29" s="23">
        <f>VLOOKUP(tblRiskRegister32[[#This Row],[Asset Class]],tblInherentImpacts30[],2,FALSE)</f>
        <v>0</v>
      </c>
      <c r="AC29" s="23">
        <f>VLOOKUP(tblRiskRegister32[[#This Row],[Asset Class]],tblInherentImpacts30[],3,FALSE)</f>
        <v>0</v>
      </c>
      <c r="AD29" s="23">
        <f>VLOOKUP(tblRiskRegister32[[#This Row],[Asset Class]],tblInherentImpacts30[],4,FALSE)</f>
        <v>0</v>
      </c>
      <c r="AE29" s="23">
        <f>VLOOKUP(tblRiskRegister32[[#This Row],[Asset Class]],tblInherentImpacts30[],5,FALSE)</f>
        <v>0</v>
      </c>
      <c r="AF29" s="23" t="str">
        <f>IFERROR(MAX(tblRiskRegister32[[#This Row],[Risk Treatment Safeguard Impact to Mission]:[Risk Treatment Safeguard Impact to Obligations]])*tblRiskRegister32[[#This Row],[Risk Treatment
Safeguard Expectancy Score]],"")</f>
        <v/>
      </c>
      <c r="AG29" s="23" t="str">
        <f>IF(tblRiskRegister32[[#This Row],[Risk Score]]&gt;=AcceptableRisk,IF(tblRiskRegister32[[#This Row],[Risk Treatment Safeguard Risk Score]]&lt;AcceptableRisk, IF(tblRiskRegister32[[#This Row],[Risk Treatment Safeguard Risk Score]]&lt;tblRiskRegister32[[#This Row],[Risk Score]],"Yes","No"),"No"),"Yes")</f>
        <v>No</v>
      </c>
      <c r="AH29" s="17"/>
      <c r="AI29" s="17"/>
      <c r="AJ29" s="18"/>
    </row>
    <row r="30" spans="2:40" ht="28">
      <c r="B30" s="220" t="s">
        <v>90</v>
      </c>
      <c r="C30" s="15"/>
      <c r="D30" s="219">
        <v>3.1</v>
      </c>
      <c r="E30" s="14" t="s">
        <v>178</v>
      </c>
      <c r="F30" s="13"/>
      <c r="G30" s="13" t="s">
        <v>429</v>
      </c>
      <c r="H30" s="13" t="s">
        <v>523</v>
      </c>
      <c r="I30" s="15"/>
      <c r="J30" s="15"/>
      <c r="K30" s="15"/>
      <c r="L30" s="16"/>
      <c r="M30" s="24">
        <f>IFERROR(VLOOKUP(tblRiskRegister32[[#This Row],[Asset Class]],tblVCDBIndex[],4,FALSE),"")</f>
        <v>2</v>
      </c>
      <c r="N30" s="24" t="str">
        <f>IFERROR(VLOOKUP(10*tblRiskRegister32[[#This Row],[Safeguard Maturity Score]]+tblRiskRegister32[[#This Row],[VCDB Index]],tblHITIndexWeightTable[],4,FALSE),"")</f>
        <v/>
      </c>
      <c r="O30" s="24">
        <f>VLOOKUP(tblRiskRegister32[[#This Row],[Asset Class]],tblInherentImpacts30[],2,FALSE)</f>
        <v>0</v>
      </c>
      <c r="P30" s="24">
        <f>VLOOKUP(tblRiskRegister32[[#This Row],[Asset Class]],tblInherentImpacts30[],3,FALSE)</f>
        <v>0</v>
      </c>
      <c r="Q30" s="24">
        <f>VLOOKUP(tblRiskRegister32[[#This Row],[Asset Class]],tblInherentImpacts30[],4,FALSE)</f>
        <v>0</v>
      </c>
      <c r="R30" s="24">
        <f>VLOOKUP(tblRiskRegister32[[#This Row],[Asset Class]],tblInherentImpacts30[],5,FALSE)</f>
        <v>0</v>
      </c>
      <c r="S30" s="24" t="str">
        <f>IFERROR(MAX(tblRiskRegister32[[#This Row],[Impact to Mission]:[Impact to Obligations]])*tblRiskRegister32[[#This Row],[Expectancy Score]],"")</f>
        <v/>
      </c>
      <c r="T30" s="24" t="str">
        <f>tblRiskRegister32[[#This Row],[Risk Score]]</f>
        <v/>
      </c>
      <c r="U30" s="86"/>
      <c r="V30" s="86">
        <v>3.1</v>
      </c>
      <c r="W30" s="15" t="s">
        <v>178</v>
      </c>
      <c r="X30" s="15" t="s">
        <v>346</v>
      </c>
      <c r="Y30" s="15"/>
      <c r="Z30" s="16"/>
      <c r="AA30" s="23" t="str">
        <f>IFERROR(VLOOKUP(10*tblRiskRegister32[[#This Row],[Risk Treatment Safeguard Maturity Score]]+tblRiskRegister32[[#This Row],[VCDB Index]],tblHITIndexWeightTable[],4,FALSE),"")</f>
        <v/>
      </c>
      <c r="AB30" s="23">
        <f>VLOOKUP(tblRiskRegister32[[#This Row],[Asset Class]],tblInherentImpacts30[],2,FALSE)</f>
        <v>0</v>
      </c>
      <c r="AC30" s="23">
        <f>VLOOKUP(tblRiskRegister32[[#This Row],[Asset Class]],tblInherentImpacts30[],3,FALSE)</f>
        <v>0</v>
      </c>
      <c r="AD30" s="23">
        <f>VLOOKUP(tblRiskRegister32[[#This Row],[Asset Class]],tblInherentImpacts30[],4,FALSE)</f>
        <v>0</v>
      </c>
      <c r="AE30" s="23">
        <f>VLOOKUP(tblRiskRegister32[[#This Row],[Asset Class]],tblInherentImpacts30[],5,FALSE)</f>
        <v>0</v>
      </c>
      <c r="AF30" s="23" t="str">
        <f>IFERROR(MAX(tblRiskRegister32[[#This Row],[Risk Treatment Safeguard Impact to Mission]:[Risk Treatment Safeguard Impact to Obligations]])*tblRiskRegister32[[#This Row],[Risk Treatment
Safeguard Expectancy Score]],"")</f>
        <v/>
      </c>
      <c r="AG30" s="23" t="str">
        <f>IF(tblRiskRegister32[[#This Row],[Risk Score]]&gt;=AcceptableRisk,IF(tblRiskRegister32[[#This Row],[Risk Treatment Safeguard Risk Score]]&lt;AcceptableRisk, IF(tblRiskRegister32[[#This Row],[Risk Treatment Safeguard Risk Score]]&lt;tblRiskRegister32[[#This Row],[Risk Score]],"Yes","No"),"No"),"Yes")</f>
        <v>No</v>
      </c>
      <c r="AH30" s="17"/>
      <c r="AI30" s="17"/>
      <c r="AJ30" s="18"/>
    </row>
    <row r="31" spans="2:40" ht="70">
      <c r="B31" s="220" t="s">
        <v>90</v>
      </c>
      <c r="C31" s="15"/>
      <c r="D31" s="86">
        <v>3.11</v>
      </c>
      <c r="E31" s="14" t="s">
        <v>179</v>
      </c>
      <c r="F31" s="13"/>
      <c r="G31" s="13" t="s">
        <v>429</v>
      </c>
      <c r="H31" s="13" t="s">
        <v>523</v>
      </c>
      <c r="I31" s="15"/>
      <c r="J31" s="15"/>
      <c r="K31" s="15"/>
      <c r="L31" s="16"/>
      <c r="M31" s="24">
        <f>IFERROR(VLOOKUP(tblRiskRegister32[[#This Row],[Asset Class]],tblVCDBIndex[],4,FALSE),"")</f>
        <v>2</v>
      </c>
      <c r="N31" s="24" t="str">
        <f>IFERROR(VLOOKUP(10*tblRiskRegister32[[#This Row],[Safeguard Maturity Score]]+tblRiskRegister32[[#This Row],[VCDB Index]],tblHITIndexWeightTable[],4,FALSE),"")</f>
        <v/>
      </c>
      <c r="O31" s="24">
        <f>VLOOKUP(tblRiskRegister32[[#This Row],[Asset Class]],tblInherentImpacts30[],2,FALSE)</f>
        <v>0</v>
      </c>
      <c r="P31" s="24">
        <f>VLOOKUP(tblRiskRegister32[[#This Row],[Asset Class]],tblInherentImpacts30[],3,FALSE)</f>
        <v>0</v>
      </c>
      <c r="Q31" s="24">
        <f>VLOOKUP(tblRiskRegister32[[#This Row],[Asset Class]],tblInherentImpacts30[],4,FALSE)</f>
        <v>0</v>
      </c>
      <c r="R31" s="24">
        <f>VLOOKUP(tblRiskRegister32[[#This Row],[Asset Class]],tblInherentImpacts30[],5,FALSE)</f>
        <v>0</v>
      </c>
      <c r="S31" s="24" t="str">
        <f>IFERROR(MAX(tblRiskRegister32[[#This Row],[Impact to Mission]:[Impact to Obligations]])*tblRiskRegister32[[#This Row],[Expectancy Score]],"")</f>
        <v/>
      </c>
      <c r="T31" s="24" t="str">
        <f>tblRiskRegister32[[#This Row],[Risk Score]]</f>
        <v/>
      </c>
      <c r="U31" s="86"/>
      <c r="V31" s="86">
        <v>3.11</v>
      </c>
      <c r="W31" s="15" t="s">
        <v>179</v>
      </c>
      <c r="X31" s="15" t="s">
        <v>539</v>
      </c>
      <c r="Y31" s="15"/>
      <c r="Z31" s="16"/>
      <c r="AA31" s="23" t="str">
        <f>IFERROR(VLOOKUP(10*tblRiskRegister32[[#This Row],[Risk Treatment Safeguard Maturity Score]]+tblRiskRegister32[[#This Row],[VCDB Index]],tblHITIndexWeightTable[],4,FALSE),"")</f>
        <v/>
      </c>
      <c r="AB31" s="23">
        <f>VLOOKUP(tblRiskRegister32[[#This Row],[Asset Class]],tblInherentImpacts30[],2,FALSE)</f>
        <v>0</v>
      </c>
      <c r="AC31" s="23">
        <f>VLOOKUP(tblRiskRegister32[[#This Row],[Asset Class]],tblInherentImpacts30[],3,FALSE)</f>
        <v>0</v>
      </c>
      <c r="AD31" s="23">
        <f>VLOOKUP(tblRiskRegister32[[#This Row],[Asset Class]],tblInherentImpacts30[],4,FALSE)</f>
        <v>0</v>
      </c>
      <c r="AE31" s="23">
        <f>VLOOKUP(tblRiskRegister32[[#This Row],[Asset Class]],tblInherentImpacts30[],5,FALSE)</f>
        <v>0</v>
      </c>
      <c r="AF31" s="23" t="str">
        <f>IFERROR(MAX(tblRiskRegister32[[#This Row],[Risk Treatment Safeguard Impact to Mission]:[Risk Treatment Safeguard Impact to Obligations]])*tblRiskRegister32[[#This Row],[Risk Treatment
Safeguard Expectancy Score]],"")</f>
        <v/>
      </c>
      <c r="AG31" s="23" t="str">
        <f>IF(tblRiskRegister32[[#This Row],[Risk Score]]&gt;=AcceptableRisk,IF(tblRiskRegister32[[#This Row],[Risk Treatment Safeguard Risk Score]]&lt;AcceptableRisk, IF(tblRiskRegister32[[#This Row],[Risk Treatment Safeguard Risk Score]]&lt;tblRiskRegister32[[#This Row],[Risk Score]],"Yes","No"),"No"),"Yes")</f>
        <v>No</v>
      </c>
      <c r="AH31" s="17"/>
      <c r="AI31" s="17"/>
      <c r="AJ31" s="18"/>
    </row>
    <row r="32" spans="2:40" ht="42">
      <c r="B32" s="220" t="s">
        <v>90</v>
      </c>
      <c r="C32" s="15"/>
      <c r="D32" s="86">
        <v>3.12</v>
      </c>
      <c r="E32" s="14" t="s">
        <v>205</v>
      </c>
      <c r="F32" s="13"/>
      <c r="G32" s="13" t="s">
        <v>429</v>
      </c>
      <c r="H32" s="13" t="s">
        <v>523</v>
      </c>
      <c r="I32" s="15"/>
      <c r="J32" s="15"/>
      <c r="K32" s="15"/>
      <c r="L32" s="16"/>
      <c r="M32" s="24">
        <f>IFERROR(VLOOKUP(tblRiskRegister32[[#This Row],[Asset Class]],tblVCDBIndex[],4,FALSE),"")</f>
        <v>2</v>
      </c>
      <c r="N32" s="24" t="str">
        <f>IFERROR(VLOOKUP(10*tblRiskRegister32[[#This Row],[Safeguard Maturity Score]]+tblRiskRegister32[[#This Row],[VCDB Index]],tblHITIndexWeightTable[],4,FALSE),"")</f>
        <v/>
      </c>
      <c r="O32" s="24">
        <f>VLOOKUP(tblRiskRegister32[[#This Row],[Asset Class]],tblInherentImpacts30[],2,FALSE)</f>
        <v>0</v>
      </c>
      <c r="P32" s="24">
        <f>VLOOKUP(tblRiskRegister32[[#This Row],[Asset Class]],tblInherentImpacts30[],3,FALSE)</f>
        <v>0</v>
      </c>
      <c r="Q32" s="24">
        <f>VLOOKUP(tblRiskRegister32[[#This Row],[Asset Class]],tblInherentImpacts30[],4,FALSE)</f>
        <v>0</v>
      </c>
      <c r="R32" s="24">
        <f>VLOOKUP(tblRiskRegister32[[#This Row],[Asset Class]],tblInherentImpacts30[],5,FALSE)</f>
        <v>0</v>
      </c>
      <c r="S32" s="24" t="str">
        <f>IFERROR(MAX(tblRiskRegister32[[#This Row],[Impact to Mission]:[Impact to Obligations]])*tblRiskRegister32[[#This Row],[Expectancy Score]],"")</f>
        <v/>
      </c>
      <c r="T32" s="24" t="str">
        <f>tblRiskRegister32[[#This Row],[Risk Score]]</f>
        <v/>
      </c>
      <c r="U32" s="86"/>
      <c r="V32" s="86">
        <v>3.12</v>
      </c>
      <c r="W32" s="15" t="s">
        <v>205</v>
      </c>
      <c r="X32" s="15" t="s">
        <v>347</v>
      </c>
      <c r="Y32" s="26"/>
      <c r="Z32" s="16"/>
      <c r="AA32" s="23" t="str">
        <f>IFERROR(VLOOKUP(10*tblRiskRegister32[[#This Row],[Risk Treatment Safeguard Maturity Score]]+tblRiskRegister32[[#This Row],[VCDB Index]],tblHITIndexWeightTable[],4,FALSE),"")</f>
        <v/>
      </c>
      <c r="AB32" s="23">
        <f>VLOOKUP(tblRiskRegister32[[#This Row],[Asset Class]],tblInherentImpacts30[],2,FALSE)</f>
        <v>0</v>
      </c>
      <c r="AC32" s="23">
        <f>VLOOKUP(tblRiskRegister32[[#This Row],[Asset Class]],tblInherentImpacts30[],3,FALSE)</f>
        <v>0</v>
      </c>
      <c r="AD32" s="23">
        <f>VLOOKUP(tblRiskRegister32[[#This Row],[Asset Class]],tblInherentImpacts30[],4,FALSE)</f>
        <v>0</v>
      </c>
      <c r="AE32" s="23">
        <f>VLOOKUP(tblRiskRegister32[[#This Row],[Asset Class]],tblInherentImpacts30[],5,FALSE)</f>
        <v>0</v>
      </c>
      <c r="AF32" s="23" t="str">
        <f>IFERROR(MAX(tblRiskRegister32[[#This Row],[Risk Treatment Safeguard Impact to Mission]:[Risk Treatment Safeguard Impact to Obligations]])*tblRiskRegister32[[#This Row],[Risk Treatment
Safeguard Expectancy Score]],"")</f>
        <v/>
      </c>
      <c r="AG32" s="23" t="str">
        <f>IF(tblRiskRegister32[[#This Row],[Risk Score]]&gt;=AcceptableRisk,IF(tblRiskRegister32[[#This Row],[Risk Treatment Safeguard Risk Score]]&lt;AcceptableRisk, IF(tblRiskRegister32[[#This Row],[Risk Treatment Safeguard Risk Score]]&lt;tblRiskRegister32[[#This Row],[Risk Score]],"Yes","No"),"No"),"Yes")</f>
        <v>No</v>
      </c>
      <c r="AH32" s="17"/>
      <c r="AI32" s="17"/>
      <c r="AJ32" s="18"/>
    </row>
    <row r="33" spans="2:36" ht="70">
      <c r="B33" s="220" t="s">
        <v>528</v>
      </c>
      <c r="C33" s="15"/>
      <c r="D33" s="86">
        <v>4.0999999999999996</v>
      </c>
      <c r="E33" s="14" t="s">
        <v>48</v>
      </c>
      <c r="F33" s="13" t="s">
        <v>429</v>
      </c>
      <c r="G33" s="13" t="s">
        <v>429</v>
      </c>
      <c r="H33" s="13" t="s">
        <v>532</v>
      </c>
      <c r="I33" s="15"/>
      <c r="J33" s="15"/>
      <c r="K33" s="15"/>
      <c r="L33" s="16"/>
      <c r="M33" s="24">
        <f>IFERROR(VLOOKUP(tblRiskRegister32[[#This Row],[Asset Class]],tblVCDBIndex[],4,FALSE),"")</f>
        <v>2</v>
      </c>
      <c r="N33" s="24" t="str">
        <f>IFERROR(VLOOKUP(10*tblRiskRegister32[[#This Row],[Safeguard Maturity Score]]+tblRiskRegister32[[#This Row],[VCDB Index]],tblHITIndexWeightTable[],4,FALSE),"")</f>
        <v/>
      </c>
      <c r="O33" s="24">
        <f>VLOOKUP(tblRiskRegister32[[#This Row],[Asset Class]],tblInherentImpacts30[],2,FALSE)</f>
        <v>0</v>
      </c>
      <c r="P33" s="24">
        <f>VLOOKUP(tblRiskRegister32[[#This Row],[Asset Class]],tblInherentImpacts30[],3,FALSE)</f>
        <v>0</v>
      </c>
      <c r="Q33" s="24">
        <f>VLOOKUP(tblRiskRegister32[[#This Row],[Asset Class]],tblInherentImpacts30[],4,FALSE)</f>
        <v>0</v>
      </c>
      <c r="R33" s="24">
        <f>VLOOKUP(tblRiskRegister32[[#This Row],[Asset Class]],tblInherentImpacts30[],5,FALSE)</f>
        <v>0</v>
      </c>
      <c r="S33" s="24" t="str">
        <f>IFERROR(MAX(tblRiskRegister32[[#This Row],[Impact to Mission]:[Impact to Obligations]])*tblRiskRegister32[[#This Row],[Expectancy Score]],"")</f>
        <v/>
      </c>
      <c r="T33" s="24" t="str">
        <f>tblRiskRegister32[[#This Row],[Risk Score]]</f>
        <v/>
      </c>
      <c r="U33" s="86"/>
      <c r="V33" s="86">
        <v>4.0999999999999996</v>
      </c>
      <c r="W33" s="15" t="s">
        <v>48</v>
      </c>
      <c r="X33" s="15" t="s">
        <v>540</v>
      </c>
      <c r="Y33" s="15"/>
      <c r="Z33" s="16"/>
      <c r="AA33" s="23" t="str">
        <f>IFERROR(VLOOKUP(10*tblRiskRegister32[[#This Row],[Risk Treatment Safeguard Maturity Score]]+tblRiskRegister32[[#This Row],[VCDB Index]],tblHITIndexWeightTable[],4,FALSE),"")</f>
        <v/>
      </c>
      <c r="AB33" s="23">
        <f>VLOOKUP(tblRiskRegister32[[#This Row],[Asset Class]],tblInherentImpacts30[],2,FALSE)</f>
        <v>0</v>
      </c>
      <c r="AC33" s="23">
        <f>VLOOKUP(tblRiskRegister32[[#This Row],[Asset Class]],tblInherentImpacts30[],3,FALSE)</f>
        <v>0</v>
      </c>
      <c r="AD33" s="23">
        <f>VLOOKUP(tblRiskRegister32[[#This Row],[Asset Class]],tblInherentImpacts30[],4,FALSE)</f>
        <v>0</v>
      </c>
      <c r="AE33" s="23">
        <f>VLOOKUP(tblRiskRegister32[[#This Row],[Asset Class]],tblInherentImpacts30[],5,FALSE)</f>
        <v>0</v>
      </c>
      <c r="AF33" s="23" t="str">
        <f>IFERROR(MAX(tblRiskRegister32[[#This Row],[Risk Treatment Safeguard Impact to Mission]:[Risk Treatment Safeguard Impact to Obligations]])*tblRiskRegister32[[#This Row],[Risk Treatment
Safeguard Expectancy Score]],"")</f>
        <v/>
      </c>
      <c r="AG33" s="23" t="str">
        <f>IF(tblRiskRegister32[[#This Row],[Risk Score]]&gt;=AcceptableRisk,IF(tblRiskRegister32[[#This Row],[Risk Treatment Safeguard Risk Score]]&lt;AcceptableRisk, IF(tblRiskRegister32[[#This Row],[Risk Treatment Safeguard Risk Score]]&lt;tblRiskRegister32[[#This Row],[Risk Score]],"Yes","No"),"No"),"Yes")</f>
        <v>No</v>
      </c>
      <c r="AH33" s="17"/>
      <c r="AI33" s="17"/>
      <c r="AJ33" s="18"/>
    </row>
    <row r="34" spans="2:36" ht="56">
      <c r="B34" s="220" t="s">
        <v>528</v>
      </c>
      <c r="C34" s="15"/>
      <c r="D34" s="86">
        <v>4.2</v>
      </c>
      <c r="E34" s="14" t="s">
        <v>49</v>
      </c>
      <c r="F34" s="13" t="s">
        <v>429</v>
      </c>
      <c r="G34" s="13" t="s">
        <v>429</v>
      </c>
      <c r="H34" s="13" t="s">
        <v>532</v>
      </c>
      <c r="I34" s="15"/>
      <c r="J34" s="15"/>
      <c r="K34" s="15"/>
      <c r="L34" s="16"/>
      <c r="M34" s="24">
        <f>IFERROR(VLOOKUP(tblRiskRegister32[[#This Row],[Asset Class]],tblVCDBIndex[],4,FALSE),"")</f>
        <v>2</v>
      </c>
      <c r="N34" s="24" t="str">
        <f>IFERROR(VLOOKUP(10*tblRiskRegister32[[#This Row],[Safeguard Maturity Score]]+tblRiskRegister32[[#This Row],[VCDB Index]],tblHITIndexWeightTable[],4,FALSE),"")</f>
        <v/>
      </c>
      <c r="O34" s="24">
        <f>VLOOKUP(tblRiskRegister32[[#This Row],[Asset Class]],tblInherentImpacts30[],2,FALSE)</f>
        <v>0</v>
      </c>
      <c r="P34" s="24">
        <f>VLOOKUP(tblRiskRegister32[[#This Row],[Asset Class]],tblInherentImpacts30[],3,FALSE)</f>
        <v>0</v>
      </c>
      <c r="Q34" s="24">
        <f>VLOOKUP(tblRiskRegister32[[#This Row],[Asset Class]],tblInherentImpacts30[],4,FALSE)</f>
        <v>0</v>
      </c>
      <c r="R34" s="24">
        <f>VLOOKUP(tblRiskRegister32[[#This Row],[Asset Class]],tblInherentImpacts30[],5,FALSE)</f>
        <v>0</v>
      </c>
      <c r="S34" s="24" t="str">
        <f>IFERROR(MAX(tblRiskRegister32[[#This Row],[Impact to Mission]:[Impact to Obligations]])*tblRiskRegister32[[#This Row],[Expectancy Score]],"")</f>
        <v/>
      </c>
      <c r="T34" s="24" t="str">
        <f>tblRiskRegister32[[#This Row],[Risk Score]]</f>
        <v/>
      </c>
      <c r="U34" s="86"/>
      <c r="V34" s="86">
        <v>4.2</v>
      </c>
      <c r="W34" s="15" t="s">
        <v>49</v>
      </c>
      <c r="X34" s="15" t="s">
        <v>541</v>
      </c>
      <c r="Y34" s="26"/>
      <c r="Z34" s="16"/>
      <c r="AA34" s="23" t="str">
        <f>IFERROR(VLOOKUP(10*tblRiskRegister32[[#This Row],[Risk Treatment Safeguard Maturity Score]]+tblRiskRegister32[[#This Row],[VCDB Index]],tblHITIndexWeightTable[],4,FALSE),"")</f>
        <v/>
      </c>
      <c r="AB34" s="23">
        <f>VLOOKUP(tblRiskRegister32[[#This Row],[Asset Class]],tblInherentImpacts30[],2,FALSE)</f>
        <v>0</v>
      </c>
      <c r="AC34" s="23">
        <f>VLOOKUP(tblRiskRegister32[[#This Row],[Asset Class]],tblInherentImpacts30[],3,FALSE)</f>
        <v>0</v>
      </c>
      <c r="AD34" s="23">
        <f>VLOOKUP(tblRiskRegister32[[#This Row],[Asset Class]],tblInherentImpacts30[],4,FALSE)</f>
        <v>0</v>
      </c>
      <c r="AE34" s="23">
        <f>VLOOKUP(tblRiskRegister32[[#This Row],[Asset Class]],tblInherentImpacts30[],5,FALSE)</f>
        <v>0</v>
      </c>
      <c r="AF34" s="23" t="str">
        <f>IFERROR(MAX(tblRiskRegister32[[#This Row],[Risk Treatment Safeguard Impact to Mission]:[Risk Treatment Safeguard Impact to Obligations]])*tblRiskRegister32[[#This Row],[Risk Treatment
Safeguard Expectancy Score]],"")</f>
        <v/>
      </c>
      <c r="AG34" s="23" t="str">
        <f>IF(tblRiskRegister32[[#This Row],[Risk Score]]&gt;=AcceptableRisk,IF(tblRiskRegister32[[#This Row],[Risk Treatment Safeguard Risk Score]]&lt;AcceptableRisk, IF(tblRiskRegister32[[#This Row],[Risk Treatment Safeguard Risk Score]]&lt;tblRiskRegister32[[#This Row],[Risk Score]],"Yes","No"),"No"),"Yes")</f>
        <v>No</v>
      </c>
      <c r="AH34" s="17"/>
      <c r="AI34" s="17"/>
      <c r="AJ34" s="18"/>
    </row>
    <row r="35" spans="2:36" ht="42">
      <c r="B35" s="220" t="s">
        <v>91</v>
      </c>
      <c r="C35" s="15"/>
      <c r="D35" s="86">
        <v>4.3</v>
      </c>
      <c r="E35" s="14" t="s">
        <v>50</v>
      </c>
      <c r="F35" s="13" t="s">
        <v>429</v>
      </c>
      <c r="G35" s="13" t="s">
        <v>429</v>
      </c>
      <c r="H35" s="13" t="s">
        <v>523</v>
      </c>
      <c r="I35" s="15"/>
      <c r="J35" s="15"/>
      <c r="K35" s="15"/>
      <c r="L35" s="16"/>
      <c r="M35" s="24">
        <f>IFERROR(VLOOKUP(tblRiskRegister32[[#This Row],[Asset Class]],tblVCDBIndex[],4,FALSE),"")</f>
        <v>4</v>
      </c>
      <c r="N35" s="24" t="str">
        <f>IFERROR(VLOOKUP(10*tblRiskRegister32[[#This Row],[Safeguard Maturity Score]]+tblRiskRegister32[[#This Row],[VCDB Index]],tblHITIndexWeightTable[],4,FALSE),"")</f>
        <v/>
      </c>
      <c r="O35" s="24">
        <f>VLOOKUP(tblRiskRegister32[[#This Row],[Asset Class]],tblInherentImpacts30[],2,FALSE)</f>
        <v>0</v>
      </c>
      <c r="P35" s="24">
        <f>VLOOKUP(tblRiskRegister32[[#This Row],[Asset Class]],tblInherentImpacts30[],3,FALSE)</f>
        <v>0</v>
      </c>
      <c r="Q35" s="24">
        <f>VLOOKUP(tblRiskRegister32[[#This Row],[Asset Class]],tblInherentImpacts30[],4,FALSE)</f>
        <v>0</v>
      </c>
      <c r="R35" s="24">
        <f>VLOOKUP(tblRiskRegister32[[#This Row],[Asset Class]],tblInherentImpacts30[],5,FALSE)</f>
        <v>0</v>
      </c>
      <c r="S35" s="24" t="str">
        <f>IFERROR(MAX(tblRiskRegister32[[#This Row],[Impact to Mission]:[Impact to Obligations]])*tblRiskRegister32[[#This Row],[Expectancy Score]],"")</f>
        <v/>
      </c>
      <c r="T35" s="24" t="str">
        <f>tblRiskRegister32[[#This Row],[Risk Score]]</f>
        <v/>
      </c>
      <c r="U35" s="86"/>
      <c r="V35" s="86">
        <v>4.3</v>
      </c>
      <c r="W35" s="15" t="s">
        <v>50</v>
      </c>
      <c r="X35" s="15" t="s">
        <v>348</v>
      </c>
      <c r="Y35" s="26"/>
      <c r="Z35" s="16"/>
      <c r="AA35" s="23" t="str">
        <f>IFERROR(VLOOKUP(10*tblRiskRegister32[[#This Row],[Risk Treatment Safeguard Maturity Score]]+tblRiskRegister32[[#This Row],[VCDB Index]],tblHITIndexWeightTable[],4,FALSE),"")</f>
        <v/>
      </c>
      <c r="AB35" s="23">
        <f>VLOOKUP(tblRiskRegister32[[#This Row],[Asset Class]],tblInherentImpacts30[],2,FALSE)</f>
        <v>0</v>
      </c>
      <c r="AC35" s="23">
        <f>VLOOKUP(tblRiskRegister32[[#This Row],[Asset Class]],tblInherentImpacts30[],3,FALSE)</f>
        <v>0</v>
      </c>
      <c r="AD35" s="23">
        <f>VLOOKUP(tblRiskRegister32[[#This Row],[Asset Class]],tblInherentImpacts30[],4,FALSE)</f>
        <v>0</v>
      </c>
      <c r="AE35" s="23">
        <f>VLOOKUP(tblRiskRegister32[[#This Row],[Asset Class]],tblInherentImpacts30[],5,FALSE)</f>
        <v>0</v>
      </c>
      <c r="AF35" s="23" t="str">
        <f>IFERROR(MAX(tblRiskRegister32[[#This Row],[Risk Treatment Safeguard Impact to Mission]:[Risk Treatment Safeguard Impact to Obligations]])*tblRiskRegister32[[#This Row],[Risk Treatment
Safeguard Expectancy Score]],"")</f>
        <v/>
      </c>
      <c r="AG35" s="23" t="str">
        <f>IF(tblRiskRegister32[[#This Row],[Risk Score]]&gt;=AcceptableRisk,IF(tblRiskRegister32[[#This Row],[Risk Treatment Safeguard Risk Score]]&lt;AcceptableRisk, IF(tblRiskRegister32[[#This Row],[Risk Treatment Safeguard Risk Score]]&lt;tblRiskRegister32[[#This Row],[Risk Score]],"Yes","No"),"No"),"Yes")</f>
        <v>No</v>
      </c>
      <c r="AH35" s="17"/>
      <c r="AI35" s="17"/>
      <c r="AJ35" s="18"/>
    </row>
    <row r="36" spans="2:36" ht="42">
      <c r="B36" s="220" t="s">
        <v>91</v>
      </c>
      <c r="C36" s="15"/>
      <c r="D36" s="86">
        <v>4.4000000000000004</v>
      </c>
      <c r="E36" s="14" t="s">
        <v>51</v>
      </c>
      <c r="F36" s="13" t="s">
        <v>429</v>
      </c>
      <c r="G36" s="13" t="s">
        <v>429</v>
      </c>
      <c r="H36" s="13" t="s">
        <v>523</v>
      </c>
      <c r="I36" s="15"/>
      <c r="J36" s="15"/>
      <c r="K36" s="15"/>
      <c r="L36" s="16"/>
      <c r="M36" s="24">
        <f>IFERROR(VLOOKUP(tblRiskRegister32[[#This Row],[Asset Class]],tblVCDBIndex[],4,FALSE),"")</f>
        <v>4</v>
      </c>
      <c r="N36" s="24" t="str">
        <f>IFERROR(VLOOKUP(10*tblRiskRegister32[[#This Row],[Safeguard Maturity Score]]+tblRiskRegister32[[#This Row],[VCDB Index]],tblHITIndexWeightTable[],4,FALSE),"")</f>
        <v/>
      </c>
      <c r="O36" s="24">
        <f>VLOOKUP(tblRiskRegister32[[#This Row],[Asset Class]],tblInherentImpacts30[],2,FALSE)</f>
        <v>0</v>
      </c>
      <c r="P36" s="24">
        <f>VLOOKUP(tblRiskRegister32[[#This Row],[Asset Class]],tblInherentImpacts30[],3,FALSE)</f>
        <v>0</v>
      </c>
      <c r="Q36" s="24">
        <f>VLOOKUP(tblRiskRegister32[[#This Row],[Asset Class]],tblInherentImpacts30[],4,FALSE)</f>
        <v>0</v>
      </c>
      <c r="R36" s="24">
        <f>VLOOKUP(tblRiskRegister32[[#This Row],[Asset Class]],tblInherentImpacts30[],5,FALSE)</f>
        <v>0</v>
      </c>
      <c r="S36" s="24" t="str">
        <f>IFERROR(MAX(tblRiskRegister32[[#This Row],[Impact to Mission]:[Impact to Obligations]])*tblRiskRegister32[[#This Row],[Expectancy Score]],"")</f>
        <v/>
      </c>
      <c r="T36" s="24" t="str">
        <f>tblRiskRegister32[[#This Row],[Risk Score]]</f>
        <v/>
      </c>
      <c r="U36" s="86"/>
      <c r="V36" s="86">
        <v>4.4000000000000004</v>
      </c>
      <c r="W36" s="15" t="s">
        <v>51</v>
      </c>
      <c r="X36" s="15" t="s">
        <v>349</v>
      </c>
      <c r="Y36" s="26"/>
      <c r="Z36" s="16"/>
      <c r="AA36" s="23" t="str">
        <f>IFERROR(VLOOKUP(10*tblRiskRegister32[[#This Row],[Risk Treatment Safeguard Maturity Score]]+tblRiskRegister32[[#This Row],[VCDB Index]],tblHITIndexWeightTable[],4,FALSE),"")</f>
        <v/>
      </c>
      <c r="AB36" s="23">
        <f>VLOOKUP(tblRiskRegister32[[#This Row],[Asset Class]],tblInherentImpacts30[],2,FALSE)</f>
        <v>0</v>
      </c>
      <c r="AC36" s="23">
        <f>VLOOKUP(tblRiskRegister32[[#This Row],[Asset Class]],tblInherentImpacts30[],3,FALSE)</f>
        <v>0</v>
      </c>
      <c r="AD36" s="23">
        <f>VLOOKUP(tblRiskRegister32[[#This Row],[Asset Class]],tblInherentImpacts30[],4,FALSE)</f>
        <v>0</v>
      </c>
      <c r="AE36" s="23">
        <f>VLOOKUP(tblRiskRegister32[[#This Row],[Asset Class]],tblInherentImpacts30[],5,FALSE)</f>
        <v>0</v>
      </c>
      <c r="AF36" s="23" t="str">
        <f>IFERROR(MAX(tblRiskRegister32[[#This Row],[Risk Treatment Safeguard Impact to Mission]:[Risk Treatment Safeguard Impact to Obligations]])*tblRiskRegister32[[#This Row],[Risk Treatment
Safeguard Expectancy Score]],"")</f>
        <v/>
      </c>
      <c r="AG36" s="23" t="str">
        <f>IF(tblRiskRegister32[[#This Row],[Risk Score]]&gt;=AcceptableRisk,IF(tblRiskRegister32[[#This Row],[Risk Treatment Safeguard Risk Score]]&lt;AcceptableRisk, IF(tblRiskRegister32[[#This Row],[Risk Treatment Safeguard Risk Score]]&lt;tblRiskRegister32[[#This Row],[Risk Score]],"Yes","No"),"No"),"Yes")</f>
        <v>No</v>
      </c>
      <c r="AH36" s="17"/>
      <c r="AI36" s="17"/>
      <c r="AJ36" s="18"/>
    </row>
    <row r="37" spans="2:36" ht="42">
      <c r="B37" s="220" t="s">
        <v>91</v>
      </c>
      <c r="C37" s="15"/>
      <c r="D37" s="86">
        <v>4.5</v>
      </c>
      <c r="E37" s="14" t="s">
        <v>52</v>
      </c>
      <c r="F37" s="13" t="s">
        <v>429</v>
      </c>
      <c r="G37" s="13" t="s">
        <v>429</v>
      </c>
      <c r="H37" s="13" t="s">
        <v>523</v>
      </c>
      <c r="I37" s="15"/>
      <c r="J37" s="15"/>
      <c r="K37" s="15"/>
      <c r="L37" s="16"/>
      <c r="M37" s="24">
        <f>IFERROR(VLOOKUP(tblRiskRegister32[[#This Row],[Asset Class]],tblVCDBIndex[],4,FALSE),"")</f>
        <v>4</v>
      </c>
      <c r="N37" s="24" t="str">
        <f>IFERROR(VLOOKUP(10*tblRiskRegister32[[#This Row],[Safeguard Maturity Score]]+tblRiskRegister32[[#This Row],[VCDB Index]],tblHITIndexWeightTable[],4,FALSE),"")</f>
        <v/>
      </c>
      <c r="O37" s="24">
        <f>VLOOKUP(tblRiskRegister32[[#This Row],[Asset Class]],tblInherentImpacts30[],2,FALSE)</f>
        <v>0</v>
      </c>
      <c r="P37" s="24">
        <f>VLOOKUP(tblRiskRegister32[[#This Row],[Asset Class]],tblInherentImpacts30[],3,FALSE)</f>
        <v>0</v>
      </c>
      <c r="Q37" s="24">
        <f>VLOOKUP(tblRiskRegister32[[#This Row],[Asset Class]],tblInherentImpacts30[],4,FALSE)</f>
        <v>0</v>
      </c>
      <c r="R37" s="24">
        <f>VLOOKUP(tblRiskRegister32[[#This Row],[Asset Class]],tblInherentImpacts30[],5,FALSE)</f>
        <v>0</v>
      </c>
      <c r="S37" s="24" t="str">
        <f>IFERROR(MAX(tblRiskRegister32[[#This Row],[Impact to Mission]:[Impact to Obligations]])*tblRiskRegister32[[#This Row],[Expectancy Score]],"")</f>
        <v/>
      </c>
      <c r="T37" s="24" t="str">
        <f>tblRiskRegister32[[#This Row],[Risk Score]]</f>
        <v/>
      </c>
      <c r="U37" s="86"/>
      <c r="V37" s="86">
        <v>4.5</v>
      </c>
      <c r="W37" s="15" t="s">
        <v>52</v>
      </c>
      <c r="X37" s="15" t="s">
        <v>350</v>
      </c>
      <c r="Y37" s="26"/>
      <c r="Z37" s="16"/>
      <c r="AA37" s="23" t="str">
        <f>IFERROR(VLOOKUP(10*tblRiskRegister32[[#This Row],[Risk Treatment Safeguard Maturity Score]]+tblRiskRegister32[[#This Row],[VCDB Index]],tblHITIndexWeightTable[],4,FALSE),"")</f>
        <v/>
      </c>
      <c r="AB37" s="23">
        <f>VLOOKUP(tblRiskRegister32[[#This Row],[Asset Class]],tblInherentImpacts30[],2,FALSE)</f>
        <v>0</v>
      </c>
      <c r="AC37" s="23">
        <f>VLOOKUP(tblRiskRegister32[[#This Row],[Asset Class]],tblInherentImpacts30[],3,FALSE)</f>
        <v>0</v>
      </c>
      <c r="AD37" s="23">
        <f>VLOOKUP(tblRiskRegister32[[#This Row],[Asset Class]],tblInherentImpacts30[],4,FALSE)</f>
        <v>0</v>
      </c>
      <c r="AE37" s="23">
        <f>VLOOKUP(tblRiskRegister32[[#This Row],[Asset Class]],tblInherentImpacts30[],5,FALSE)</f>
        <v>0</v>
      </c>
      <c r="AF37" s="23" t="str">
        <f>IFERROR(MAX(tblRiskRegister32[[#This Row],[Risk Treatment Safeguard Impact to Mission]:[Risk Treatment Safeguard Impact to Obligations]])*tblRiskRegister32[[#This Row],[Risk Treatment
Safeguard Expectancy Score]],"")</f>
        <v/>
      </c>
      <c r="AG37" s="23" t="str">
        <f>IF(tblRiskRegister32[[#This Row],[Risk Score]]&gt;=AcceptableRisk,IF(tblRiskRegister32[[#This Row],[Risk Treatment Safeguard Risk Score]]&lt;AcceptableRisk, IF(tblRiskRegister32[[#This Row],[Risk Treatment Safeguard Risk Score]]&lt;tblRiskRegister32[[#This Row],[Risk Score]],"Yes","No"),"No"),"Yes")</f>
        <v>No</v>
      </c>
      <c r="AH37" s="17"/>
      <c r="AI37" s="17"/>
      <c r="AJ37" s="18"/>
    </row>
    <row r="38" spans="2:36" ht="84">
      <c r="B38" s="220" t="s">
        <v>91</v>
      </c>
      <c r="C38" s="15"/>
      <c r="D38" s="86">
        <v>4.5999999999999996</v>
      </c>
      <c r="E38" s="14" t="s">
        <v>53</v>
      </c>
      <c r="F38" s="13" t="s">
        <v>429</v>
      </c>
      <c r="G38" s="13" t="s">
        <v>429</v>
      </c>
      <c r="H38" s="13" t="s">
        <v>523</v>
      </c>
      <c r="I38" s="15"/>
      <c r="J38" s="15"/>
      <c r="K38" s="15"/>
      <c r="L38" s="16"/>
      <c r="M38" s="24">
        <f>IFERROR(VLOOKUP(tblRiskRegister32[[#This Row],[Asset Class]],tblVCDBIndex[],4,FALSE),"")</f>
        <v>4</v>
      </c>
      <c r="N38" s="24" t="str">
        <f>IFERROR(VLOOKUP(10*tblRiskRegister32[[#This Row],[Safeguard Maturity Score]]+tblRiskRegister32[[#This Row],[VCDB Index]],tblHITIndexWeightTable[],4,FALSE),"")</f>
        <v/>
      </c>
      <c r="O38" s="24">
        <f>VLOOKUP(tblRiskRegister32[[#This Row],[Asset Class]],tblInherentImpacts30[],2,FALSE)</f>
        <v>0</v>
      </c>
      <c r="P38" s="24">
        <f>VLOOKUP(tblRiskRegister32[[#This Row],[Asset Class]],tblInherentImpacts30[],3,FALSE)</f>
        <v>0</v>
      </c>
      <c r="Q38" s="24">
        <f>VLOOKUP(tblRiskRegister32[[#This Row],[Asset Class]],tblInherentImpacts30[],4,FALSE)</f>
        <v>0</v>
      </c>
      <c r="R38" s="24">
        <f>VLOOKUP(tblRiskRegister32[[#This Row],[Asset Class]],tblInherentImpacts30[],5,FALSE)</f>
        <v>0</v>
      </c>
      <c r="S38" s="24" t="str">
        <f>IFERROR(MAX(tblRiskRegister32[[#This Row],[Impact to Mission]:[Impact to Obligations]])*tblRiskRegister32[[#This Row],[Expectancy Score]],"")</f>
        <v/>
      </c>
      <c r="T38" s="24" t="str">
        <f>tblRiskRegister32[[#This Row],[Risk Score]]</f>
        <v/>
      </c>
      <c r="U38" s="86"/>
      <c r="V38" s="86">
        <v>4.5999999999999996</v>
      </c>
      <c r="W38" s="15" t="s">
        <v>53</v>
      </c>
      <c r="X38" s="15" t="s">
        <v>542</v>
      </c>
      <c r="Y38" s="26"/>
      <c r="Z38" s="16"/>
      <c r="AA38" s="23" t="str">
        <f>IFERROR(VLOOKUP(10*tblRiskRegister32[[#This Row],[Risk Treatment Safeguard Maturity Score]]+tblRiskRegister32[[#This Row],[VCDB Index]],tblHITIndexWeightTable[],4,FALSE),"")</f>
        <v/>
      </c>
      <c r="AB38" s="23">
        <f>VLOOKUP(tblRiskRegister32[[#This Row],[Asset Class]],tblInherentImpacts30[],2,FALSE)</f>
        <v>0</v>
      </c>
      <c r="AC38" s="23">
        <f>VLOOKUP(tblRiskRegister32[[#This Row],[Asset Class]],tblInherentImpacts30[],3,FALSE)</f>
        <v>0</v>
      </c>
      <c r="AD38" s="23">
        <f>VLOOKUP(tblRiskRegister32[[#This Row],[Asset Class]],tblInherentImpacts30[],4,FALSE)</f>
        <v>0</v>
      </c>
      <c r="AE38" s="23">
        <f>VLOOKUP(tblRiskRegister32[[#This Row],[Asset Class]],tblInherentImpacts30[],5,FALSE)</f>
        <v>0</v>
      </c>
      <c r="AF38" s="23" t="str">
        <f>IFERROR(MAX(tblRiskRegister32[[#This Row],[Risk Treatment Safeguard Impact to Mission]:[Risk Treatment Safeguard Impact to Obligations]])*tblRiskRegister32[[#This Row],[Risk Treatment
Safeguard Expectancy Score]],"")</f>
        <v/>
      </c>
      <c r="AG38" s="23" t="str">
        <f>IF(tblRiskRegister32[[#This Row],[Risk Score]]&gt;=AcceptableRisk,IF(tblRiskRegister32[[#This Row],[Risk Treatment Safeguard Risk Score]]&lt;AcceptableRisk, IF(tblRiskRegister32[[#This Row],[Risk Treatment Safeguard Risk Score]]&lt;tblRiskRegister32[[#This Row],[Risk Score]],"Yes","No"),"No"),"Yes")</f>
        <v>No</v>
      </c>
      <c r="AH38" s="17"/>
      <c r="AI38" s="17"/>
      <c r="AJ38" s="18"/>
    </row>
    <row r="39" spans="2:36" ht="42">
      <c r="B39" s="220" t="s">
        <v>93</v>
      </c>
      <c r="C39" s="15"/>
      <c r="D39" s="86">
        <v>4.7</v>
      </c>
      <c r="E39" s="14" t="s">
        <v>54</v>
      </c>
      <c r="F39" s="13" t="s">
        <v>429</v>
      </c>
      <c r="G39" s="13" t="s">
        <v>429</v>
      </c>
      <c r="H39" s="13" t="s">
        <v>523</v>
      </c>
      <c r="I39" s="15"/>
      <c r="J39" s="15"/>
      <c r="K39" s="15"/>
      <c r="L39" s="16"/>
      <c r="M39" s="24">
        <f>IFERROR(VLOOKUP(tblRiskRegister32[[#This Row],[Asset Class]],tblVCDBIndex[],4,FALSE),"")</f>
        <v>2</v>
      </c>
      <c r="N39" s="24" t="str">
        <f>IFERROR(VLOOKUP(10*tblRiskRegister32[[#This Row],[Safeguard Maturity Score]]+tblRiskRegister32[[#This Row],[VCDB Index]],tblHITIndexWeightTable[],4,FALSE),"")</f>
        <v/>
      </c>
      <c r="O39" s="24">
        <f>VLOOKUP(tblRiskRegister32[[#This Row],[Asset Class]],tblInherentImpacts30[],2,FALSE)</f>
        <v>0</v>
      </c>
      <c r="P39" s="24">
        <f>VLOOKUP(tblRiskRegister32[[#This Row],[Asset Class]],tblInherentImpacts30[],3,FALSE)</f>
        <v>0</v>
      </c>
      <c r="Q39" s="24">
        <f>VLOOKUP(tblRiskRegister32[[#This Row],[Asset Class]],tblInherentImpacts30[],4,FALSE)</f>
        <v>0</v>
      </c>
      <c r="R39" s="24">
        <f>VLOOKUP(tblRiskRegister32[[#This Row],[Asset Class]],tblInherentImpacts30[],5,FALSE)</f>
        <v>0</v>
      </c>
      <c r="S39" s="24" t="str">
        <f>IFERROR(MAX(tblRiskRegister32[[#This Row],[Impact to Mission]:[Impact to Obligations]])*tblRiskRegister32[[#This Row],[Expectancy Score]],"")</f>
        <v/>
      </c>
      <c r="T39" s="24" t="str">
        <f>tblRiskRegister32[[#This Row],[Risk Score]]</f>
        <v/>
      </c>
      <c r="U39" s="86"/>
      <c r="V39" s="86">
        <v>4.7</v>
      </c>
      <c r="W39" s="15" t="s">
        <v>54</v>
      </c>
      <c r="X39" s="15" t="s">
        <v>351</v>
      </c>
      <c r="Y39" s="26"/>
      <c r="Z39" s="16"/>
      <c r="AA39" s="23" t="str">
        <f>IFERROR(VLOOKUP(10*tblRiskRegister32[[#This Row],[Risk Treatment Safeguard Maturity Score]]+tblRiskRegister32[[#This Row],[VCDB Index]],tblHITIndexWeightTable[],4,FALSE),"")</f>
        <v/>
      </c>
      <c r="AB39" s="23">
        <f>VLOOKUP(tblRiskRegister32[[#This Row],[Asset Class]],tblInherentImpacts30[],2,FALSE)</f>
        <v>0</v>
      </c>
      <c r="AC39" s="23">
        <f>VLOOKUP(tblRiskRegister32[[#This Row],[Asset Class]],tblInherentImpacts30[],3,FALSE)</f>
        <v>0</v>
      </c>
      <c r="AD39" s="23">
        <f>VLOOKUP(tblRiskRegister32[[#This Row],[Asset Class]],tblInherentImpacts30[],4,FALSE)</f>
        <v>0</v>
      </c>
      <c r="AE39" s="23">
        <f>VLOOKUP(tblRiskRegister32[[#This Row],[Asset Class]],tblInherentImpacts30[],5,FALSE)</f>
        <v>0</v>
      </c>
      <c r="AF39" s="23" t="str">
        <f>IFERROR(MAX(tblRiskRegister32[[#This Row],[Risk Treatment Safeguard Impact to Mission]:[Risk Treatment Safeguard Impact to Obligations]])*tblRiskRegister32[[#This Row],[Risk Treatment
Safeguard Expectancy Score]],"")</f>
        <v/>
      </c>
      <c r="AG39" s="23" t="str">
        <f>IF(tblRiskRegister32[[#This Row],[Risk Score]]&gt;=AcceptableRisk,IF(tblRiskRegister32[[#This Row],[Risk Treatment Safeguard Risk Score]]&lt;AcceptableRisk, IF(tblRiskRegister32[[#This Row],[Risk Treatment Safeguard Risk Score]]&lt;tblRiskRegister32[[#This Row],[Risk Score]],"Yes","No"),"No"),"Yes")</f>
        <v>No</v>
      </c>
      <c r="AH39" s="17"/>
      <c r="AI39" s="17"/>
      <c r="AJ39" s="18"/>
    </row>
    <row r="40" spans="2:36" ht="56">
      <c r="B40" s="220" t="s">
        <v>91</v>
      </c>
      <c r="C40" s="15"/>
      <c r="D40" s="86">
        <v>4.8</v>
      </c>
      <c r="E40" s="14" t="s">
        <v>183</v>
      </c>
      <c r="F40" s="13"/>
      <c r="G40" s="13" t="s">
        <v>429</v>
      </c>
      <c r="H40" s="13" t="s">
        <v>523</v>
      </c>
      <c r="I40" s="15"/>
      <c r="J40" s="15"/>
      <c r="K40" s="15"/>
      <c r="L40" s="16"/>
      <c r="M40" s="24">
        <f>IFERROR(VLOOKUP(tblRiskRegister32[[#This Row],[Asset Class]],tblVCDBIndex[],4,FALSE),"")</f>
        <v>4</v>
      </c>
      <c r="N40" s="24" t="str">
        <f>IFERROR(VLOOKUP(10*tblRiskRegister32[[#This Row],[Safeguard Maturity Score]]+tblRiskRegister32[[#This Row],[VCDB Index]],tblHITIndexWeightTable[],4,FALSE),"")</f>
        <v/>
      </c>
      <c r="O40" s="24">
        <f>VLOOKUP(tblRiskRegister32[[#This Row],[Asset Class]],tblInherentImpacts30[],2,FALSE)</f>
        <v>0</v>
      </c>
      <c r="P40" s="24">
        <f>VLOOKUP(tblRiskRegister32[[#This Row],[Asset Class]],tblInherentImpacts30[],3,FALSE)</f>
        <v>0</v>
      </c>
      <c r="Q40" s="24">
        <f>VLOOKUP(tblRiskRegister32[[#This Row],[Asset Class]],tblInherentImpacts30[],4,FALSE)</f>
        <v>0</v>
      </c>
      <c r="R40" s="24">
        <f>VLOOKUP(tblRiskRegister32[[#This Row],[Asset Class]],tblInherentImpacts30[],5,FALSE)</f>
        <v>0</v>
      </c>
      <c r="S40" s="24" t="str">
        <f>IFERROR(MAX(tblRiskRegister32[[#This Row],[Impact to Mission]:[Impact to Obligations]])*tblRiskRegister32[[#This Row],[Expectancy Score]],"")</f>
        <v/>
      </c>
      <c r="T40" s="24" t="str">
        <f>tblRiskRegister32[[#This Row],[Risk Score]]</f>
        <v/>
      </c>
      <c r="U40" s="86"/>
      <c r="V40" s="86">
        <v>4.8</v>
      </c>
      <c r="W40" s="15" t="s">
        <v>183</v>
      </c>
      <c r="X40" s="15" t="s">
        <v>352</v>
      </c>
      <c r="Y40" s="26"/>
      <c r="Z40" s="16"/>
      <c r="AA40" s="23" t="str">
        <f>IFERROR(VLOOKUP(10*tblRiskRegister32[[#This Row],[Risk Treatment Safeguard Maturity Score]]+tblRiskRegister32[[#This Row],[VCDB Index]],tblHITIndexWeightTable[],4,FALSE),"")</f>
        <v/>
      </c>
      <c r="AB40" s="23">
        <f>VLOOKUP(tblRiskRegister32[[#This Row],[Asset Class]],tblInherentImpacts30[],2,FALSE)</f>
        <v>0</v>
      </c>
      <c r="AC40" s="23">
        <f>VLOOKUP(tblRiskRegister32[[#This Row],[Asset Class]],tblInherentImpacts30[],3,FALSE)</f>
        <v>0</v>
      </c>
      <c r="AD40" s="23">
        <f>VLOOKUP(tblRiskRegister32[[#This Row],[Asset Class]],tblInherentImpacts30[],4,FALSE)</f>
        <v>0</v>
      </c>
      <c r="AE40" s="23">
        <f>VLOOKUP(tblRiskRegister32[[#This Row],[Asset Class]],tblInherentImpacts30[],5,FALSE)</f>
        <v>0</v>
      </c>
      <c r="AF40" s="23" t="str">
        <f>IFERROR(MAX(tblRiskRegister32[[#This Row],[Risk Treatment Safeguard Impact to Mission]:[Risk Treatment Safeguard Impact to Obligations]])*tblRiskRegister32[[#This Row],[Risk Treatment
Safeguard Expectancy Score]],"")</f>
        <v/>
      </c>
      <c r="AG40" s="23" t="str">
        <f>IF(tblRiskRegister32[[#This Row],[Risk Score]]&gt;=AcceptableRisk,IF(tblRiskRegister32[[#This Row],[Risk Treatment Safeguard Risk Score]]&lt;AcceptableRisk, IF(tblRiskRegister32[[#This Row],[Risk Treatment Safeguard Risk Score]]&lt;tblRiskRegister32[[#This Row],[Risk Score]],"Yes","No"),"No"),"Yes")</f>
        <v>No</v>
      </c>
      <c r="AH40" s="17"/>
      <c r="AI40" s="17"/>
      <c r="AJ40" s="18"/>
    </row>
    <row r="41" spans="2:36" ht="42">
      <c r="B41" s="220" t="s">
        <v>91</v>
      </c>
      <c r="C41" s="15"/>
      <c r="D41" s="86">
        <v>4.9000000000000004</v>
      </c>
      <c r="E41" s="14" t="s">
        <v>184</v>
      </c>
      <c r="F41" s="13"/>
      <c r="G41" s="13" t="s">
        <v>429</v>
      </c>
      <c r="H41" s="13" t="s">
        <v>523</v>
      </c>
      <c r="I41" s="15"/>
      <c r="J41" s="15"/>
      <c r="K41" s="15"/>
      <c r="L41" s="16"/>
      <c r="M41" s="24">
        <f>IFERROR(VLOOKUP(tblRiskRegister32[[#This Row],[Asset Class]],tblVCDBIndex[],4,FALSE),"")</f>
        <v>4</v>
      </c>
      <c r="N41" s="24" t="str">
        <f>IFERROR(VLOOKUP(10*tblRiskRegister32[[#This Row],[Safeguard Maturity Score]]+tblRiskRegister32[[#This Row],[VCDB Index]],tblHITIndexWeightTable[],4,FALSE),"")</f>
        <v/>
      </c>
      <c r="O41" s="24">
        <f>VLOOKUP(tblRiskRegister32[[#This Row],[Asset Class]],tblInherentImpacts30[],2,FALSE)</f>
        <v>0</v>
      </c>
      <c r="P41" s="24">
        <f>VLOOKUP(tblRiskRegister32[[#This Row],[Asset Class]],tblInherentImpacts30[],3,FALSE)</f>
        <v>0</v>
      </c>
      <c r="Q41" s="24">
        <f>VLOOKUP(tblRiskRegister32[[#This Row],[Asset Class]],tblInherentImpacts30[],4,FALSE)</f>
        <v>0</v>
      </c>
      <c r="R41" s="24">
        <f>VLOOKUP(tblRiskRegister32[[#This Row],[Asset Class]],tblInherentImpacts30[],5,FALSE)</f>
        <v>0</v>
      </c>
      <c r="S41" s="24" t="str">
        <f>IFERROR(MAX(tblRiskRegister32[[#This Row],[Impact to Mission]:[Impact to Obligations]])*tblRiskRegister32[[#This Row],[Expectancy Score]],"")</f>
        <v/>
      </c>
      <c r="T41" s="24" t="str">
        <f>tblRiskRegister32[[#This Row],[Risk Score]]</f>
        <v/>
      </c>
      <c r="U41" s="86"/>
      <c r="V41" s="86">
        <v>4.9000000000000004</v>
      </c>
      <c r="W41" s="15" t="s">
        <v>184</v>
      </c>
      <c r="X41" s="15" t="s">
        <v>543</v>
      </c>
      <c r="Y41" s="26"/>
      <c r="Z41" s="16"/>
      <c r="AA41" s="23" t="str">
        <f>IFERROR(VLOOKUP(10*tblRiskRegister32[[#This Row],[Risk Treatment Safeguard Maturity Score]]+tblRiskRegister32[[#This Row],[VCDB Index]],tblHITIndexWeightTable[],4,FALSE),"")</f>
        <v/>
      </c>
      <c r="AB41" s="23">
        <f>VLOOKUP(tblRiskRegister32[[#This Row],[Asset Class]],tblInherentImpacts30[],2,FALSE)</f>
        <v>0</v>
      </c>
      <c r="AC41" s="23">
        <f>VLOOKUP(tblRiskRegister32[[#This Row],[Asset Class]],tblInherentImpacts30[],3,FALSE)</f>
        <v>0</v>
      </c>
      <c r="AD41" s="23">
        <f>VLOOKUP(tblRiskRegister32[[#This Row],[Asset Class]],tblInherentImpacts30[],4,FALSE)</f>
        <v>0</v>
      </c>
      <c r="AE41" s="23">
        <f>VLOOKUP(tblRiskRegister32[[#This Row],[Asset Class]],tblInherentImpacts30[],5,FALSE)</f>
        <v>0</v>
      </c>
      <c r="AF41" s="23" t="str">
        <f>IFERROR(MAX(tblRiskRegister32[[#This Row],[Risk Treatment Safeguard Impact to Mission]:[Risk Treatment Safeguard Impact to Obligations]])*tblRiskRegister32[[#This Row],[Risk Treatment
Safeguard Expectancy Score]],"")</f>
        <v/>
      </c>
      <c r="AG41" s="23" t="str">
        <f>IF(tblRiskRegister32[[#This Row],[Risk Score]]&gt;=AcceptableRisk,IF(tblRiskRegister32[[#This Row],[Risk Treatment Safeguard Risk Score]]&lt;AcceptableRisk, IF(tblRiskRegister32[[#This Row],[Risk Treatment Safeguard Risk Score]]&lt;tblRiskRegister32[[#This Row],[Risk Score]],"Yes","No"),"No"),"Yes")</f>
        <v>No</v>
      </c>
      <c r="AH41" s="17"/>
      <c r="AI41" s="17"/>
      <c r="AJ41" s="18"/>
    </row>
    <row r="42" spans="2:36" ht="84">
      <c r="B42" s="220" t="s">
        <v>91</v>
      </c>
      <c r="C42" s="15"/>
      <c r="D42" s="219">
        <v>4.0999999999999996</v>
      </c>
      <c r="E42" s="14" t="s">
        <v>185</v>
      </c>
      <c r="F42" s="13"/>
      <c r="G42" s="13" t="s">
        <v>429</v>
      </c>
      <c r="H42" s="13" t="s">
        <v>523</v>
      </c>
      <c r="I42" s="15"/>
      <c r="J42" s="15"/>
      <c r="K42" s="15"/>
      <c r="L42" s="16"/>
      <c r="M42" s="24">
        <f>IFERROR(VLOOKUP(tblRiskRegister32[[#This Row],[Asset Class]],tblVCDBIndex[],4,FALSE),"")</f>
        <v>4</v>
      </c>
      <c r="N42" s="24" t="str">
        <f>IFERROR(VLOOKUP(10*tblRiskRegister32[[#This Row],[Safeguard Maturity Score]]+tblRiskRegister32[[#This Row],[VCDB Index]],tblHITIndexWeightTable[],4,FALSE),"")</f>
        <v/>
      </c>
      <c r="O42" s="24">
        <f>VLOOKUP(tblRiskRegister32[[#This Row],[Asset Class]],tblInherentImpacts30[],2,FALSE)</f>
        <v>0</v>
      </c>
      <c r="P42" s="24">
        <f>VLOOKUP(tblRiskRegister32[[#This Row],[Asset Class]],tblInherentImpacts30[],3,FALSE)</f>
        <v>0</v>
      </c>
      <c r="Q42" s="24">
        <f>VLOOKUP(tblRiskRegister32[[#This Row],[Asset Class]],tblInherentImpacts30[],4,FALSE)</f>
        <v>0</v>
      </c>
      <c r="R42" s="24">
        <f>VLOOKUP(tblRiskRegister32[[#This Row],[Asset Class]],tblInherentImpacts30[],5,FALSE)</f>
        <v>0</v>
      </c>
      <c r="S42" s="24" t="str">
        <f>IFERROR(MAX(tblRiskRegister32[[#This Row],[Impact to Mission]:[Impact to Obligations]])*tblRiskRegister32[[#This Row],[Expectancy Score]],"")</f>
        <v/>
      </c>
      <c r="T42" s="24" t="str">
        <f>tblRiskRegister32[[#This Row],[Risk Score]]</f>
        <v/>
      </c>
      <c r="U42" s="86"/>
      <c r="V42" s="219">
        <v>4.0999999999999996</v>
      </c>
      <c r="W42" s="15" t="s">
        <v>185</v>
      </c>
      <c r="X42" s="15" t="s">
        <v>353</v>
      </c>
      <c r="Y42" s="26"/>
      <c r="Z42" s="16"/>
      <c r="AA42" s="23" t="str">
        <f>IFERROR(VLOOKUP(10*tblRiskRegister32[[#This Row],[Risk Treatment Safeguard Maturity Score]]+tblRiskRegister32[[#This Row],[VCDB Index]],tblHITIndexWeightTable[],4,FALSE),"")</f>
        <v/>
      </c>
      <c r="AB42" s="23">
        <f>VLOOKUP(tblRiskRegister32[[#This Row],[Asset Class]],tblInherentImpacts30[],2,FALSE)</f>
        <v>0</v>
      </c>
      <c r="AC42" s="23">
        <f>VLOOKUP(tblRiskRegister32[[#This Row],[Asset Class]],tblInherentImpacts30[],3,FALSE)</f>
        <v>0</v>
      </c>
      <c r="AD42" s="23">
        <f>VLOOKUP(tblRiskRegister32[[#This Row],[Asset Class]],tblInherentImpacts30[],4,FALSE)</f>
        <v>0</v>
      </c>
      <c r="AE42" s="23">
        <f>VLOOKUP(tblRiskRegister32[[#This Row],[Asset Class]],tblInherentImpacts30[],5,FALSE)</f>
        <v>0</v>
      </c>
      <c r="AF42" s="23" t="str">
        <f>IFERROR(MAX(tblRiskRegister32[[#This Row],[Risk Treatment Safeguard Impact to Mission]:[Risk Treatment Safeguard Impact to Obligations]])*tblRiskRegister32[[#This Row],[Risk Treatment
Safeguard Expectancy Score]],"")</f>
        <v/>
      </c>
      <c r="AG42" s="23" t="str">
        <f>IF(tblRiskRegister32[[#This Row],[Risk Score]]&gt;=AcceptableRisk,IF(tblRiskRegister32[[#This Row],[Risk Treatment Safeguard Risk Score]]&lt;AcceptableRisk, IF(tblRiskRegister32[[#This Row],[Risk Treatment Safeguard Risk Score]]&lt;tblRiskRegister32[[#This Row],[Risk Score]],"Yes","No"),"No"),"Yes")</f>
        <v>No</v>
      </c>
      <c r="AH42" s="17"/>
      <c r="AI42" s="17"/>
      <c r="AJ42" s="18"/>
    </row>
    <row r="43" spans="2:36" ht="42">
      <c r="B43" s="220" t="s">
        <v>90</v>
      </c>
      <c r="C43" s="15"/>
      <c r="D43" s="86">
        <v>4.1100000000000003</v>
      </c>
      <c r="E43" s="14" t="s">
        <v>186</v>
      </c>
      <c r="F43" s="13"/>
      <c r="G43" s="13" t="s">
        <v>429</v>
      </c>
      <c r="H43" s="13" t="s">
        <v>523</v>
      </c>
      <c r="I43" s="15"/>
      <c r="J43" s="15"/>
      <c r="K43" s="15"/>
      <c r="L43" s="16"/>
      <c r="M43" s="24">
        <f>IFERROR(VLOOKUP(tblRiskRegister32[[#This Row],[Asset Class]],tblVCDBIndex[],4,FALSE),"")</f>
        <v>2</v>
      </c>
      <c r="N43" s="24" t="str">
        <f>IFERROR(VLOOKUP(10*tblRiskRegister32[[#This Row],[Safeguard Maturity Score]]+tblRiskRegister32[[#This Row],[VCDB Index]],tblHITIndexWeightTable[],4,FALSE),"")</f>
        <v/>
      </c>
      <c r="O43" s="24">
        <f>VLOOKUP(tblRiskRegister32[[#This Row],[Asset Class]],tblInherentImpacts30[],2,FALSE)</f>
        <v>0</v>
      </c>
      <c r="P43" s="24">
        <f>VLOOKUP(tblRiskRegister32[[#This Row],[Asset Class]],tblInherentImpacts30[],3,FALSE)</f>
        <v>0</v>
      </c>
      <c r="Q43" s="24">
        <f>VLOOKUP(tblRiskRegister32[[#This Row],[Asset Class]],tblInherentImpacts30[],4,FALSE)</f>
        <v>0</v>
      </c>
      <c r="R43" s="24">
        <f>VLOOKUP(tblRiskRegister32[[#This Row],[Asset Class]],tblInherentImpacts30[],5,FALSE)</f>
        <v>0</v>
      </c>
      <c r="S43" s="24" t="str">
        <f>IFERROR(MAX(tblRiskRegister32[[#This Row],[Impact to Mission]:[Impact to Obligations]])*tblRiskRegister32[[#This Row],[Expectancy Score]],"")</f>
        <v/>
      </c>
      <c r="T43" s="24" t="str">
        <f>tblRiskRegister32[[#This Row],[Risk Score]]</f>
        <v/>
      </c>
      <c r="U43" s="86"/>
      <c r="V43" s="86">
        <v>4.1100000000000003</v>
      </c>
      <c r="W43" s="15" t="s">
        <v>186</v>
      </c>
      <c r="X43" s="15" t="s">
        <v>354</v>
      </c>
      <c r="Y43" s="26"/>
      <c r="Z43" s="16"/>
      <c r="AA43" s="23" t="str">
        <f>IFERROR(VLOOKUP(10*tblRiskRegister32[[#This Row],[Risk Treatment Safeguard Maturity Score]]+tblRiskRegister32[[#This Row],[VCDB Index]],tblHITIndexWeightTable[],4,FALSE),"")</f>
        <v/>
      </c>
      <c r="AB43" s="23">
        <f>VLOOKUP(tblRiskRegister32[[#This Row],[Asset Class]],tblInherentImpacts30[],2,FALSE)</f>
        <v>0</v>
      </c>
      <c r="AC43" s="23">
        <f>VLOOKUP(tblRiskRegister32[[#This Row],[Asset Class]],tblInherentImpacts30[],3,FALSE)</f>
        <v>0</v>
      </c>
      <c r="AD43" s="23">
        <f>VLOOKUP(tblRiskRegister32[[#This Row],[Asset Class]],tblInherentImpacts30[],4,FALSE)</f>
        <v>0</v>
      </c>
      <c r="AE43" s="23">
        <f>VLOOKUP(tblRiskRegister32[[#This Row],[Asset Class]],tblInherentImpacts30[],5,FALSE)</f>
        <v>0</v>
      </c>
      <c r="AF43" s="23" t="str">
        <f>IFERROR(MAX(tblRiskRegister32[[#This Row],[Risk Treatment Safeguard Impact to Mission]:[Risk Treatment Safeguard Impact to Obligations]])*tblRiskRegister32[[#This Row],[Risk Treatment
Safeguard Expectancy Score]],"")</f>
        <v/>
      </c>
      <c r="AG43" s="23" t="str">
        <f>IF(tblRiskRegister32[[#This Row],[Risk Score]]&gt;=AcceptableRisk,IF(tblRiskRegister32[[#This Row],[Risk Treatment Safeguard Risk Score]]&lt;AcceptableRisk, IF(tblRiskRegister32[[#This Row],[Risk Treatment Safeguard Risk Score]]&lt;tblRiskRegister32[[#This Row],[Risk Score]],"Yes","No"),"No"),"Yes")</f>
        <v>No</v>
      </c>
      <c r="AH43" s="17"/>
      <c r="AI43" s="17"/>
      <c r="AJ43" s="18"/>
    </row>
    <row r="44" spans="2:36" ht="70">
      <c r="B44" s="220" t="s">
        <v>93</v>
      </c>
      <c r="C44" s="15"/>
      <c r="D44" s="86">
        <v>5.0999999999999996</v>
      </c>
      <c r="E44" s="14" t="s">
        <v>55</v>
      </c>
      <c r="F44" s="13" t="s">
        <v>429</v>
      </c>
      <c r="G44" s="13" t="s">
        <v>429</v>
      </c>
      <c r="H44" s="13" t="s">
        <v>521</v>
      </c>
      <c r="I44" s="15"/>
      <c r="J44" s="15"/>
      <c r="K44" s="15"/>
      <c r="L44" s="16"/>
      <c r="M44" s="24">
        <f>IFERROR(VLOOKUP(tblRiskRegister32[[#This Row],[Asset Class]],tblVCDBIndex[],4,FALSE),"")</f>
        <v>2</v>
      </c>
      <c r="N44" s="24" t="str">
        <f>IFERROR(VLOOKUP(10*tblRiskRegister32[[#This Row],[Safeguard Maturity Score]]+tblRiskRegister32[[#This Row],[VCDB Index]],tblHITIndexWeightTable[],4,FALSE),"")</f>
        <v/>
      </c>
      <c r="O44" s="24">
        <f>VLOOKUP(tblRiskRegister32[[#This Row],[Asset Class]],tblInherentImpacts30[],2,FALSE)</f>
        <v>0</v>
      </c>
      <c r="P44" s="24">
        <f>VLOOKUP(tblRiskRegister32[[#This Row],[Asset Class]],tblInherentImpacts30[],3,FALSE)</f>
        <v>0</v>
      </c>
      <c r="Q44" s="24">
        <f>VLOOKUP(tblRiskRegister32[[#This Row],[Asset Class]],tblInherentImpacts30[],4,FALSE)</f>
        <v>0</v>
      </c>
      <c r="R44" s="24">
        <f>VLOOKUP(tblRiskRegister32[[#This Row],[Asset Class]],tblInherentImpacts30[],5,FALSE)</f>
        <v>0</v>
      </c>
      <c r="S44" s="24" t="str">
        <f>IFERROR(MAX(tblRiskRegister32[[#This Row],[Impact to Mission]:[Impact to Obligations]])*tblRiskRegister32[[#This Row],[Expectancy Score]],"")</f>
        <v/>
      </c>
      <c r="T44" s="24" t="str">
        <f>tblRiskRegister32[[#This Row],[Risk Score]]</f>
        <v/>
      </c>
      <c r="U44" s="86"/>
      <c r="V44" s="86">
        <v>5.0999999999999996</v>
      </c>
      <c r="W44" s="15" t="s">
        <v>55</v>
      </c>
      <c r="X44" s="15" t="s">
        <v>544</v>
      </c>
      <c r="Y44" s="26"/>
      <c r="Z44" s="16"/>
      <c r="AA44" s="23" t="str">
        <f>IFERROR(VLOOKUP(10*tblRiskRegister32[[#This Row],[Risk Treatment Safeguard Maturity Score]]+tblRiskRegister32[[#This Row],[VCDB Index]],tblHITIndexWeightTable[],4,FALSE),"")</f>
        <v/>
      </c>
      <c r="AB44" s="23">
        <f>VLOOKUP(tblRiskRegister32[[#This Row],[Asset Class]],tblInherentImpacts30[],2,FALSE)</f>
        <v>0</v>
      </c>
      <c r="AC44" s="23">
        <f>VLOOKUP(tblRiskRegister32[[#This Row],[Asset Class]],tblInherentImpacts30[],3,FALSE)</f>
        <v>0</v>
      </c>
      <c r="AD44" s="23">
        <f>VLOOKUP(tblRiskRegister32[[#This Row],[Asset Class]],tblInherentImpacts30[],4,FALSE)</f>
        <v>0</v>
      </c>
      <c r="AE44" s="23">
        <f>VLOOKUP(tblRiskRegister32[[#This Row],[Asset Class]],tblInherentImpacts30[],5,FALSE)</f>
        <v>0</v>
      </c>
      <c r="AF44" s="23" t="str">
        <f>IFERROR(MAX(tblRiskRegister32[[#This Row],[Risk Treatment Safeguard Impact to Mission]:[Risk Treatment Safeguard Impact to Obligations]])*tblRiskRegister32[[#This Row],[Risk Treatment
Safeguard Expectancy Score]],"")</f>
        <v/>
      </c>
      <c r="AG44" s="23" t="str">
        <f>IF(tblRiskRegister32[[#This Row],[Risk Score]]&gt;=AcceptableRisk,IF(tblRiskRegister32[[#This Row],[Risk Treatment Safeguard Risk Score]]&lt;AcceptableRisk, IF(tblRiskRegister32[[#This Row],[Risk Treatment Safeguard Risk Score]]&lt;tblRiskRegister32[[#This Row],[Risk Score]],"Yes","No"),"No"),"Yes")</f>
        <v>No</v>
      </c>
      <c r="AH44" s="17"/>
      <c r="AI44" s="17"/>
      <c r="AJ44" s="18"/>
    </row>
    <row r="45" spans="2:36" ht="42">
      <c r="B45" s="220" t="s">
        <v>93</v>
      </c>
      <c r="C45" s="15"/>
      <c r="D45" s="86">
        <v>5.2</v>
      </c>
      <c r="E45" s="14" t="s">
        <v>14</v>
      </c>
      <c r="F45" s="13" t="s">
        <v>429</v>
      </c>
      <c r="G45" s="13" t="s">
        <v>429</v>
      </c>
      <c r="H45" s="13" t="s">
        <v>523</v>
      </c>
      <c r="I45" s="15"/>
      <c r="J45" s="15"/>
      <c r="K45" s="15"/>
      <c r="L45" s="16"/>
      <c r="M45" s="24">
        <f>IFERROR(VLOOKUP(tblRiskRegister32[[#This Row],[Asset Class]],tblVCDBIndex[],4,FALSE),"")</f>
        <v>2</v>
      </c>
      <c r="N45" s="24" t="str">
        <f>IFERROR(VLOOKUP(10*tblRiskRegister32[[#This Row],[Safeguard Maturity Score]]+tblRiskRegister32[[#This Row],[VCDB Index]],tblHITIndexWeightTable[],4,FALSE),"")</f>
        <v/>
      </c>
      <c r="O45" s="24">
        <f>VLOOKUP(tblRiskRegister32[[#This Row],[Asset Class]],tblInherentImpacts30[],2,FALSE)</f>
        <v>0</v>
      </c>
      <c r="P45" s="24">
        <f>VLOOKUP(tblRiskRegister32[[#This Row],[Asset Class]],tblInherentImpacts30[],3,FALSE)</f>
        <v>0</v>
      </c>
      <c r="Q45" s="24">
        <f>VLOOKUP(tblRiskRegister32[[#This Row],[Asset Class]],tblInherentImpacts30[],4,FALSE)</f>
        <v>0</v>
      </c>
      <c r="R45" s="24">
        <f>VLOOKUP(tblRiskRegister32[[#This Row],[Asset Class]],tblInherentImpacts30[],5,FALSE)</f>
        <v>0</v>
      </c>
      <c r="S45" s="24" t="str">
        <f>IFERROR(MAX(tblRiskRegister32[[#This Row],[Impact to Mission]:[Impact to Obligations]])*tblRiskRegister32[[#This Row],[Expectancy Score]],"")</f>
        <v/>
      </c>
      <c r="T45" s="24" t="str">
        <f>tblRiskRegister32[[#This Row],[Risk Score]]</f>
        <v/>
      </c>
      <c r="U45" s="86"/>
      <c r="V45" s="86">
        <v>5.2</v>
      </c>
      <c r="W45" s="15" t="s">
        <v>14</v>
      </c>
      <c r="X45" s="15" t="s">
        <v>545</v>
      </c>
      <c r="Y45" s="26"/>
      <c r="Z45" s="16"/>
      <c r="AA45" s="23" t="str">
        <f>IFERROR(VLOOKUP(10*tblRiskRegister32[[#This Row],[Risk Treatment Safeguard Maturity Score]]+tblRiskRegister32[[#This Row],[VCDB Index]],tblHITIndexWeightTable[],4,FALSE),"")</f>
        <v/>
      </c>
      <c r="AB45" s="23">
        <f>VLOOKUP(tblRiskRegister32[[#This Row],[Asset Class]],tblInherentImpacts30[],2,FALSE)</f>
        <v>0</v>
      </c>
      <c r="AC45" s="23">
        <f>VLOOKUP(tblRiskRegister32[[#This Row],[Asset Class]],tblInherentImpacts30[],3,FALSE)</f>
        <v>0</v>
      </c>
      <c r="AD45" s="23">
        <f>VLOOKUP(tblRiskRegister32[[#This Row],[Asset Class]],tblInherentImpacts30[],4,FALSE)</f>
        <v>0</v>
      </c>
      <c r="AE45" s="23">
        <f>VLOOKUP(tblRiskRegister32[[#This Row],[Asset Class]],tblInherentImpacts30[],5,FALSE)</f>
        <v>0</v>
      </c>
      <c r="AF45" s="23" t="str">
        <f>IFERROR(MAX(tblRiskRegister32[[#This Row],[Risk Treatment Safeguard Impact to Mission]:[Risk Treatment Safeguard Impact to Obligations]])*tblRiskRegister32[[#This Row],[Risk Treatment
Safeguard Expectancy Score]],"")</f>
        <v/>
      </c>
      <c r="AG45" s="23" t="str">
        <f>IF(tblRiskRegister32[[#This Row],[Risk Score]]&gt;=AcceptableRisk,IF(tblRiskRegister32[[#This Row],[Risk Treatment Safeguard Risk Score]]&lt;AcceptableRisk, IF(tblRiskRegister32[[#This Row],[Risk Treatment Safeguard Risk Score]]&lt;tblRiskRegister32[[#This Row],[Risk Score]],"Yes","No"),"No"),"Yes")</f>
        <v>No</v>
      </c>
      <c r="AH45" s="17"/>
      <c r="AI45" s="17"/>
      <c r="AJ45" s="18"/>
    </row>
    <row r="46" spans="2:36" ht="28">
      <c r="B46" s="220" t="s">
        <v>93</v>
      </c>
      <c r="C46" s="15"/>
      <c r="D46" s="86">
        <v>5.3</v>
      </c>
      <c r="E46" s="14" t="s">
        <v>16</v>
      </c>
      <c r="F46" s="13" t="s">
        <v>429</v>
      </c>
      <c r="G46" s="13" t="s">
        <v>429</v>
      </c>
      <c r="H46" s="13" t="s">
        <v>523</v>
      </c>
      <c r="I46" s="15"/>
      <c r="J46" s="15"/>
      <c r="K46" s="15"/>
      <c r="L46" s="16"/>
      <c r="M46" s="24">
        <f>IFERROR(VLOOKUP(tblRiskRegister32[[#This Row],[Asset Class]],tblVCDBIndex[],4,FALSE),"")</f>
        <v>2</v>
      </c>
      <c r="N46" s="24" t="str">
        <f>IFERROR(VLOOKUP(10*tblRiskRegister32[[#This Row],[Safeguard Maturity Score]]+tblRiskRegister32[[#This Row],[VCDB Index]],tblHITIndexWeightTable[],4,FALSE),"")</f>
        <v/>
      </c>
      <c r="O46" s="24">
        <f>VLOOKUP(tblRiskRegister32[[#This Row],[Asset Class]],tblInherentImpacts30[],2,FALSE)</f>
        <v>0</v>
      </c>
      <c r="P46" s="24">
        <f>VLOOKUP(tblRiskRegister32[[#This Row],[Asset Class]],tblInherentImpacts30[],3,FALSE)</f>
        <v>0</v>
      </c>
      <c r="Q46" s="24">
        <f>VLOOKUP(tblRiskRegister32[[#This Row],[Asset Class]],tblInherentImpacts30[],4,FALSE)</f>
        <v>0</v>
      </c>
      <c r="R46" s="24">
        <f>VLOOKUP(tblRiskRegister32[[#This Row],[Asset Class]],tblInherentImpacts30[],5,FALSE)</f>
        <v>0</v>
      </c>
      <c r="S46" s="24" t="str">
        <f>IFERROR(MAX(tblRiskRegister32[[#This Row],[Impact to Mission]:[Impact to Obligations]])*tblRiskRegister32[[#This Row],[Expectancy Score]],"")</f>
        <v/>
      </c>
      <c r="T46" s="24" t="str">
        <f>tblRiskRegister32[[#This Row],[Risk Score]]</f>
        <v/>
      </c>
      <c r="U46" s="86"/>
      <c r="V46" s="86">
        <v>5.3</v>
      </c>
      <c r="W46" s="15" t="s">
        <v>16</v>
      </c>
      <c r="X46" s="15" t="s">
        <v>355</v>
      </c>
      <c r="Y46" s="26"/>
      <c r="Z46" s="16"/>
      <c r="AA46" s="23" t="str">
        <f>IFERROR(VLOOKUP(10*tblRiskRegister32[[#This Row],[Risk Treatment Safeguard Maturity Score]]+tblRiskRegister32[[#This Row],[VCDB Index]],tblHITIndexWeightTable[],4,FALSE),"")</f>
        <v/>
      </c>
      <c r="AB46" s="23">
        <f>VLOOKUP(tblRiskRegister32[[#This Row],[Asset Class]],tblInherentImpacts30[],2,FALSE)</f>
        <v>0</v>
      </c>
      <c r="AC46" s="23">
        <f>VLOOKUP(tblRiskRegister32[[#This Row],[Asset Class]],tblInherentImpacts30[],3,FALSE)</f>
        <v>0</v>
      </c>
      <c r="AD46" s="23">
        <f>VLOOKUP(tblRiskRegister32[[#This Row],[Asset Class]],tblInherentImpacts30[],4,FALSE)</f>
        <v>0</v>
      </c>
      <c r="AE46" s="23">
        <f>VLOOKUP(tblRiskRegister32[[#This Row],[Asset Class]],tblInherentImpacts30[],5,FALSE)</f>
        <v>0</v>
      </c>
      <c r="AF46" s="23" t="str">
        <f>IFERROR(MAX(tblRiskRegister32[[#This Row],[Risk Treatment Safeguard Impact to Mission]:[Risk Treatment Safeguard Impact to Obligations]])*tblRiskRegister32[[#This Row],[Risk Treatment
Safeguard Expectancy Score]],"")</f>
        <v/>
      </c>
      <c r="AG46" s="23" t="str">
        <f>IF(tblRiskRegister32[[#This Row],[Risk Score]]&gt;=AcceptableRisk,IF(tblRiskRegister32[[#This Row],[Risk Treatment Safeguard Risk Score]]&lt;AcceptableRisk, IF(tblRiskRegister32[[#This Row],[Risk Treatment Safeguard Risk Score]]&lt;tblRiskRegister32[[#This Row],[Risk Score]],"Yes","No"),"No"),"Yes")</f>
        <v>No</v>
      </c>
      <c r="AH46" s="17"/>
      <c r="AI46" s="17"/>
      <c r="AJ46" s="18"/>
    </row>
    <row r="47" spans="2:36" ht="42">
      <c r="B47" s="220" t="s">
        <v>93</v>
      </c>
      <c r="C47" s="15"/>
      <c r="D47" s="86">
        <v>5.4</v>
      </c>
      <c r="E47" s="14" t="s">
        <v>56</v>
      </c>
      <c r="F47" s="13" t="s">
        <v>429</v>
      </c>
      <c r="G47" s="13" t="s">
        <v>429</v>
      </c>
      <c r="H47" s="13" t="s">
        <v>523</v>
      </c>
      <c r="I47" s="15"/>
      <c r="J47" s="15"/>
      <c r="K47" s="15"/>
      <c r="L47" s="16"/>
      <c r="M47" s="24">
        <f>IFERROR(VLOOKUP(tblRiskRegister32[[#This Row],[Asset Class]],tblVCDBIndex[],4,FALSE),"")</f>
        <v>2</v>
      </c>
      <c r="N47" s="24" t="str">
        <f>IFERROR(VLOOKUP(10*tblRiskRegister32[[#This Row],[Safeguard Maturity Score]]+tblRiskRegister32[[#This Row],[VCDB Index]],tblHITIndexWeightTable[],4,FALSE),"")</f>
        <v/>
      </c>
      <c r="O47" s="24">
        <f>VLOOKUP(tblRiskRegister32[[#This Row],[Asset Class]],tblInherentImpacts30[],2,FALSE)</f>
        <v>0</v>
      </c>
      <c r="P47" s="24">
        <f>VLOOKUP(tblRiskRegister32[[#This Row],[Asset Class]],tblInherentImpacts30[],3,FALSE)</f>
        <v>0</v>
      </c>
      <c r="Q47" s="24">
        <f>VLOOKUP(tblRiskRegister32[[#This Row],[Asset Class]],tblInherentImpacts30[],4,FALSE)</f>
        <v>0</v>
      </c>
      <c r="R47" s="24">
        <f>VLOOKUP(tblRiskRegister32[[#This Row],[Asset Class]],tblInherentImpacts30[],5,FALSE)</f>
        <v>0</v>
      </c>
      <c r="S47" s="24" t="str">
        <f>IFERROR(MAX(tblRiskRegister32[[#This Row],[Impact to Mission]:[Impact to Obligations]])*tblRiskRegister32[[#This Row],[Expectancy Score]],"")</f>
        <v/>
      </c>
      <c r="T47" s="24" t="str">
        <f>tblRiskRegister32[[#This Row],[Risk Score]]</f>
        <v/>
      </c>
      <c r="U47" s="86"/>
      <c r="V47" s="86">
        <v>5.4</v>
      </c>
      <c r="W47" s="15" t="s">
        <v>56</v>
      </c>
      <c r="X47" s="15" t="s">
        <v>356</v>
      </c>
      <c r="Y47" s="26"/>
      <c r="Z47" s="16"/>
      <c r="AA47" s="23" t="str">
        <f>IFERROR(VLOOKUP(10*tblRiskRegister32[[#This Row],[Risk Treatment Safeguard Maturity Score]]+tblRiskRegister32[[#This Row],[VCDB Index]],tblHITIndexWeightTable[],4,FALSE),"")</f>
        <v/>
      </c>
      <c r="AB47" s="23">
        <f>VLOOKUP(tblRiskRegister32[[#This Row],[Asset Class]],tblInherentImpacts30[],2,FALSE)</f>
        <v>0</v>
      </c>
      <c r="AC47" s="23">
        <f>VLOOKUP(tblRiskRegister32[[#This Row],[Asset Class]],tblInherentImpacts30[],3,FALSE)</f>
        <v>0</v>
      </c>
      <c r="AD47" s="23">
        <f>VLOOKUP(tblRiskRegister32[[#This Row],[Asset Class]],tblInherentImpacts30[],4,FALSE)</f>
        <v>0</v>
      </c>
      <c r="AE47" s="23">
        <f>VLOOKUP(tblRiskRegister32[[#This Row],[Asset Class]],tblInherentImpacts30[],5,FALSE)</f>
        <v>0</v>
      </c>
      <c r="AF47" s="23" t="str">
        <f>IFERROR(MAX(tblRiskRegister32[[#This Row],[Risk Treatment Safeguard Impact to Mission]:[Risk Treatment Safeguard Impact to Obligations]])*tblRiskRegister32[[#This Row],[Risk Treatment
Safeguard Expectancy Score]],"")</f>
        <v/>
      </c>
      <c r="AG47" s="23" t="str">
        <f>IF(tblRiskRegister32[[#This Row],[Risk Score]]&gt;=AcceptableRisk,IF(tblRiskRegister32[[#This Row],[Risk Treatment Safeguard Risk Score]]&lt;AcceptableRisk, IF(tblRiskRegister32[[#This Row],[Risk Treatment Safeguard Risk Score]]&lt;tblRiskRegister32[[#This Row],[Risk Score]],"Yes","No"),"No"),"Yes")</f>
        <v>No</v>
      </c>
      <c r="AH47" s="17"/>
      <c r="AI47" s="17"/>
      <c r="AJ47" s="18"/>
    </row>
    <row r="48" spans="2:36" ht="56">
      <c r="B48" s="220" t="s">
        <v>93</v>
      </c>
      <c r="C48" s="15"/>
      <c r="D48" s="86">
        <v>5.5</v>
      </c>
      <c r="E48" s="14" t="s">
        <v>227</v>
      </c>
      <c r="F48" s="13"/>
      <c r="G48" s="13" t="s">
        <v>429</v>
      </c>
      <c r="H48" s="13" t="s">
        <v>521</v>
      </c>
      <c r="I48" s="15"/>
      <c r="J48" s="15"/>
      <c r="K48" s="15"/>
      <c r="L48" s="16"/>
      <c r="M48" s="24">
        <f>IFERROR(VLOOKUP(tblRiskRegister32[[#This Row],[Asset Class]],tblVCDBIndex[],4,FALSE),"")</f>
        <v>2</v>
      </c>
      <c r="N48" s="24" t="str">
        <f>IFERROR(VLOOKUP(10*tblRiskRegister32[[#This Row],[Safeguard Maturity Score]]+tblRiskRegister32[[#This Row],[VCDB Index]],tblHITIndexWeightTable[],4,FALSE),"")</f>
        <v/>
      </c>
      <c r="O48" s="24">
        <f>VLOOKUP(tblRiskRegister32[[#This Row],[Asset Class]],tblInherentImpacts30[],2,FALSE)</f>
        <v>0</v>
      </c>
      <c r="P48" s="24">
        <f>VLOOKUP(tblRiskRegister32[[#This Row],[Asset Class]],tblInherentImpacts30[],3,FALSE)</f>
        <v>0</v>
      </c>
      <c r="Q48" s="24">
        <f>VLOOKUP(tblRiskRegister32[[#This Row],[Asset Class]],tblInherentImpacts30[],4,FALSE)</f>
        <v>0</v>
      </c>
      <c r="R48" s="24">
        <f>VLOOKUP(tblRiskRegister32[[#This Row],[Asset Class]],tblInherentImpacts30[],5,FALSE)</f>
        <v>0</v>
      </c>
      <c r="S48" s="24" t="str">
        <f>IFERROR(MAX(tblRiskRegister32[[#This Row],[Impact to Mission]:[Impact to Obligations]])*tblRiskRegister32[[#This Row],[Expectancy Score]],"")</f>
        <v/>
      </c>
      <c r="T48" s="24" t="str">
        <f>tblRiskRegister32[[#This Row],[Risk Score]]</f>
        <v/>
      </c>
      <c r="U48" s="86"/>
      <c r="V48" s="86">
        <v>5.5</v>
      </c>
      <c r="W48" s="15" t="s">
        <v>227</v>
      </c>
      <c r="X48" s="15" t="s">
        <v>357</v>
      </c>
      <c r="Y48" s="26"/>
      <c r="Z48" s="16"/>
      <c r="AA48" s="23" t="str">
        <f>IFERROR(VLOOKUP(10*tblRiskRegister32[[#This Row],[Risk Treatment Safeguard Maturity Score]]+tblRiskRegister32[[#This Row],[VCDB Index]],tblHITIndexWeightTable[],4,FALSE),"")</f>
        <v/>
      </c>
      <c r="AB48" s="23">
        <f>VLOOKUP(tblRiskRegister32[[#This Row],[Asset Class]],tblInherentImpacts30[],2,FALSE)</f>
        <v>0</v>
      </c>
      <c r="AC48" s="23">
        <f>VLOOKUP(tblRiskRegister32[[#This Row],[Asset Class]],tblInherentImpacts30[],3,FALSE)</f>
        <v>0</v>
      </c>
      <c r="AD48" s="23">
        <f>VLOOKUP(tblRiskRegister32[[#This Row],[Asset Class]],tblInherentImpacts30[],4,FALSE)</f>
        <v>0</v>
      </c>
      <c r="AE48" s="23">
        <f>VLOOKUP(tblRiskRegister32[[#This Row],[Asset Class]],tblInherentImpacts30[],5,FALSE)</f>
        <v>0</v>
      </c>
      <c r="AF48" s="23" t="str">
        <f>IFERROR(MAX(tblRiskRegister32[[#This Row],[Risk Treatment Safeguard Impact to Mission]:[Risk Treatment Safeguard Impact to Obligations]])*tblRiskRegister32[[#This Row],[Risk Treatment
Safeguard Expectancy Score]],"")</f>
        <v/>
      </c>
      <c r="AG48" s="23" t="str">
        <f>IF(tblRiskRegister32[[#This Row],[Risk Score]]&gt;=AcceptableRisk,IF(tblRiskRegister32[[#This Row],[Risk Treatment Safeguard Risk Score]]&lt;AcceptableRisk, IF(tblRiskRegister32[[#This Row],[Risk Treatment Safeguard Risk Score]]&lt;tblRiskRegister32[[#This Row],[Risk Score]],"Yes","No"),"No"),"Yes")</f>
        <v>No</v>
      </c>
      <c r="AH48" s="17"/>
      <c r="AI48" s="17"/>
      <c r="AJ48" s="18"/>
    </row>
    <row r="49" spans="2:36" ht="28">
      <c r="B49" s="220" t="s">
        <v>93</v>
      </c>
      <c r="C49" s="15"/>
      <c r="D49" s="86">
        <v>5.6</v>
      </c>
      <c r="E49" s="14" t="s">
        <v>228</v>
      </c>
      <c r="F49" s="13"/>
      <c r="G49" s="13" t="s">
        <v>429</v>
      </c>
      <c r="H49" s="13" t="s">
        <v>532</v>
      </c>
      <c r="I49" s="15"/>
      <c r="J49" s="15"/>
      <c r="K49" s="15"/>
      <c r="L49" s="16"/>
      <c r="M49" s="24">
        <f>IFERROR(VLOOKUP(tblRiskRegister32[[#This Row],[Asset Class]],tblVCDBIndex[],4,FALSE),"")</f>
        <v>2</v>
      </c>
      <c r="N49" s="24" t="str">
        <f>IFERROR(VLOOKUP(10*tblRiskRegister32[[#This Row],[Safeguard Maturity Score]]+tblRiskRegister32[[#This Row],[VCDB Index]],tblHITIndexWeightTable[],4,FALSE),"")</f>
        <v/>
      </c>
      <c r="O49" s="24">
        <f>VLOOKUP(tblRiskRegister32[[#This Row],[Asset Class]],tblInherentImpacts30[],2,FALSE)</f>
        <v>0</v>
      </c>
      <c r="P49" s="24">
        <f>VLOOKUP(tblRiskRegister32[[#This Row],[Asset Class]],tblInherentImpacts30[],3,FALSE)</f>
        <v>0</v>
      </c>
      <c r="Q49" s="24">
        <f>VLOOKUP(tblRiskRegister32[[#This Row],[Asset Class]],tblInherentImpacts30[],4,FALSE)</f>
        <v>0</v>
      </c>
      <c r="R49" s="24">
        <f>VLOOKUP(tblRiskRegister32[[#This Row],[Asset Class]],tblInherentImpacts30[],5,FALSE)</f>
        <v>0</v>
      </c>
      <c r="S49" s="24" t="str">
        <f>IFERROR(MAX(tblRiskRegister32[[#This Row],[Impact to Mission]:[Impact to Obligations]])*tblRiskRegister32[[#This Row],[Expectancy Score]],"")</f>
        <v/>
      </c>
      <c r="T49" s="24" t="str">
        <f>tblRiskRegister32[[#This Row],[Risk Score]]</f>
        <v/>
      </c>
      <c r="U49" s="86"/>
      <c r="V49" s="86">
        <v>5.6</v>
      </c>
      <c r="W49" s="15" t="s">
        <v>228</v>
      </c>
      <c r="X49" s="15" t="s">
        <v>358</v>
      </c>
      <c r="Y49" s="26"/>
      <c r="Z49" s="16"/>
      <c r="AA49" s="23" t="str">
        <f>IFERROR(VLOOKUP(10*tblRiskRegister32[[#This Row],[Risk Treatment Safeguard Maturity Score]]+tblRiskRegister32[[#This Row],[VCDB Index]],tblHITIndexWeightTable[],4,FALSE),"")</f>
        <v/>
      </c>
      <c r="AB49" s="23">
        <f>VLOOKUP(tblRiskRegister32[[#This Row],[Asset Class]],tblInherentImpacts30[],2,FALSE)</f>
        <v>0</v>
      </c>
      <c r="AC49" s="23">
        <f>VLOOKUP(tblRiskRegister32[[#This Row],[Asset Class]],tblInherentImpacts30[],3,FALSE)</f>
        <v>0</v>
      </c>
      <c r="AD49" s="23">
        <f>VLOOKUP(tblRiskRegister32[[#This Row],[Asset Class]],tblInherentImpacts30[],4,FALSE)</f>
        <v>0</v>
      </c>
      <c r="AE49" s="23">
        <f>VLOOKUP(tblRiskRegister32[[#This Row],[Asset Class]],tblInherentImpacts30[],5,FALSE)</f>
        <v>0</v>
      </c>
      <c r="AF49" s="23" t="str">
        <f>IFERROR(MAX(tblRiskRegister32[[#This Row],[Risk Treatment Safeguard Impact to Mission]:[Risk Treatment Safeguard Impact to Obligations]])*tblRiskRegister32[[#This Row],[Risk Treatment
Safeguard Expectancy Score]],"")</f>
        <v/>
      </c>
      <c r="AG49" s="23" t="str">
        <f>IF(tblRiskRegister32[[#This Row],[Risk Score]]&gt;=AcceptableRisk,IF(tblRiskRegister32[[#This Row],[Risk Treatment Safeguard Risk Score]]&lt;AcceptableRisk, IF(tblRiskRegister32[[#This Row],[Risk Treatment Safeguard Risk Score]]&lt;tblRiskRegister32[[#This Row],[Risk Score]],"Yes","No"),"No"),"Yes")</f>
        <v>No</v>
      </c>
      <c r="AH49" s="17"/>
      <c r="AI49" s="17"/>
      <c r="AJ49" s="18"/>
    </row>
    <row r="50" spans="2:36" ht="28">
      <c r="B50" s="220" t="s">
        <v>528</v>
      </c>
      <c r="C50" s="15"/>
      <c r="D50" s="86">
        <v>6.1</v>
      </c>
      <c r="E50" s="14" t="s">
        <v>57</v>
      </c>
      <c r="F50" s="13" t="s">
        <v>429</v>
      </c>
      <c r="G50" s="13" t="s">
        <v>429</v>
      </c>
      <c r="H50" s="13" t="s">
        <v>532</v>
      </c>
      <c r="I50" s="15"/>
      <c r="J50" s="15"/>
      <c r="K50" s="15"/>
      <c r="L50" s="16"/>
      <c r="M50" s="24">
        <f>IFERROR(VLOOKUP(tblRiskRegister32[[#This Row],[Asset Class]],tblVCDBIndex[],4,FALSE),"")</f>
        <v>2</v>
      </c>
      <c r="N50" s="24" t="str">
        <f>IFERROR(VLOOKUP(10*tblRiskRegister32[[#This Row],[Safeguard Maturity Score]]+tblRiskRegister32[[#This Row],[VCDB Index]],tblHITIndexWeightTable[],4,FALSE),"")</f>
        <v/>
      </c>
      <c r="O50" s="24">
        <f>VLOOKUP(tblRiskRegister32[[#This Row],[Asset Class]],tblInherentImpacts30[],2,FALSE)</f>
        <v>0</v>
      </c>
      <c r="P50" s="24">
        <f>VLOOKUP(tblRiskRegister32[[#This Row],[Asset Class]],tblInherentImpacts30[],3,FALSE)</f>
        <v>0</v>
      </c>
      <c r="Q50" s="24">
        <f>VLOOKUP(tblRiskRegister32[[#This Row],[Asset Class]],tblInherentImpacts30[],4,FALSE)</f>
        <v>0</v>
      </c>
      <c r="R50" s="24">
        <f>VLOOKUP(tblRiskRegister32[[#This Row],[Asset Class]],tblInherentImpacts30[],5,FALSE)</f>
        <v>0</v>
      </c>
      <c r="S50" s="24" t="str">
        <f>IFERROR(MAX(tblRiskRegister32[[#This Row],[Impact to Mission]:[Impact to Obligations]])*tblRiskRegister32[[#This Row],[Expectancy Score]],"")</f>
        <v/>
      </c>
      <c r="T50" s="24" t="str">
        <f>tblRiskRegister32[[#This Row],[Risk Score]]</f>
        <v/>
      </c>
      <c r="U50" s="86"/>
      <c r="V50" s="86">
        <v>6.1</v>
      </c>
      <c r="W50" s="15" t="s">
        <v>57</v>
      </c>
      <c r="X50" s="15" t="s">
        <v>546</v>
      </c>
      <c r="Y50" s="26"/>
      <c r="Z50" s="16"/>
      <c r="AA50" s="23" t="str">
        <f>IFERROR(VLOOKUP(10*tblRiskRegister32[[#This Row],[Risk Treatment Safeguard Maturity Score]]+tblRiskRegister32[[#This Row],[VCDB Index]],tblHITIndexWeightTable[],4,FALSE),"")</f>
        <v/>
      </c>
      <c r="AB50" s="23">
        <f>VLOOKUP(tblRiskRegister32[[#This Row],[Asset Class]],tblInherentImpacts30[],2,FALSE)</f>
        <v>0</v>
      </c>
      <c r="AC50" s="23">
        <f>VLOOKUP(tblRiskRegister32[[#This Row],[Asset Class]],tblInherentImpacts30[],3,FALSE)</f>
        <v>0</v>
      </c>
      <c r="AD50" s="23">
        <f>VLOOKUP(tblRiskRegister32[[#This Row],[Asset Class]],tblInherentImpacts30[],4,FALSE)</f>
        <v>0</v>
      </c>
      <c r="AE50" s="23">
        <f>VLOOKUP(tblRiskRegister32[[#This Row],[Asset Class]],tblInherentImpacts30[],5,FALSE)</f>
        <v>0</v>
      </c>
      <c r="AF50" s="23" t="str">
        <f>IFERROR(MAX(tblRiskRegister32[[#This Row],[Risk Treatment Safeguard Impact to Mission]:[Risk Treatment Safeguard Impact to Obligations]])*tblRiskRegister32[[#This Row],[Risk Treatment
Safeguard Expectancy Score]],"")</f>
        <v/>
      </c>
      <c r="AG50" s="23" t="str">
        <f>IF(tblRiskRegister32[[#This Row],[Risk Score]]&gt;=AcceptableRisk,IF(tblRiskRegister32[[#This Row],[Risk Treatment Safeguard Risk Score]]&lt;AcceptableRisk, IF(tblRiskRegister32[[#This Row],[Risk Treatment Safeguard Risk Score]]&lt;tblRiskRegister32[[#This Row],[Risk Score]],"Yes","No"),"No"),"Yes")</f>
        <v>No</v>
      </c>
      <c r="AH50" s="17"/>
      <c r="AI50" s="17"/>
      <c r="AJ50" s="18"/>
    </row>
    <row r="51" spans="2:36" ht="56">
      <c r="B51" s="220" t="s">
        <v>528</v>
      </c>
      <c r="C51" s="15"/>
      <c r="D51" s="86">
        <v>6.2</v>
      </c>
      <c r="E51" s="14" t="s">
        <v>58</v>
      </c>
      <c r="F51" s="13" t="s">
        <v>429</v>
      </c>
      <c r="G51" s="13" t="s">
        <v>429</v>
      </c>
      <c r="H51" s="13" t="s">
        <v>532</v>
      </c>
      <c r="I51" s="15"/>
      <c r="J51" s="15"/>
      <c r="K51" s="15"/>
      <c r="L51" s="16"/>
      <c r="M51" s="24">
        <f>IFERROR(VLOOKUP(tblRiskRegister32[[#This Row],[Asset Class]],tblVCDBIndex[],4,FALSE),"")</f>
        <v>2</v>
      </c>
      <c r="N51" s="24" t="str">
        <f>IFERROR(VLOOKUP(10*tblRiskRegister32[[#This Row],[Safeguard Maturity Score]]+tblRiskRegister32[[#This Row],[VCDB Index]],tblHITIndexWeightTable[],4,FALSE),"")</f>
        <v/>
      </c>
      <c r="O51" s="24">
        <f>VLOOKUP(tblRiskRegister32[[#This Row],[Asset Class]],tblInherentImpacts30[],2,FALSE)</f>
        <v>0</v>
      </c>
      <c r="P51" s="24">
        <f>VLOOKUP(tblRiskRegister32[[#This Row],[Asset Class]],tblInherentImpacts30[],3,FALSE)</f>
        <v>0</v>
      </c>
      <c r="Q51" s="24">
        <f>VLOOKUP(tblRiskRegister32[[#This Row],[Asset Class]],tblInherentImpacts30[],4,FALSE)</f>
        <v>0</v>
      </c>
      <c r="R51" s="24">
        <f>VLOOKUP(tblRiskRegister32[[#This Row],[Asset Class]],tblInherentImpacts30[],5,FALSE)</f>
        <v>0</v>
      </c>
      <c r="S51" s="24" t="str">
        <f>IFERROR(MAX(tblRiskRegister32[[#This Row],[Impact to Mission]:[Impact to Obligations]])*tblRiskRegister32[[#This Row],[Expectancy Score]],"")</f>
        <v/>
      </c>
      <c r="T51" s="24" t="str">
        <f>tblRiskRegister32[[#This Row],[Risk Score]]</f>
        <v/>
      </c>
      <c r="U51" s="86"/>
      <c r="V51" s="86">
        <v>6.2</v>
      </c>
      <c r="W51" s="15" t="s">
        <v>58</v>
      </c>
      <c r="X51" s="15" t="s">
        <v>359</v>
      </c>
      <c r="Y51" s="26"/>
      <c r="Z51" s="16"/>
      <c r="AA51" s="23" t="str">
        <f>IFERROR(VLOOKUP(10*tblRiskRegister32[[#This Row],[Risk Treatment Safeguard Maturity Score]]+tblRiskRegister32[[#This Row],[VCDB Index]],tblHITIndexWeightTable[],4,FALSE),"")</f>
        <v/>
      </c>
      <c r="AB51" s="23">
        <f>VLOOKUP(tblRiskRegister32[[#This Row],[Asset Class]],tblInherentImpacts30[],2,FALSE)</f>
        <v>0</v>
      </c>
      <c r="AC51" s="23">
        <f>VLOOKUP(tblRiskRegister32[[#This Row],[Asset Class]],tblInherentImpacts30[],3,FALSE)</f>
        <v>0</v>
      </c>
      <c r="AD51" s="23">
        <f>VLOOKUP(tblRiskRegister32[[#This Row],[Asset Class]],tblInherentImpacts30[],4,FALSE)</f>
        <v>0</v>
      </c>
      <c r="AE51" s="23">
        <f>VLOOKUP(tblRiskRegister32[[#This Row],[Asset Class]],tblInherentImpacts30[],5,FALSE)</f>
        <v>0</v>
      </c>
      <c r="AF51" s="23" t="str">
        <f>IFERROR(MAX(tblRiskRegister32[[#This Row],[Risk Treatment Safeguard Impact to Mission]:[Risk Treatment Safeguard Impact to Obligations]])*tblRiskRegister32[[#This Row],[Risk Treatment
Safeguard Expectancy Score]],"")</f>
        <v/>
      </c>
      <c r="AG51" s="23" t="str">
        <f>IF(tblRiskRegister32[[#This Row],[Risk Score]]&gt;=AcceptableRisk,IF(tblRiskRegister32[[#This Row],[Risk Treatment Safeguard Risk Score]]&lt;AcceptableRisk, IF(tblRiskRegister32[[#This Row],[Risk Treatment Safeguard Risk Score]]&lt;tblRiskRegister32[[#This Row],[Risk Score]],"Yes","No"),"No"),"Yes")</f>
        <v>No</v>
      </c>
      <c r="AH51" s="17"/>
      <c r="AI51" s="17"/>
      <c r="AJ51" s="18"/>
    </row>
    <row r="52" spans="2:36" ht="42">
      <c r="B52" s="220" t="s">
        <v>93</v>
      </c>
      <c r="C52" s="15"/>
      <c r="D52" s="86">
        <v>6.3</v>
      </c>
      <c r="E52" s="14" t="s">
        <v>59</v>
      </c>
      <c r="F52" s="13" t="s">
        <v>429</v>
      </c>
      <c r="G52" s="13" t="s">
        <v>429</v>
      </c>
      <c r="H52" s="13" t="s">
        <v>523</v>
      </c>
      <c r="I52" s="15"/>
      <c r="J52" s="15"/>
      <c r="K52" s="15"/>
      <c r="L52" s="16"/>
      <c r="M52" s="24">
        <f>IFERROR(VLOOKUP(tblRiskRegister32[[#This Row],[Asset Class]],tblVCDBIndex[],4,FALSE),"")</f>
        <v>2</v>
      </c>
      <c r="N52" s="24" t="str">
        <f>IFERROR(VLOOKUP(10*tblRiskRegister32[[#This Row],[Safeguard Maturity Score]]+tblRiskRegister32[[#This Row],[VCDB Index]],tblHITIndexWeightTable[],4,FALSE),"")</f>
        <v/>
      </c>
      <c r="O52" s="24">
        <f>VLOOKUP(tblRiskRegister32[[#This Row],[Asset Class]],tblInherentImpacts30[],2,FALSE)</f>
        <v>0</v>
      </c>
      <c r="P52" s="24">
        <f>VLOOKUP(tblRiskRegister32[[#This Row],[Asset Class]],tblInherentImpacts30[],3,FALSE)</f>
        <v>0</v>
      </c>
      <c r="Q52" s="24">
        <f>VLOOKUP(tblRiskRegister32[[#This Row],[Asset Class]],tblInherentImpacts30[],4,FALSE)</f>
        <v>0</v>
      </c>
      <c r="R52" s="24">
        <f>VLOOKUP(tblRiskRegister32[[#This Row],[Asset Class]],tblInherentImpacts30[],5,FALSE)</f>
        <v>0</v>
      </c>
      <c r="S52" s="24" t="str">
        <f>IFERROR(MAX(tblRiskRegister32[[#This Row],[Impact to Mission]:[Impact to Obligations]])*tblRiskRegister32[[#This Row],[Expectancy Score]],"")</f>
        <v/>
      </c>
      <c r="T52" s="24" t="str">
        <f>tblRiskRegister32[[#This Row],[Risk Score]]</f>
        <v/>
      </c>
      <c r="U52" s="86"/>
      <c r="V52" s="86">
        <v>6.3</v>
      </c>
      <c r="W52" s="15" t="s">
        <v>59</v>
      </c>
      <c r="X52" s="15" t="s">
        <v>360</v>
      </c>
      <c r="Y52" s="26"/>
      <c r="Z52" s="16"/>
      <c r="AA52" s="23" t="str">
        <f>IFERROR(VLOOKUP(10*tblRiskRegister32[[#This Row],[Risk Treatment Safeguard Maturity Score]]+tblRiskRegister32[[#This Row],[VCDB Index]],tblHITIndexWeightTable[],4,FALSE),"")</f>
        <v/>
      </c>
      <c r="AB52" s="23">
        <f>VLOOKUP(tblRiskRegister32[[#This Row],[Asset Class]],tblInherentImpacts30[],2,FALSE)</f>
        <v>0</v>
      </c>
      <c r="AC52" s="23">
        <f>VLOOKUP(tblRiskRegister32[[#This Row],[Asset Class]],tblInherentImpacts30[],3,FALSE)</f>
        <v>0</v>
      </c>
      <c r="AD52" s="23">
        <f>VLOOKUP(tblRiskRegister32[[#This Row],[Asset Class]],tblInherentImpacts30[],4,FALSE)</f>
        <v>0</v>
      </c>
      <c r="AE52" s="23">
        <f>VLOOKUP(tblRiskRegister32[[#This Row],[Asset Class]],tblInherentImpacts30[],5,FALSE)</f>
        <v>0</v>
      </c>
      <c r="AF52" s="23" t="str">
        <f>IFERROR(MAX(tblRiskRegister32[[#This Row],[Risk Treatment Safeguard Impact to Mission]:[Risk Treatment Safeguard Impact to Obligations]])*tblRiskRegister32[[#This Row],[Risk Treatment
Safeguard Expectancy Score]],"")</f>
        <v/>
      </c>
      <c r="AG52" s="23" t="str">
        <f>IF(tblRiskRegister32[[#This Row],[Risk Score]]&gt;=AcceptableRisk,IF(tblRiskRegister32[[#This Row],[Risk Treatment Safeguard Risk Score]]&lt;AcceptableRisk, IF(tblRiskRegister32[[#This Row],[Risk Treatment Safeguard Risk Score]]&lt;tblRiskRegister32[[#This Row],[Risk Score]],"Yes","No"),"No"),"Yes")</f>
        <v>No</v>
      </c>
      <c r="AH52" s="17"/>
      <c r="AI52" s="17"/>
      <c r="AJ52" s="18"/>
    </row>
    <row r="53" spans="2:36" ht="28">
      <c r="B53" s="220" t="s">
        <v>93</v>
      </c>
      <c r="C53" s="15"/>
      <c r="D53" s="86">
        <v>6.4</v>
      </c>
      <c r="E53" s="14" t="s">
        <v>60</v>
      </c>
      <c r="F53" s="13" t="s">
        <v>429</v>
      </c>
      <c r="G53" s="13" t="s">
        <v>429</v>
      </c>
      <c r="H53" s="13" t="s">
        <v>523</v>
      </c>
      <c r="I53" s="15"/>
      <c r="J53" s="15"/>
      <c r="K53" s="15"/>
      <c r="L53" s="16"/>
      <c r="M53" s="24">
        <f>IFERROR(VLOOKUP(tblRiskRegister32[[#This Row],[Asset Class]],tblVCDBIndex[],4,FALSE),"")</f>
        <v>2</v>
      </c>
      <c r="N53" s="24" t="str">
        <f>IFERROR(VLOOKUP(10*tblRiskRegister32[[#This Row],[Safeguard Maturity Score]]+tblRiskRegister32[[#This Row],[VCDB Index]],tblHITIndexWeightTable[],4,FALSE),"")</f>
        <v/>
      </c>
      <c r="O53" s="24">
        <f>VLOOKUP(tblRiskRegister32[[#This Row],[Asset Class]],tblInherentImpacts30[],2,FALSE)</f>
        <v>0</v>
      </c>
      <c r="P53" s="24">
        <f>VLOOKUP(tblRiskRegister32[[#This Row],[Asset Class]],tblInherentImpacts30[],3,FALSE)</f>
        <v>0</v>
      </c>
      <c r="Q53" s="24">
        <f>VLOOKUP(tblRiskRegister32[[#This Row],[Asset Class]],tblInherentImpacts30[],4,FALSE)</f>
        <v>0</v>
      </c>
      <c r="R53" s="24">
        <f>VLOOKUP(tblRiskRegister32[[#This Row],[Asset Class]],tblInherentImpacts30[],5,FALSE)</f>
        <v>0</v>
      </c>
      <c r="S53" s="24" t="str">
        <f>IFERROR(MAX(tblRiskRegister32[[#This Row],[Impact to Mission]:[Impact to Obligations]])*tblRiskRegister32[[#This Row],[Expectancy Score]],"")</f>
        <v/>
      </c>
      <c r="T53" s="24" t="str">
        <f>tblRiskRegister32[[#This Row],[Risk Score]]</f>
        <v/>
      </c>
      <c r="U53" s="86"/>
      <c r="V53" s="86">
        <v>6.4</v>
      </c>
      <c r="W53" s="15" t="s">
        <v>60</v>
      </c>
      <c r="X53" s="15" t="s">
        <v>361</v>
      </c>
      <c r="Y53" s="26"/>
      <c r="Z53" s="16"/>
      <c r="AA53" s="23" t="str">
        <f>IFERROR(VLOOKUP(10*tblRiskRegister32[[#This Row],[Risk Treatment Safeguard Maturity Score]]+tblRiskRegister32[[#This Row],[VCDB Index]],tblHITIndexWeightTable[],4,FALSE),"")</f>
        <v/>
      </c>
      <c r="AB53" s="23">
        <f>VLOOKUP(tblRiskRegister32[[#This Row],[Asset Class]],tblInherentImpacts30[],2,FALSE)</f>
        <v>0</v>
      </c>
      <c r="AC53" s="23">
        <f>VLOOKUP(tblRiskRegister32[[#This Row],[Asset Class]],tblInherentImpacts30[],3,FALSE)</f>
        <v>0</v>
      </c>
      <c r="AD53" s="23">
        <f>VLOOKUP(tblRiskRegister32[[#This Row],[Asset Class]],tblInherentImpacts30[],4,FALSE)</f>
        <v>0</v>
      </c>
      <c r="AE53" s="23">
        <f>VLOOKUP(tblRiskRegister32[[#This Row],[Asset Class]],tblInherentImpacts30[],5,FALSE)</f>
        <v>0</v>
      </c>
      <c r="AF53" s="23" t="str">
        <f>IFERROR(MAX(tblRiskRegister32[[#This Row],[Risk Treatment Safeguard Impact to Mission]:[Risk Treatment Safeguard Impact to Obligations]])*tblRiskRegister32[[#This Row],[Risk Treatment
Safeguard Expectancy Score]],"")</f>
        <v/>
      </c>
      <c r="AG53" s="23" t="str">
        <f>IF(tblRiskRegister32[[#This Row],[Risk Score]]&gt;=AcceptableRisk,IF(tblRiskRegister32[[#This Row],[Risk Treatment Safeguard Risk Score]]&lt;AcceptableRisk, IF(tblRiskRegister32[[#This Row],[Risk Treatment Safeguard Risk Score]]&lt;tblRiskRegister32[[#This Row],[Risk Score]],"Yes","No"),"No"),"Yes")</f>
        <v>No</v>
      </c>
      <c r="AH53" s="17"/>
      <c r="AI53" s="17"/>
      <c r="AJ53" s="18"/>
    </row>
    <row r="54" spans="2:36" ht="28">
      <c r="B54" s="220" t="s">
        <v>93</v>
      </c>
      <c r="C54" s="15"/>
      <c r="D54" s="86">
        <v>6.5</v>
      </c>
      <c r="E54" s="14" t="s">
        <v>61</v>
      </c>
      <c r="F54" s="13" t="s">
        <v>429</v>
      </c>
      <c r="G54" s="13" t="s">
        <v>429</v>
      </c>
      <c r="H54" s="13" t="s">
        <v>523</v>
      </c>
      <c r="I54" s="15"/>
      <c r="J54" s="15"/>
      <c r="K54" s="15"/>
      <c r="L54" s="16"/>
      <c r="M54" s="24">
        <f>IFERROR(VLOOKUP(tblRiskRegister32[[#This Row],[Asset Class]],tblVCDBIndex[],4,FALSE),"")</f>
        <v>2</v>
      </c>
      <c r="N54" s="24" t="str">
        <f>IFERROR(VLOOKUP(10*tblRiskRegister32[[#This Row],[Safeguard Maturity Score]]+tblRiskRegister32[[#This Row],[VCDB Index]],tblHITIndexWeightTable[],4,FALSE),"")</f>
        <v/>
      </c>
      <c r="O54" s="24">
        <f>VLOOKUP(tblRiskRegister32[[#This Row],[Asset Class]],tblInherentImpacts30[],2,FALSE)</f>
        <v>0</v>
      </c>
      <c r="P54" s="24">
        <f>VLOOKUP(tblRiskRegister32[[#This Row],[Asset Class]],tblInherentImpacts30[],3,FALSE)</f>
        <v>0</v>
      </c>
      <c r="Q54" s="24">
        <f>VLOOKUP(tblRiskRegister32[[#This Row],[Asset Class]],tblInherentImpacts30[],4,FALSE)</f>
        <v>0</v>
      </c>
      <c r="R54" s="24">
        <f>VLOOKUP(tblRiskRegister32[[#This Row],[Asset Class]],tblInherentImpacts30[],5,FALSE)</f>
        <v>0</v>
      </c>
      <c r="S54" s="24" t="str">
        <f>IFERROR(MAX(tblRiskRegister32[[#This Row],[Impact to Mission]:[Impact to Obligations]])*tblRiskRegister32[[#This Row],[Expectancy Score]],"")</f>
        <v/>
      </c>
      <c r="T54" s="24" t="str">
        <f>tblRiskRegister32[[#This Row],[Risk Score]]</f>
        <v/>
      </c>
      <c r="U54" s="86"/>
      <c r="V54" s="86">
        <v>6.5</v>
      </c>
      <c r="W54" s="15" t="s">
        <v>61</v>
      </c>
      <c r="X54" s="15" t="s">
        <v>547</v>
      </c>
      <c r="Y54" s="26"/>
      <c r="Z54" s="16"/>
      <c r="AA54" s="23" t="str">
        <f>IFERROR(VLOOKUP(10*tblRiskRegister32[[#This Row],[Risk Treatment Safeguard Maturity Score]]+tblRiskRegister32[[#This Row],[VCDB Index]],tblHITIndexWeightTable[],4,FALSE),"")</f>
        <v/>
      </c>
      <c r="AB54" s="23">
        <f>VLOOKUP(tblRiskRegister32[[#This Row],[Asset Class]],tblInherentImpacts30[],2,FALSE)</f>
        <v>0</v>
      </c>
      <c r="AC54" s="23">
        <f>VLOOKUP(tblRiskRegister32[[#This Row],[Asset Class]],tblInherentImpacts30[],3,FALSE)</f>
        <v>0</v>
      </c>
      <c r="AD54" s="23">
        <f>VLOOKUP(tblRiskRegister32[[#This Row],[Asset Class]],tblInherentImpacts30[],4,FALSE)</f>
        <v>0</v>
      </c>
      <c r="AE54" s="23">
        <f>VLOOKUP(tblRiskRegister32[[#This Row],[Asset Class]],tblInherentImpacts30[],5,FALSE)</f>
        <v>0</v>
      </c>
      <c r="AF54" s="23" t="str">
        <f>IFERROR(MAX(tblRiskRegister32[[#This Row],[Risk Treatment Safeguard Impact to Mission]:[Risk Treatment Safeguard Impact to Obligations]])*tblRiskRegister32[[#This Row],[Risk Treatment
Safeguard Expectancy Score]],"")</f>
        <v/>
      </c>
      <c r="AG54" s="23" t="str">
        <f>IF(tblRiskRegister32[[#This Row],[Risk Score]]&gt;=AcceptableRisk,IF(tblRiskRegister32[[#This Row],[Risk Treatment Safeguard Risk Score]]&lt;AcceptableRisk, IF(tblRiskRegister32[[#This Row],[Risk Treatment Safeguard Risk Score]]&lt;tblRiskRegister32[[#This Row],[Risk Score]],"Yes","No"),"No"),"Yes")</f>
        <v>No</v>
      </c>
      <c r="AH54" s="17"/>
      <c r="AI54" s="17"/>
      <c r="AJ54" s="18"/>
    </row>
    <row r="55" spans="2:36" ht="56">
      <c r="B55" s="220" t="s">
        <v>527</v>
      </c>
      <c r="C55" s="15"/>
      <c r="D55" s="86">
        <v>6.6</v>
      </c>
      <c r="E55" s="14" t="s">
        <v>229</v>
      </c>
      <c r="F55" s="13"/>
      <c r="G55" s="13" t="s">
        <v>429</v>
      </c>
      <c r="H55" s="13" t="s">
        <v>521</v>
      </c>
      <c r="I55" s="15"/>
      <c r="J55" s="15"/>
      <c r="K55" s="15"/>
      <c r="L55" s="16"/>
      <c r="M55" s="24">
        <f>IFERROR(VLOOKUP(tblRiskRegister32[[#This Row],[Asset Class]],tblVCDBIndex[],4,FALSE),"")</f>
        <v>2</v>
      </c>
      <c r="N55" s="24" t="str">
        <f>IFERROR(VLOOKUP(10*tblRiskRegister32[[#This Row],[Safeguard Maturity Score]]+tblRiskRegister32[[#This Row],[VCDB Index]],tblHITIndexWeightTable[],4,FALSE),"")</f>
        <v/>
      </c>
      <c r="O55" s="24">
        <f>VLOOKUP(tblRiskRegister32[[#This Row],[Asset Class]],tblInherentImpacts30[],2,FALSE)</f>
        <v>0</v>
      </c>
      <c r="P55" s="24">
        <f>VLOOKUP(tblRiskRegister32[[#This Row],[Asset Class]],tblInherentImpacts30[],3,FALSE)</f>
        <v>0</v>
      </c>
      <c r="Q55" s="24">
        <f>VLOOKUP(tblRiskRegister32[[#This Row],[Asset Class]],tblInherentImpacts30[],4,FALSE)</f>
        <v>0</v>
      </c>
      <c r="R55" s="24">
        <f>VLOOKUP(tblRiskRegister32[[#This Row],[Asset Class]],tblInherentImpacts30[],5,FALSE)</f>
        <v>0</v>
      </c>
      <c r="S55" s="24" t="str">
        <f>IFERROR(MAX(tblRiskRegister32[[#This Row],[Impact to Mission]:[Impact to Obligations]])*tblRiskRegister32[[#This Row],[Expectancy Score]],"")</f>
        <v/>
      </c>
      <c r="T55" s="24" t="str">
        <f>tblRiskRegister32[[#This Row],[Risk Score]]</f>
        <v/>
      </c>
      <c r="U55" s="86"/>
      <c r="V55" s="86">
        <v>6.6</v>
      </c>
      <c r="W55" s="15" t="s">
        <v>229</v>
      </c>
      <c r="X55" s="15" t="s">
        <v>362</v>
      </c>
      <c r="Y55" s="26"/>
      <c r="Z55" s="16"/>
      <c r="AA55" s="23" t="str">
        <f>IFERROR(VLOOKUP(10*tblRiskRegister32[[#This Row],[Risk Treatment Safeguard Maturity Score]]+tblRiskRegister32[[#This Row],[VCDB Index]],tblHITIndexWeightTable[],4,FALSE),"")</f>
        <v/>
      </c>
      <c r="AB55" s="23">
        <f>VLOOKUP(tblRiskRegister32[[#This Row],[Asset Class]],tblInherentImpacts30[],2,FALSE)</f>
        <v>0</v>
      </c>
      <c r="AC55" s="23">
        <f>VLOOKUP(tblRiskRegister32[[#This Row],[Asset Class]],tblInherentImpacts30[],3,FALSE)</f>
        <v>0</v>
      </c>
      <c r="AD55" s="23">
        <f>VLOOKUP(tblRiskRegister32[[#This Row],[Asset Class]],tblInherentImpacts30[],4,FALSE)</f>
        <v>0</v>
      </c>
      <c r="AE55" s="23">
        <f>VLOOKUP(tblRiskRegister32[[#This Row],[Asset Class]],tblInherentImpacts30[],5,FALSE)</f>
        <v>0</v>
      </c>
      <c r="AF55" s="23" t="str">
        <f>IFERROR(MAX(tblRiskRegister32[[#This Row],[Risk Treatment Safeguard Impact to Mission]:[Risk Treatment Safeguard Impact to Obligations]])*tblRiskRegister32[[#This Row],[Risk Treatment
Safeguard Expectancy Score]],"")</f>
        <v/>
      </c>
      <c r="AG55" s="23" t="str">
        <f>IF(tblRiskRegister32[[#This Row],[Risk Score]]&gt;=AcceptableRisk,IF(tblRiskRegister32[[#This Row],[Risk Treatment Safeguard Risk Score]]&lt;AcceptableRisk, IF(tblRiskRegister32[[#This Row],[Risk Treatment Safeguard Risk Score]]&lt;tblRiskRegister32[[#This Row],[Risk Score]],"Yes","No"),"No"),"Yes")</f>
        <v>No</v>
      </c>
      <c r="AH55" s="17"/>
      <c r="AI55" s="17"/>
      <c r="AJ55" s="18"/>
    </row>
    <row r="56" spans="2:36" ht="28">
      <c r="B56" s="220" t="s">
        <v>93</v>
      </c>
      <c r="C56" s="15"/>
      <c r="D56" s="86">
        <v>6.7</v>
      </c>
      <c r="E56" s="14" t="s">
        <v>230</v>
      </c>
      <c r="F56" s="13"/>
      <c r="G56" s="13" t="s">
        <v>429</v>
      </c>
      <c r="H56" s="13" t="s">
        <v>523</v>
      </c>
      <c r="I56" s="15"/>
      <c r="J56" s="15"/>
      <c r="K56" s="15"/>
      <c r="L56" s="16"/>
      <c r="M56" s="24">
        <f>IFERROR(VLOOKUP(tblRiskRegister32[[#This Row],[Asset Class]],tblVCDBIndex[],4,FALSE),"")</f>
        <v>2</v>
      </c>
      <c r="N56" s="24" t="str">
        <f>IFERROR(VLOOKUP(10*tblRiskRegister32[[#This Row],[Safeguard Maturity Score]]+tblRiskRegister32[[#This Row],[VCDB Index]],tblHITIndexWeightTable[],4,FALSE),"")</f>
        <v/>
      </c>
      <c r="O56" s="24">
        <f>VLOOKUP(tblRiskRegister32[[#This Row],[Asset Class]],tblInherentImpacts30[],2,FALSE)</f>
        <v>0</v>
      </c>
      <c r="P56" s="24">
        <f>VLOOKUP(tblRiskRegister32[[#This Row],[Asset Class]],tblInherentImpacts30[],3,FALSE)</f>
        <v>0</v>
      </c>
      <c r="Q56" s="24">
        <f>VLOOKUP(tblRiskRegister32[[#This Row],[Asset Class]],tblInherentImpacts30[],4,FALSE)</f>
        <v>0</v>
      </c>
      <c r="R56" s="24">
        <f>VLOOKUP(tblRiskRegister32[[#This Row],[Asset Class]],tblInherentImpacts30[],5,FALSE)</f>
        <v>0</v>
      </c>
      <c r="S56" s="24" t="str">
        <f>IFERROR(MAX(tblRiskRegister32[[#This Row],[Impact to Mission]:[Impact to Obligations]])*tblRiskRegister32[[#This Row],[Expectancy Score]],"")</f>
        <v/>
      </c>
      <c r="T56" s="24" t="str">
        <f>tblRiskRegister32[[#This Row],[Risk Score]]</f>
        <v/>
      </c>
      <c r="U56" s="86"/>
      <c r="V56" s="86">
        <v>6.7</v>
      </c>
      <c r="W56" s="15" t="s">
        <v>230</v>
      </c>
      <c r="X56" s="15" t="s">
        <v>363</v>
      </c>
      <c r="Y56" s="26"/>
      <c r="Z56" s="16"/>
      <c r="AA56" s="23" t="str">
        <f>IFERROR(VLOOKUP(10*tblRiskRegister32[[#This Row],[Risk Treatment Safeguard Maturity Score]]+tblRiskRegister32[[#This Row],[VCDB Index]],tblHITIndexWeightTable[],4,FALSE),"")</f>
        <v/>
      </c>
      <c r="AB56" s="23">
        <f>VLOOKUP(tblRiskRegister32[[#This Row],[Asset Class]],tblInherentImpacts30[],2,FALSE)</f>
        <v>0</v>
      </c>
      <c r="AC56" s="23">
        <f>VLOOKUP(tblRiskRegister32[[#This Row],[Asset Class]],tblInherentImpacts30[],3,FALSE)</f>
        <v>0</v>
      </c>
      <c r="AD56" s="23">
        <f>VLOOKUP(tblRiskRegister32[[#This Row],[Asset Class]],tblInherentImpacts30[],4,FALSE)</f>
        <v>0</v>
      </c>
      <c r="AE56" s="23">
        <f>VLOOKUP(tblRiskRegister32[[#This Row],[Asset Class]],tblInherentImpacts30[],5,FALSE)</f>
        <v>0</v>
      </c>
      <c r="AF56" s="23" t="str">
        <f>IFERROR(MAX(tblRiskRegister32[[#This Row],[Risk Treatment Safeguard Impact to Mission]:[Risk Treatment Safeguard Impact to Obligations]])*tblRiskRegister32[[#This Row],[Risk Treatment
Safeguard Expectancy Score]],"")</f>
        <v/>
      </c>
      <c r="AG56" s="23" t="str">
        <f>IF(tblRiskRegister32[[#This Row],[Risk Score]]&gt;=AcceptableRisk,IF(tblRiskRegister32[[#This Row],[Risk Treatment Safeguard Risk Score]]&lt;AcceptableRisk, IF(tblRiskRegister32[[#This Row],[Risk Treatment Safeguard Risk Score]]&lt;tblRiskRegister32[[#This Row],[Risk Score]],"Yes","No"),"No"),"Yes")</f>
        <v>No</v>
      </c>
      <c r="AH56" s="17"/>
      <c r="AI56" s="17"/>
      <c r="AJ56" s="18"/>
    </row>
    <row r="57" spans="2:36" ht="42">
      <c r="B57" s="220" t="s">
        <v>528</v>
      </c>
      <c r="C57" s="15"/>
      <c r="D57" s="86">
        <v>7.1</v>
      </c>
      <c r="E57" s="14" t="s">
        <v>62</v>
      </c>
      <c r="F57" s="13" t="s">
        <v>429</v>
      </c>
      <c r="G57" s="13" t="s">
        <v>429</v>
      </c>
      <c r="H57" s="13" t="s">
        <v>532</v>
      </c>
      <c r="I57" s="15"/>
      <c r="J57" s="15"/>
      <c r="K57" s="15"/>
      <c r="L57" s="16"/>
      <c r="M57" s="24">
        <f>IFERROR(VLOOKUP(tblRiskRegister32[[#This Row],[Asset Class]],tblVCDBIndex[],4,FALSE),"")</f>
        <v>2</v>
      </c>
      <c r="N57" s="24" t="str">
        <f>IFERROR(VLOOKUP(10*tblRiskRegister32[[#This Row],[Safeguard Maturity Score]]+tblRiskRegister32[[#This Row],[VCDB Index]],tblHITIndexWeightTable[],4,FALSE),"")</f>
        <v/>
      </c>
      <c r="O57" s="24">
        <f>VLOOKUP(tblRiskRegister32[[#This Row],[Asset Class]],tblInherentImpacts30[],2,FALSE)</f>
        <v>0</v>
      </c>
      <c r="P57" s="24">
        <f>VLOOKUP(tblRiskRegister32[[#This Row],[Asset Class]],tblInherentImpacts30[],3,FALSE)</f>
        <v>0</v>
      </c>
      <c r="Q57" s="24">
        <f>VLOOKUP(tblRiskRegister32[[#This Row],[Asset Class]],tblInherentImpacts30[],4,FALSE)</f>
        <v>0</v>
      </c>
      <c r="R57" s="24">
        <f>VLOOKUP(tblRiskRegister32[[#This Row],[Asset Class]],tblInherentImpacts30[],5,FALSE)</f>
        <v>0</v>
      </c>
      <c r="S57" s="24" t="str">
        <f>IFERROR(MAX(tblRiskRegister32[[#This Row],[Impact to Mission]:[Impact to Obligations]])*tblRiskRegister32[[#This Row],[Expectancy Score]],"")</f>
        <v/>
      </c>
      <c r="T57" s="24" t="str">
        <f>tblRiskRegister32[[#This Row],[Risk Score]]</f>
        <v/>
      </c>
      <c r="U57" s="86"/>
      <c r="V57" s="86">
        <v>7.1</v>
      </c>
      <c r="W57" s="15" t="s">
        <v>62</v>
      </c>
      <c r="X57" s="15" t="s">
        <v>364</v>
      </c>
      <c r="Y57" s="15"/>
      <c r="Z57" s="16"/>
      <c r="AA57" s="23" t="str">
        <f>IFERROR(VLOOKUP(10*tblRiskRegister32[[#This Row],[Risk Treatment Safeguard Maturity Score]]+tblRiskRegister32[[#This Row],[VCDB Index]],tblHITIndexWeightTable[],4,FALSE),"")</f>
        <v/>
      </c>
      <c r="AB57" s="23">
        <f>VLOOKUP(tblRiskRegister32[[#This Row],[Asset Class]],tblInherentImpacts30[],2,FALSE)</f>
        <v>0</v>
      </c>
      <c r="AC57" s="23">
        <f>VLOOKUP(tblRiskRegister32[[#This Row],[Asset Class]],tblInherentImpacts30[],3,FALSE)</f>
        <v>0</v>
      </c>
      <c r="AD57" s="23">
        <f>VLOOKUP(tblRiskRegister32[[#This Row],[Asset Class]],tblInherentImpacts30[],4,FALSE)</f>
        <v>0</v>
      </c>
      <c r="AE57" s="23">
        <f>VLOOKUP(tblRiskRegister32[[#This Row],[Asset Class]],tblInherentImpacts30[],5,FALSE)</f>
        <v>0</v>
      </c>
      <c r="AF57" s="23" t="str">
        <f>IFERROR(MAX(tblRiskRegister32[[#This Row],[Risk Treatment Safeguard Impact to Mission]:[Risk Treatment Safeguard Impact to Obligations]])*tblRiskRegister32[[#This Row],[Risk Treatment
Safeguard Expectancy Score]],"")</f>
        <v/>
      </c>
      <c r="AG57" s="23" t="str">
        <f>IF(tblRiskRegister32[[#This Row],[Risk Score]]&gt;=AcceptableRisk,IF(tblRiskRegister32[[#This Row],[Risk Treatment Safeguard Risk Score]]&lt;AcceptableRisk, IF(tblRiskRegister32[[#This Row],[Risk Treatment Safeguard Risk Score]]&lt;tblRiskRegister32[[#This Row],[Risk Score]],"Yes","No"),"No"),"Yes")</f>
        <v>No</v>
      </c>
      <c r="AH57" s="17"/>
      <c r="AI57" s="17"/>
      <c r="AJ57" s="18"/>
    </row>
    <row r="58" spans="2:36" ht="28">
      <c r="B58" s="220" t="s">
        <v>528</v>
      </c>
      <c r="C58" s="15"/>
      <c r="D58" s="86">
        <v>7.2</v>
      </c>
      <c r="E58" s="14" t="s">
        <v>63</v>
      </c>
      <c r="F58" s="13" t="s">
        <v>429</v>
      </c>
      <c r="G58" s="13" t="s">
        <v>429</v>
      </c>
      <c r="H58" s="13" t="s">
        <v>532</v>
      </c>
      <c r="I58" s="15"/>
      <c r="J58" s="15"/>
      <c r="K58" s="15"/>
      <c r="L58" s="16"/>
      <c r="M58" s="24">
        <f>IFERROR(VLOOKUP(tblRiskRegister32[[#This Row],[Asset Class]],tblVCDBIndex[],4,FALSE),"")</f>
        <v>2</v>
      </c>
      <c r="N58" s="24" t="str">
        <f>IFERROR(VLOOKUP(10*tblRiskRegister32[[#This Row],[Safeguard Maturity Score]]+tblRiskRegister32[[#This Row],[VCDB Index]],tblHITIndexWeightTable[],4,FALSE),"")</f>
        <v/>
      </c>
      <c r="O58" s="24">
        <f>VLOOKUP(tblRiskRegister32[[#This Row],[Asset Class]],tblInherentImpacts30[],2,FALSE)</f>
        <v>0</v>
      </c>
      <c r="P58" s="24">
        <f>VLOOKUP(tblRiskRegister32[[#This Row],[Asset Class]],tblInherentImpacts30[],3,FALSE)</f>
        <v>0</v>
      </c>
      <c r="Q58" s="24">
        <f>VLOOKUP(tblRiskRegister32[[#This Row],[Asset Class]],tblInherentImpacts30[],4,FALSE)</f>
        <v>0</v>
      </c>
      <c r="R58" s="24">
        <f>VLOOKUP(tblRiskRegister32[[#This Row],[Asset Class]],tblInherentImpacts30[],5,FALSE)</f>
        <v>0</v>
      </c>
      <c r="S58" s="24" t="str">
        <f>IFERROR(MAX(tblRiskRegister32[[#This Row],[Impact to Mission]:[Impact to Obligations]])*tblRiskRegister32[[#This Row],[Expectancy Score]],"")</f>
        <v/>
      </c>
      <c r="T58" s="24" t="str">
        <f>tblRiskRegister32[[#This Row],[Risk Score]]</f>
        <v/>
      </c>
      <c r="U58" s="86"/>
      <c r="V58" s="86">
        <v>7.2</v>
      </c>
      <c r="W58" s="15" t="s">
        <v>63</v>
      </c>
      <c r="X58" s="15" t="s">
        <v>365</v>
      </c>
      <c r="Y58" s="15"/>
      <c r="Z58" s="16"/>
      <c r="AA58" s="23" t="str">
        <f>IFERROR(VLOOKUP(10*tblRiskRegister32[[#This Row],[Risk Treatment Safeguard Maturity Score]]+tblRiskRegister32[[#This Row],[VCDB Index]],tblHITIndexWeightTable[],4,FALSE),"")</f>
        <v/>
      </c>
      <c r="AB58" s="23">
        <f>VLOOKUP(tblRiskRegister32[[#This Row],[Asset Class]],tblInherentImpacts30[],2,FALSE)</f>
        <v>0</v>
      </c>
      <c r="AC58" s="23">
        <f>VLOOKUP(tblRiskRegister32[[#This Row],[Asset Class]],tblInherentImpacts30[],3,FALSE)</f>
        <v>0</v>
      </c>
      <c r="AD58" s="23">
        <f>VLOOKUP(tblRiskRegister32[[#This Row],[Asset Class]],tblInherentImpacts30[],4,FALSE)</f>
        <v>0</v>
      </c>
      <c r="AE58" s="23">
        <f>VLOOKUP(tblRiskRegister32[[#This Row],[Asset Class]],tblInherentImpacts30[],5,FALSE)</f>
        <v>0</v>
      </c>
      <c r="AF58" s="23" t="str">
        <f>IFERROR(MAX(tblRiskRegister32[[#This Row],[Risk Treatment Safeguard Impact to Mission]:[Risk Treatment Safeguard Impact to Obligations]])*tblRiskRegister32[[#This Row],[Risk Treatment
Safeguard Expectancy Score]],"")</f>
        <v/>
      </c>
      <c r="AG58" s="23" t="str">
        <f>IF(tblRiskRegister32[[#This Row],[Risk Score]]&gt;=AcceptableRisk,IF(tblRiskRegister32[[#This Row],[Risk Treatment Safeguard Risk Score]]&lt;AcceptableRisk, IF(tblRiskRegister32[[#This Row],[Risk Treatment Safeguard Risk Score]]&lt;tblRiskRegister32[[#This Row],[Risk Score]],"Yes","No"),"No"),"Yes")</f>
        <v>No</v>
      </c>
      <c r="AH58" s="17"/>
      <c r="AI58" s="17"/>
      <c r="AJ58" s="18"/>
    </row>
    <row r="59" spans="2:36" ht="42">
      <c r="B59" s="220" t="s">
        <v>527</v>
      </c>
      <c r="C59" s="15"/>
      <c r="D59" s="86">
        <v>7.3</v>
      </c>
      <c r="E59" s="14" t="s">
        <v>64</v>
      </c>
      <c r="F59" s="13" t="s">
        <v>429</v>
      </c>
      <c r="G59" s="13" t="s">
        <v>429</v>
      </c>
      <c r="H59" s="13" t="s">
        <v>523</v>
      </c>
      <c r="I59" s="15"/>
      <c r="J59" s="15"/>
      <c r="K59" s="15"/>
      <c r="L59" s="16"/>
      <c r="M59" s="24">
        <f>IFERROR(VLOOKUP(tblRiskRegister32[[#This Row],[Asset Class]],tblVCDBIndex[],4,FALSE),"")</f>
        <v>2</v>
      </c>
      <c r="N59" s="24" t="str">
        <f>IFERROR(VLOOKUP(10*tblRiskRegister32[[#This Row],[Safeguard Maturity Score]]+tblRiskRegister32[[#This Row],[VCDB Index]],tblHITIndexWeightTable[],4,FALSE),"")</f>
        <v/>
      </c>
      <c r="O59" s="24">
        <f>VLOOKUP(tblRiskRegister32[[#This Row],[Asset Class]],tblInherentImpacts30[],2,FALSE)</f>
        <v>0</v>
      </c>
      <c r="P59" s="24">
        <f>VLOOKUP(tblRiskRegister32[[#This Row],[Asset Class]],tblInherentImpacts30[],3,FALSE)</f>
        <v>0</v>
      </c>
      <c r="Q59" s="24">
        <f>VLOOKUP(tblRiskRegister32[[#This Row],[Asset Class]],tblInherentImpacts30[],4,FALSE)</f>
        <v>0</v>
      </c>
      <c r="R59" s="24">
        <f>VLOOKUP(tblRiskRegister32[[#This Row],[Asset Class]],tblInherentImpacts30[],5,FALSE)</f>
        <v>0</v>
      </c>
      <c r="S59" s="24" t="str">
        <f>IFERROR(MAX(tblRiskRegister32[[#This Row],[Impact to Mission]:[Impact to Obligations]])*tblRiskRegister32[[#This Row],[Expectancy Score]],"")</f>
        <v/>
      </c>
      <c r="T59" s="24" t="str">
        <f>tblRiskRegister32[[#This Row],[Risk Score]]</f>
        <v/>
      </c>
      <c r="U59" s="86"/>
      <c r="V59" s="86">
        <v>7.3</v>
      </c>
      <c r="W59" s="15" t="s">
        <v>64</v>
      </c>
      <c r="X59" s="15" t="s">
        <v>366</v>
      </c>
      <c r="Y59" s="15"/>
      <c r="Z59" s="16"/>
      <c r="AA59" s="23" t="str">
        <f>IFERROR(VLOOKUP(10*tblRiskRegister32[[#This Row],[Risk Treatment Safeguard Maturity Score]]+tblRiskRegister32[[#This Row],[VCDB Index]],tblHITIndexWeightTable[],4,FALSE),"")</f>
        <v/>
      </c>
      <c r="AB59" s="23">
        <f>VLOOKUP(tblRiskRegister32[[#This Row],[Asset Class]],tblInherentImpacts30[],2,FALSE)</f>
        <v>0</v>
      </c>
      <c r="AC59" s="23">
        <f>VLOOKUP(tblRiskRegister32[[#This Row],[Asset Class]],tblInherentImpacts30[],3,FALSE)</f>
        <v>0</v>
      </c>
      <c r="AD59" s="23">
        <f>VLOOKUP(tblRiskRegister32[[#This Row],[Asset Class]],tblInherentImpacts30[],4,FALSE)</f>
        <v>0</v>
      </c>
      <c r="AE59" s="23">
        <f>VLOOKUP(tblRiskRegister32[[#This Row],[Asset Class]],tblInherentImpacts30[],5,FALSE)</f>
        <v>0</v>
      </c>
      <c r="AF59" s="23" t="str">
        <f>IFERROR(MAX(tblRiskRegister32[[#This Row],[Risk Treatment Safeguard Impact to Mission]:[Risk Treatment Safeguard Impact to Obligations]])*tblRiskRegister32[[#This Row],[Risk Treatment
Safeguard Expectancy Score]],"")</f>
        <v/>
      </c>
      <c r="AG59" s="23" t="str">
        <f>IF(tblRiskRegister32[[#This Row],[Risk Score]]&gt;=AcceptableRisk,IF(tblRiskRegister32[[#This Row],[Risk Treatment Safeguard Risk Score]]&lt;AcceptableRisk, IF(tblRiskRegister32[[#This Row],[Risk Treatment Safeguard Risk Score]]&lt;tblRiskRegister32[[#This Row],[Risk Score]],"Yes","No"),"No"),"Yes")</f>
        <v>No</v>
      </c>
      <c r="AH59" s="17"/>
      <c r="AI59" s="17"/>
      <c r="AJ59" s="18"/>
    </row>
    <row r="60" spans="2:36" ht="42">
      <c r="B60" s="220" t="s">
        <v>527</v>
      </c>
      <c r="C60" s="15"/>
      <c r="D60" s="86">
        <v>7.4</v>
      </c>
      <c r="E60" s="14" t="s">
        <v>65</v>
      </c>
      <c r="F60" s="13" t="s">
        <v>429</v>
      </c>
      <c r="G60" s="13" t="s">
        <v>429</v>
      </c>
      <c r="H60" s="13" t="s">
        <v>523</v>
      </c>
      <c r="I60" s="15"/>
      <c r="J60" s="15"/>
      <c r="K60" s="15"/>
      <c r="L60" s="16"/>
      <c r="M60" s="24">
        <f>IFERROR(VLOOKUP(tblRiskRegister32[[#This Row],[Asset Class]],tblVCDBIndex[],4,FALSE),"")</f>
        <v>2</v>
      </c>
      <c r="N60" s="24" t="str">
        <f>IFERROR(VLOOKUP(10*tblRiskRegister32[[#This Row],[Safeguard Maturity Score]]+tblRiskRegister32[[#This Row],[VCDB Index]],tblHITIndexWeightTable[],4,FALSE),"")</f>
        <v/>
      </c>
      <c r="O60" s="24">
        <f>VLOOKUP(tblRiskRegister32[[#This Row],[Asset Class]],tblInherentImpacts30[],2,FALSE)</f>
        <v>0</v>
      </c>
      <c r="P60" s="24">
        <f>VLOOKUP(tblRiskRegister32[[#This Row],[Asset Class]],tblInherentImpacts30[],3,FALSE)</f>
        <v>0</v>
      </c>
      <c r="Q60" s="24">
        <f>VLOOKUP(tblRiskRegister32[[#This Row],[Asset Class]],tblInherentImpacts30[],4,FALSE)</f>
        <v>0</v>
      </c>
      <c r="R60" s="24">
        <f>VLOOKUP(tblRiskRegister32[[#This Row],[Asset Class]],tblInherentImpacts30[],5,FALSE)</f>
        <v>0</v>
      </c>
      <c r="S60" s="24" t="str">
        <f>IFERROR(MAX(tblRiskRegister32[[#This Row],[Impact to Mission]:[Impact to Obligations]])*tblRiskRegister32[[#This Row],[Expectancy Score]],"")</f>
        <v/>
      </c>
      <c r="T60" s="24" t="str">
        <f>tblRiskRegister32[[#This Row],[Risk Score]]</f>
        <v/>
      </c>
      <c r="U60" s="86"/>
      <c r="V60" s="86">
        <v>7.4</v>
      </c>
      <c r="W60" s="15" t="s">
        <v>65</v>
      </c>
      <c r="X60" s="15" t="s">
        <v>367</v>
      </c>
      <c r="Y60" s="15"/>
      <c r="Z60" s="16"/>
      <c r="AA60" s="23" t="str">
        <f>IFERROR(VLOOKUP(10*tblRiskRegister32[[#This Row],[Risk Treatment Safeguard Maturity Score]]+tblRiskRegister32[[#This Row],[VCDB Index]],tblHITIndexWeightTable[],4,FALSE),"")</f>
        <v/>
      </c>
      <c r="AB60" s="23">
        <f>VLOOKUP(tblRiskRegister32[[#This Row],[Asset Class]],tblInherentImpacts30[],2,FALSE)</f>
        <v>0</v>
      </c>
      <c r="AC60" s="23">
        <f>VLOOKUP(tblRiskRegister32[[#This Row],[Asset Class]],tblInherentImpacts30[],3,FALSE)</f>
        <v>0</v>
      </c>
      <c r="AD60" s="23">
        <f>VLOOKUP(tblRiskRegister32[[#This Row],[Asset Class]],tblInherentImpacts30[],4,FALSE)</f>
        <v>0</v>
      </c>
      <c r="AE60" s="23">
        <f>VLOOKUP(tblRiskRegister32[[#This Row],[Asset Class]],tblInherentImpacts30[],5,FALSE)</f>
        <v>0</v>
      </c>
      <c r="AF60" s="23" t="str">
        <f>IFERROR(MAX(tblRiskRegister32[[#This Row],[Risk Treatment Safeguard Impact to Mission]:[Risk Treatment Safeguard Impact to Obligations]])*tblRiskRegister32[[#This Row],[Risk Treatment
Safeguard Expectancy Score]],"")</f>
        <v/>
      </c>
      <c r="AG60" s="23" t="str">
        <f>IF(tblRiskRegister32[[#This Row],[Risk Score]]&gt;=AcceptableRisk,IF(tblRiskRegister32[[#This Row],[Risk Treatment Safeguard Risk Score]]&lt;AcceptableRisk, IF(tblRiskRegister32[[#This Row],[Risk Treatment Safeguard Risk Score]]&lt;tblRiskRegister32[[#This Row],[Risk Score]],"Yes","No"),"No"),"Yes")</f>
        <v>No</v>
      </c>
      <c r="AH60" s="17"/>
      <c r="AI60" s="17"/>
      <c r="AJ60" s="18"/>
    </row>
    <row r="61" spans="2:36" ht="42">
      <c r="B61" s="220" t="s">
        <v>527</v>
      </c>
      <c r="C61" s="15"/>
      <c r="D61" s="86">
        <v>7.5</v>
      </c>
      <c r="E61" s="14" t="s">
        <v>161</v>
      </c>
      <c r="F61" s="13"/>
      <c r="G61" s="13" t="s">
        <v>429</v>
      </c>
      <c r="H61" s="13" t="s">
        <v>521</v>
      </c>
      <c r="I61" s="15"/>
      <c r="J61" s="15"/>
      <c r="K61" s="15"/>
      <c r="L61" s="16"/>
      <c r="M61" s="24">
        <f>IFERROR(VLOOKUP(tblRiskRegister32[[#This Row],[Asset Class]],tblVCDBIndex[],4,FALSE),"")</f>
        <v>2</v>
      </c>
      <c r="N61" s="24" t="str">
        <f>IFERROR(VLOOKUP(10*tblRiskRegister32[[#This Row],[Safeguard Maturity Score]]+tblRiskRegister32[[#This Row],[VCDB Index]],tblHITIndexWeightTable[],4,FALSE),"")</f>
        <v/>
      </c>
      <c r="O61" s="24">
        <f>VLOOKUP(tblRiskRegister32[[#This Row],[Asset Class]],tblInherentImpacts30[],2,FALSE)</f>
        <v>0</v>
      </c>
      <c r="P61" s="24">
        <f>VLOOKUP(tblRiskRegister32[[#This Row],[Asset Class]],tblInherentImpacts30[],3,FALSE)</f>
        <v>0</v>
      </c>
      <c r="Q61" s="24">
        <f>VLOOKUP(tblRiskRegister32[[#This Row],[Asset Class]],tblInherentImpacts30[],4,FALSE)</f>
        <v>0</v>
      </c>
      <c r="R61" s="24">
        <f>VLOOKUP(tblRiskRegister32[[#This Row],[Asset Class]],tblInherentImpacts30[],5,FALSE)</f>
        <v>0</v>
      </c>
      <c r="S61" s="24" t="str">
        <f>IFERROR(MAX(tblRiskRegister32[[#This Row],[Impact to Mission]:[Impact to Obligations]])*tblRiskRegister32[[#This Row],[Expectancy Score]],"")</f>
        <v/>
      </c>
      <c r="T61" s="24" t="str">
        <f>tblRiskRegister32[[#This Row],[Risk Score]]</f>
        <v/>
      </c>
      <c r="U61" s="86"/>
      <c r="V61" s="86">
        <v>7.5</v>
      </c>
      <c r="W61" s="15" t="s">
        <v>161</v>
      </c>
      <c r="X61" s="15" t="s">
        <v>548</v>
      </c>
      <c r="Y61" s="15"/>
      <c r="Z61" s="16"/>
      <c r="AA61" s="23" t="str">
        <f>IFERROR(VLOOKUP(10*tblRiskRegister32[[#This Row],[Risk Treatment Safeguard Maturity Score]]+tblRiskRegister32[[#This Row],[VCDB Index]],tblHITIndexWeightTable[],4,FALSE),"")</f>
        <v/>
      </c>
      <c r="AB61" s="23">
        <f>VLOOKUP(tblRiskRegister32[[#This Row],[Asset Class]],tblInherentImpacts30[],2,FALSE)</f>
        <v>0</v>
      </c>
      <c r="AC61" s="23">
        <f>VLOOKUP(tblRiskRegister32[[#This Row],[Asset Class]],tblInherentImpacts30[],3,FALSE)</f>
        <v>0</v>
      </c>
      <c r="AD61" s="23">
        <f>VLOOKUP(tblRiskRegister32[[#This Row],[Asset Class]],tblInherentImpacts30[],4,FALSE)</f>
        <v>0</v>
      </c>
      <c r="AE61" s="23">
        <f>VLOOKUP(tblRiskRegister32[[#This Row],[Asset Class]],tblInherentImpacts30[],5,FALSE)</f>
        <v>0</v>
      </c>
      <c r="AF61" s="23" t="str">
        <f>IFERROR(MAX(tblRiskRegister32[[#This Row],[Risk Treatment Safeguard Impact to Mission]:[Risk Treatment Safeguard Impact to Obligations]])*tblRiskRegister32[[#This Row],[Risk Treatment
Safeguard Expectancy Score]],"")</f>
        <v/>
      </c>
      <c r="AG61" s="23" t="str">
        <f>IF(tblRiskRegister32[[#This Row],[Risk Score]]&gt;=AcceptableRisk,IF(tblRiskRegister32[[#This Row],[Risk Treatment Safeguard Risk Score]]&lt;AcceptableRisk, IF(tblRiskRegister32[[#This Row],[Risk Treatment Safeguard Risk Score]]&lt;tblRiskRegister32[[#This Row],[Risk Score]],"Yes","No"),"No"),"Yes")</f>
        <v>No</v>
      </c>
      <c r="AH61" s="17"/>
      <c r="AI61" s="17"/>
      <c r="AJ61" s="18"/>
    </row>
    <row r="62" spans="2:36" ht="56">
      <c r="B62" s="220" t="s">
        <v>527</v>
      </c>
      <c r="C62" s="15"/>
      <c r="D62" s="86">
        <v>7.6</v>
      </c>
      <c r="E62" s="14" t="s">
        <v>162</v>
      </c>
      <c r="F62" s="13"/>
      <c r="G62" s="13" t="s">
        <v>429</v>
      </c>
      <c r="H62" s="13" t="s">
        <v>521</v>
      </c>
      <c r="I62" s="15"/>
      <c r="J62" s="15"/>
      <c r="K62" s="15"/>
      <c r="L62" s="16"/>
      <c r="M62" s="24">
        <f>IFERROR(VLOOKUP(tblRiskRegister32[[#This Row],[Asset Class]],tblVCDBIndex[],4,FALSE),"")</f>
        <v>2</v>
      </c>
      <c r="N62" s="24" t="str">
        <f>IFERROR(VLOOKUP(10*tblRiskRegister32[[#This Row],[Safeguard Maturity Score]]+tblRiskRegister32[[#This Row],[VCDB Index]],tblHITIndexWeightTable[],4,FALSE),"")</f>
        <v/>
      </c>
      <c r="O62" s="24">
        <f>VLOOKUP(tblRiskRegister32[[#This Row],[Asset Class]],tblInherentImpacts30[],2,FALSE)</f>
        <v>0</v>
      </c>
      <c r="P62" s="24">
        <f>VLOOKUP(tblRiskRegister32[[#This Row],[Asset Class]],tblInherentImpacts30[],3,FALSE)</f>
        <v>0</v>
      </c>
      <c r="Q62" s="24">
        <f>VLOOKUP(tblRiskRegister32[[#This Row],[Asset Class]],tblInherentImpacts30[],4,FALSE)</f>
        <v>0</v>
      </c>
      <c r="R62" s="24">
        <f>VLOOKUP(tblRiskRegister32[[#This Row],[Asset Class]],tblInherentImpacts30[],5,FALSE)</f>
        <v>0</v>
      </c>
      <c r="S62" s="24" t="str">
        <f>IFERROR(MAX(tblRiskRegister32[[#This Row],[Impact to Mission]:[Impact to Obligations]])*tblRiskRegister32[[#This Row],[Expectancy Score]],"")</f>
        <v/>
      </c>
      <c r="T62" s="24" t="str">
        <f>tblRiskRegister32[[#This Row],[Risk Score]]</f>
        <v/>
      </c>
      <c r="U62" s="86"/>
      <c r="V62" s="86">
        <v>7.6</v>
      </c>
      <c r="W62" s="15" t="s">
        <v>162</v>
      </c>
      <c r="X62" s="15" t="s">
        <v>549</v>
      </c>
      <c r="Y62" s="15"/>
      <c r="Z62" s="16"/>
      <c r="AA62" s="23" t="str">
        <f>IFERROR(VLOOKUP(10*tblRiskRegister32[[#This Row],[Risk Treatment Safeguard Maturity Score]]+tblRiskRegister32[[#This Row],[VCDB Index]],tblHITIndexWeightTable[],4,FALSE),"")</f>
        <v/>
      </c>
      <c r="AB62" s="23">
        <f>VLOOKUP(tblRiskRegister32[[#This Row],[Asset Class]],tblInherentImpacts30[],2,FALSE)</f>
        <v>0</v>
      </c>
      <c r="AC62" s="23">
        <f>VLOOKUP(tblRiskRegister32[[#This Row],[Asset Class]],tblInherentImpacts30[],3,FALSE)</f>
        <v>0</v>
      </c>
      <c r="AD62" s="23">
        <f>VLOOKUP(tblRiskRegister32[[#This Row],[Asset Class]],tblInherentImpacts30[],4,FALSE)</f>
        <v>0</v>
      </c>
      <c r="AE62" s="23">
        <f>VLOOKUP(tblRiskRegister32[[#This Row],[Asset Class]],tblInherentImpacts30[],5,FALSE)</f>
        <v>0</v>
      </c>
      <c r="AF62" s="23" t="str">
        <f>IFERROR(MAX(tblRiskRegister32[[#This Row],[Risk Treatment Safeguard Impact to Mission]:[Risk Treatment Safeguard Impact to Obligations]])*tblRiskRegister32[[#This Row],[Risk Treatment
Safeguard Expectancy Score]],"")</f>
        <v/>
      </c>
      <c r="AG62" s="23" t="str">
        <f>IF(tblRiskRegister32[[#This Row],[Risk Score]]&gt;=AcceptableRisk,IF(tblRiskRegister32[[#This Row],[Risk Treatment Safeguard Risk Score]]&lt;AcceptableRisk, IF(tblRiskRegister32[[#This Row],[Risk Treatment Safeguard Risk Score]]&lt;tblRiskRegister32[[#This Row],[Risk Score]],"Yes","No"),"No"),"Yes")</f>
        <v>No</v>
      </c>
      <c r="AH62" s="17"/>
      <c r="AI62" s="17"/>
      <c r="AJ62" s="18"/>
    </row>
    <row r="63" spans="2:36" ht="28">
      <c r="B63" s="220" t="s">
        <v>527</v>
      </c>
      <c r="C63" s="15"/>
      <c r="D63" s="86">
        <v>7.7</v>
      </c>
      <c r="E63" s="14" t="s">
        <v>163</v>
      </c>
      <c r="F63" s="13"/>
      <c r="G63" s="13" t="s">
        <v>429</v>
      </c>
      <c r="H63" s="13" t="s">
        <v>522</v>
      </c>
      <c r="I63" s="15"/>
      <c r="J63" s="15"/>
      <c r="K63" s="15"/>
      <c r="L63" s="16"/>
      <c r="M63" s="24">
        <f>IFERROR(VLOOKUP(tblRiskRegister32[[#This Row],[Asset Class]],tblVCDBIndex[],4,FALSE),"")</f>
        <v>2</v>
      </c>
      <c r="N63" s="24" t="str">
        <f>IFERROR(VLOOKUP(10*tblRiskRegister32[[#This Row],[Safeguard Maturity Score]]+tblRiskRegister32[[#This Row],[VCDB Index]],tblHITIndexWeightTable[],4,FALSE),"")</f>
        <v/>
      </c>
      <c r="O63" s="24">
        <f>VLOOKUP(tblRiskRegister32[[#This Row],[Asset Class]],tblInherentImpacts30[],2,FALSE)</f>
        <v>0</v>
      </c>
      <c r="P63" s="24">
        <f>VLOOKUP(tblRiskRegister32[[#This Row],[Asset Class]],tblInherentImpacts30[],3,FALSE)</f>
        <v>0</v>
      </c>
      <c r="Q63" s="24">
        <f>VLOOKUP(tblRiskRegister32[[#This Row],[Asset Class]],tblInherentImpacts30[],4,FALSE)</f>
        <v>0</v>
      </c>
      <c r="R63" s="24">
        <f>VLOOKUP(tblRiskRegister32[[#This Row],[Asset Class]],tblInherentImpacts30[],5,FALSE)</f>
        <v>0</v>
      </c>
      <c r="S63" s="24" t="str">
        <f>IFERROR(MAX(tblRiskRegister32[[#This Row],[Impact to Mission]:[Impact to Obligations]])*tblRiskRegister32[[#This Row],[Expectancy Score]],"")</f>
        <v/>
      </c>
      <c r="T63" s="24" t="str">
        <f>tblRiskRegister32[[#This Row],[Risk Score]]</f>
        <v/>
      </c>
      <c r="U63" s="86"/>
      <c r="V63" s="86">
        <v>7.7</v>
      </c>
      <c r="W63" s="15" t="s">
        <v>163</v>
      </c>
      <c r="X63" s="15" t="s">
        <v>368</v>
      </c>
      <c r="Y63" s="15"/>
      <c r="Z63" s="16"/>
      <c r="AA63" s="23" t="str">
        <f>IFERROR(VLOOKUP(10*tblRiskRegister32[[#This Row],[Risk Treatment Safeguard Maturity Score]]+tblRiskRegister32[[#This Row],[VCDB Index]],tblHITIndexWeightTable[],4,FALSE),"")</f>
        <v/>
      </c>
      <c r="AB63" s="23">
        <f>VLOOKUP(tblRiskRegister32[[#This Row],[Asset Class]],tblInherentImpacts30[],2,FALSE)</f>
        <v>0</v>
      </c>
      <c r="AC63" s="23">
        <f>VLOOKUP(tblRiskRegister32[[#This Row],[Asset Class]],tblInherentImpacts30[],3,FALSE)</f>
        <v>0</v>
      </c>
      <c r="AD63" s="23">
        <f>VLOOKUP(tblRiskRegister32[[#This Row],[Asset Class]],tblInherentImpacts30[],4,FALSE)</f>
        <v>0</v>
      </c>
      <c r="AE63" s="23">
        <f>VLOOKUP(tblRiskRegister32[[#This Row],[Asset Class]],tblInherentImpacts30[],5,FALSE)</f>
        <v>0</v>
      </c>
      <c r="AF63" s="23" t="str">
        <f>IFERROR(MAX(tblRiskRegister32[[#This Row],[Risk Treatment Safeguard Impact to Mission]:[Risk Treatment Safeguard Impact to Obligations]])*tblRiskRegister32[[#This Row],[Risk Treatment
Safeguard Expectancy Score]],"")</f>
        <v/>
      </c>
      <c r="AG63" s="23" t="str">
        <f>IF(tblRiskRegister32[[#This Row],[Risk Score]]&gt;=AcceptableRisk,IF(tblRiskRegister32[[#This Row],[Risk Treatment Safeguard Risk Score]]&lt;AcceptableRisk, IF(tblRiskRegister32[[#This Row],[Risk Treatment Safeguard Risk Score]]&lt;tblRiskRegister32[[#This Row],[Risk Score]],"Yes","No"),"No"),"Yes")</f>
        <v>No</v>
      </c>
      <c r="AH63" s="17"/>
      <c r="AI63" s="17"/>
      <c r="AJ63" s="18"/>
    </row>
    <row r="64" spans="2:36" ht="70">
      <c r="B64" s="220" t="s">
        <v>528</v>
      </c>
      <c r="C64" s="15"/>
      <c r="D64" s="86">
        <v>8.1</v>
      </c>
      <c r="E64" s="14" t="s">
        <v>66</v>
      </c>
      <c r="F64" s="13" t="s">
        <v>429</v>
      </c>
      <c r="G64" s="13" t="s">
        <v>429</v>
      </c>
      <c r="H64" s="13" t="s">
        <v>532</v>
      </c>
      <c r="I64" s="15"/>
      <c r="J64" s="15"/>
      <c r="K64" s="15"/>
      <c r="L64" s="16"/>
      <c r="M64" s="24">
        <f>IFERROR(VLOOKUP(tblRiskRegister32[[#This Row],[Asset Class]],tblVCDBIndex[],4,FALSE),"")</f>
        <v>2</v>
      </c>
      <c r="N64" s="24" t="str">
        <f>IFERROR(VLOOKUP(10*tblRiskRegister32[[#This Row],[Safeguard Maturity Score]]+tblRiskRegister32[[#This Row],[VCDB Index]],tblHITIndexWeightTable[],4,FALSE),"")</f>
        <v/>
      </c>
      <c r="O64" s="24">
        <f>VLOOKUP(tblRiskRegister32[[#This Row],[Asset Class]],tblInherentImpacts30[],2,FALSE)</f>
        <v>0</v>
      </c>
      <c r="P64" s="24">
        <f>VLOOKUP(tblRiskRegister32[[#This Row],[Asset Class]],tblInherentImpacts30[],3,FALSE)</f>
        <v>0</v>
      </c>
      <c r="Q64" s="24">
        <f>VLOOKUP(tblRiskRegister32[[#This Row],[Asset Class]],tblInherentImpacts30[],4,FALSE)</f>
        <v>0</v>
      </c>
      <c r="R64" s="24">
        <f>VLOOKUP(tblRiskRegister32[[#This Row],[Asset Class]],tblInherentImpacts30[],5,FALSE)</f>
        <v>0</v>
      </c>
      <c r="S64" s="24" t="str">
        <f>IFERROR(MAX(tblRiskRegister32[[#This Row],[Impact to Mission]:[Impact to Obligations]])*tblRiskRegister32[[#This Row],[Expectancy Score]],"")</f>
        <v/>
      </c>
      <c r="T64" s="24" t="str">
        <f>tblRiskRegister32[[#This Row],[Risk Score]]</f>
        <v/>
      </c>
      <c r="U64" s="86"/>
      <c r="V64" s="86">
        <v>8.1</v>
      </c>
      <c r="W64" s="15" t="s">
        <v>66</v>
      </c>
      <c r="X64" s="15" t="s">
        <v>550</v>
      </c>
      <c r="Y64" s="26"/>
      <c r="Z64" s="16"/>
      <c r="AA64" s="23" t="str">
        <f>IFERROR(VLOOKUP(10*tblRiskRegister32[[#This Row],[Risk Treatment Safeguard Maturity Score]]+tblRiskRegister32[[#This Row],[VCDB Index]],tblHITIndexWeightTable[],4,FALSE),"")</f>
        <v/>
      </c>
      <c r="AB64" s="23">
        <f>VLOOKUP(tblRiskRegister32[[#This Row],[Asset Class]],tblInherentImpacts30[],2,FALSE)</f>
        <v>0</v>
      </c>
      <c r="AC64" s="23">
        <f>VLOOKUP(tblRiskRegister32[[#This Row],[Asset Class]],tblInherentImpacts30[],3,FALSE)</f>
        <v>0</v>
      </c>
      <c r="AD64" s="23">
        <f>VLOOKUP(tblRiskRegister32[[#This Row],[Asset Class]],tblInherentImpacts30[],4,FALSE)</f>
        <v>0</v>
      </c>
      <c r="AE64" s="23">
        <f>VLOOKUP(tblRiskRegister32[[#This Row],[Asset Class]],tblInherentImpacts30[],5,FALSE)</f>
        <v>0</v>
      </c>
      <c r="AF64" s="23" t="str">
        <f>IFERROR(MAX(tblRiskRegister32[[#This Row],[Risk Treatment Safeguard Impact to Mission]:[Risk Treatment Safeguard Impact to Obligations]])*tblRiskRegister32[[#This Row],[Risk Treatment
Safeguard Expectancy Score]],"")</f>
        <v/>
      </c>
      <c r="AG64" s="23" t="str">
        <f>IF(tblRiskRegister32[[#This Row],[Risk Score]]&gt;=AcceptableRisk,IF(tblRiskRegister32[[#This Row],[Risk Treatment Safeguard Risk Score]]&lt;AcceptableRisk, IF(tblRiskRegister32[[#This Row],[Risk Treatment Safeguard Risk Score]]&lt;tblRiskRegister32[[#This Row],[Risk Score]],"Yes","No"),"No"),"Yes")</f>
        <v>No</v>
      </c>
      <c r="AH64" s="17"/>
      <c r="AI64" s="17"/>
      <c r="AJ64" s="18"/>
    </row>
    <row r="65" spans="2:36" ht="28">
      <c r="B65" s="220" t="s">
        <v>90</v>
      </c>
      <c r="C65" s="15"/>
      <c r="D65" s="86">
        <v>8.1999999999999993</v>
      </c>
      <c r="E65" s="14" t="s">
        <v>67</v>
      </c>
      <c r="F65" s="13" t="s">
        <v>429</v>
      </c>
      <c r="G65" s="13" t="s">
        <v>429</v>
      </c>
      <c r="H65" s="13" t="s">
        <v>523</v>
      </c>
      <c r="I65" s="15"/>
      <c r="J65" s="15"/>
      <c r="K65" s="15"/>
      <c r="L65" s="16"/>
      <c r="M65" s="24">
        <f>IFERROR(VLOOKUP(tblRiskRegister32[[#This Row],[Asset Class]],tblVCDBIndex[],4,FALSE),"")</f>
        <v>2</v>
      </c>
      <c r="N65" s="24" t="str">
        <f>IFERROR(VLOOKUP(10*tblRiskRegister32[[#This Row],[Safeguard Maturity Score]]+tblRiskRegister32[[#This Row],[VCDB Index]],tblHITIndexWeightTable[],4,FALSE),"")</f>
        <v/>
      </c>
      <c r="O65" s="24">
        <f>VLOOKUP(tblRiskRegister32[[#This Row],[Asset Class]],tblInherentImpacts30[],2,FALSE)</f>
        <v>0</v>
      </c>
      <c r="P65" s="24">
        <f>VLOOKUP(tblRiskRegister32[[#This Row],[Asset Class]],tblInherentImpacts30[],3,FALSE)</f>
        <v>0</v>
      </c>
      <c r="Q65" s="24">
        <f>VLOOKUP(tblRiskRegister32[[#This Row],[Asset Class]],tblInherentImpacts30[],4,FALSE)</f>
        <v>0</v>
      </c>
      <c r="R65" s="24">
        <f>VLOOKUP(tblRiskRegister32[[#This Row],[Asset Class]],tblInherentImpacts30[],5,FALSE)</f>
        <v>0</v>
      </c>
      <c r="S65" s="24" t="str">
        <f>IFERROR(MAX(tblRiskRegister32[[#This Row],[Impact to Mission]:[Impact to Obligations]])*tblRiskRegister32[[#This Row],[Expectancy Score]],"")</f>
        <v/>
      </c>
      <c r="T65" s="24" t="str">
        <f>tblRiskRegister32[[#This Row],[Risk Score]]</f>
        <v/>
      </c>
      <c r="U65" s="86"/>
      <c r="V65" s="86">
        <v>8.1999999999999993</v>
      </c>
      <c r="W65" s="15" t="s">
        <v>67</v>
      </c>
      <c r="X65" s="15" t="s">
        <v>369</v>
      </c>
      <c r="Y65" s="26"/>
      <c r="Z65" s="16"/>
      <c r="AA65" s="23" t="str">
        <f>IFERROR(VLOOKUP(10*tblRiskRegister32[[#This Row],[Risk Treatment Safeguard Maturity Score]]+tblRiskRegister32[[#This Row],[VCDB Index]],tblHITIndexWeightTable[],4,FALSE),"")</f>
        <v/>
      </c>
      <c r="AB65" s="23">
        <f>VLOOKUP(tblRiskRegister32[[#This Row],[Asset Class]],tblInherentImpacts30[],2,FALSE)</f>
        <v>0</v>
      </c>
      <c r="AC65" s="23">
        <f>VLOOKUP(tblRiskRegister32[[#This Row],[Asset Class]],tblInherentImpacts30[],3,FALSE)</f>
        <v>0</v>
      </c>
      <c r="AD65" s="23">
        <f>VLOOKUP(tblRiskRegister32[[#This Row],[Asset Class]],tblInherentImpacts30[],4,FALSE)</f>
        <v>0</v>
      </c>
      <c r="AE65" s="23">
        <f>VLOOKUP(tblRiskRegister32[[#This Row],[Asset Class]],tblInherentImpacts30[],5,FALSE)</f>
        <v>0</v>
      </c>
      <c r="AF65" s="23" t="str">
        <f>IFERROR(MAX(tblRiskRegister32[[#This Row],[Risk Treatment Safeguard Impact to Mission]:[Risk Treatment Safeguard Impact to Obligations]])*tblRiskRegister32[[#This Row],[Risk Treatment
Safeguard Expectancy Score]],"")</f>
        <v/>
      </c>
      <c r="AG65" s="23" t="str">
        <f>IF(tblRiskRegister32[[#This Row],[Risk Score]]&gt;=AcceptableRisk,IF(tblRiskRegister32[[#This Row],[Risk Treatment Safeguard Risk Score]]&lt;AcceptableRisk, IF(tblRiskRegister32[[#This Row],[Risk Treatment Safeguard Risk Score]]&lt;tblRiskRegister32[[#This Row],[Risk Score]],"Yes","No"),"No"),"Yes")</f>
        <v>No</v>
      </c>
      <c r="AH65" s="17"/>
      <c r="AI65" s="17"/>
      <c r="AJ65" s="18"/>
    </row>
    <row r="66" spans="2:36" ht="28">
      <c r="B66" s="220" t="s">
        <v>92</v>
      </c>
      <c r="C66" s="15"/>
      <c r="D66" s="86">
        <v>8.3000000000000007</v>
      </c>
      <c r="E66" s="14" t="s">
        <v>68</v>
      </c>
      <c r="F66" s="13" t="s">
        <v>429</v>
      </c>
      <c r="G66" s="13" t="s">
        <v>429</v>
      </c>
      <c r="H66" s="13" t="s">
        <v>523</v>
      </c>
      <c r="I66" s="15"/>
      <c r="J66" s="15"/>
      <c r="K66" s="15"/>
      <c r="L66" s="16"/>
      <c r="M66" s="24">
        <f>IFERROR(VLOOKUP(tblRiskRegister32[[#This Row],[Asset Class]],tblVCDBIndex[],4,FALSE),"")</f>
        <v>1</v>
      </c>
      <c r="N66" s="24" t="str">
        <f>IFERROR(VLOOKUP(10*tblRiskRegister32[[#This Row],[Safeguard Maturity Score]]+tblRiskRegister32[[#This Row],[VCDB Index]],tblHITIndexWeightTable[],4,FALSE),"")</f>
        <v/>
      </c>
      <c r="O66" s="24">
        <f>VLOOKUP(tblRiskRegister32[[#This Row],[Asset Class]],tblInherentImpacts30[],2,FALSE)</f>
        <v>0</v>
      </c>
      <c r="P66" s="24">
        <f>VLOOKUP(tblRiskRegister32[[#This Row],[Asset Class]],tblInherentImpacts30[],3,FALSE)</f>
        <v>0</v>
      </c>
      <c r="Q66" s="24">
        <f>VLOOKUP(tblRiskRegister32[[#This Row],[Asset Class]],tblInherentImpacts30[],4,FALSE)</f>
        <v>0</v>
      </c>
      <c r="R66" s="24">
        <f>VLOOKUP(tblRiskRegister32[[#This Row],[Asset Class]],tblInherentImpacts30[],5,FALSE)</f>
        <v>0</v>
      </c>
      <c r="S66" s="24" t="str">
        <f>IFERROR(MAX(tblRiskRegister32[[#This Row],[Impact to Mission]:[Impact to Obligations]])*tblRiskRegister32[[#This Row],[Expectancy Score]],"")</f>
        <v/>
      </c>
      <c r="T66" s="24" t="str">
        <f>tblRiskRegister32[[#This Row],[Risk Score]]</f>
        <v/>
      </c>
      <c r="U66" s="86"/>
      <c r="V66" s="86">
        <v>8.3000000000000007</v>
      </c>
      <c r="W66" s="15" t="s">
        <v>68</v>
      </c>
      <c r="X66" s="15" t="s">
        <v>370</v>
      </c>
      <c r="Y66" s="26"/>
      <c r="Z66" s="16"/>
      <c r="AA66" s="23" t="str">
        <f>IFERROR(VLOOKUP(10*tblRiskRegister32[[#This Row],[Risk Treatment Safeguard Maturity Score]]+tblRiskRegister32[[#This Row],[VCDB Index]],tblHITIndexWeightTable[],4,FALSE),"")</f>
        <v/>
      </c>
      <c r="AB66" s="23">
        <f>VLOOKUP(tblRiskRegister32[[#This Row],[Asset Class]],tblInherentImpacts30[],2,FALSE)</f>
        <v>0</v>
      </c>
      <c r="AC66" s="23">
        <f>VLOOKUP(tblRiskRegister32[[#This Row],[Asset Class]],tblInherentImpacts30[],3,FALSE)</f>
        <v>0</v>
      </c>
      <c r="AD66" s="23">
        <f>VLOOKUP(tblRiskRegister32[[#This Row],[Asset Class]],tblInherentImpacts30[],4,FALSE)</f>
        <v>0</v>
      </c>
      <c r="AE66" s="23">
        <f>VLOOKUP(tblRiskRegister32[[#This Row],[Asset Class]],tblInherentImpacts30[],5,FALSE)</f>
        <v>0</v>
      </c>
      <c r="AF66" s="23" t="str">
        <f>IFERROR(MAX(tblRiskRegister32[[#This Row],[Risk Treatment Safeguard Impact to Mission]:[Risk Treatment Safeguard Impact to Obligations]])*tblRiskRegister32[[#This Row],[Risk Treatment
Safeguard Expectancy Score]],"")</f>
        <v/>
      </c>
      <c r="AG66" s="23" t="str">
        <f>IF(tblRiskRegister32[[#This Row],[Risk Score]]&gt;=AcceptableRisk,IF(tblRiskRegister32[[#This Row],[Risk Treatment Safeguard Risk Score]]&lt;AcceptableRisk, IF(tblRiskRegister32[[#This Row],[Risk Treatment Safeguard Risk Score]]&lt;tblRiskRegister32[[#This Row],[Risk Score]],"Yes","No"),"No"),"Yes")</f>
        <v>No</v>
      </c>
      <c r="AH66" s="17"/>
      <c r="AI66" s="17"/>
      <c r="AJ66" s="18"/>
    </row>
    <row r="67" spans="2:36" ht="28">
      <c r="B67" s="220" t="s">
        <v>90</v>
      </c>
      <c r="C67" s="15"/>
      <c r="D67" s="86">
        <v>8.4</v>
      </c>
      <c r="E67" s="14" t="s">
        <v>206</v>
      </c>
      <c r="F67" s="13"/>
      <c r="G67" s="13" t="s">
        <v>429</v>
      </c>
      <c r="H67" s="13" t="s">
        <v>524</v>
      </c>
      <c r="I67" s="15"/>
      <c r="J67" s="15"/>
      <c r="K67" s="15"/>
      <c r="L67" s="16"/>
      <c r="M67" s="24">
        <f>IFERROR(VLOOKUP(tblRiskRegister32[[#This Row],[Asset Class]],tblVCDBIndex[],4,FALSE),"")</f>
        <v>2</v>
      </c>
      <c r="N67" s="24" t="str">
        <f>IFERROR(VLOOKUP(10*tblRiskRegister32[[#This Row],[Safeguard Maturity Score]]+tblRiskRegister32[[#This Row],[VCDB Index]],tblHITIndexWeightTable[],4,FALSE),"")</f>
        <v/>
      </c>
      <c r="O67" s="24">
        <f>VLOOKUP(tblRiskRegister32[[#This Row],[Asset Class]],tblInherentImpacts30[],2,FALSE)</f>
        <v>0</v>
      </c>
      <c r="P67" s="24">
        <f>VLOOKUP(tblRiskRegister32[[#This Row],[Asset Class]],tblInherentImpacts30[],3,FALSE)</f>
        <v>0</v>
      </c>
      <c r="Q67" s="24">
        <f>VLOOKUP(tblRiskRegister32[[#This Row],[Asset Class]],tblInherentImpacts30[],4,FALSE)</f>
        <v>0</v>
      </c>
      <c r="R67" s="24">
        <f>VLOOKUP(tblRiskRegister32[[#This Row],[Asset Class]],tblInherentImpacts30[],5,FALSE)</f>
        <v>0</v>
      </c>
      <c r="S67" s="24" t="str">
        <f>IFERROR(MAX(tblRiskRegister32[[#This Row],[Impact to Mission]:[Impact to Obligations]])*tblRiskRegister32[[#This Row],[Expectancy Score]],"")</f>
        <v/>
      </c>
      <c r="T67" s="24" t="str">
        <f>tblRiskRegister32[[#This Row],[Risk Score]]</f>
        <v/>
      </c>
      <c r="U67" s="86"/>
      <c r="V67" s="86">
        <v>8.4</v>
      </c>
      <c r="W67" s="15" t="s">
        <v>206</v>
      </c>
      <c r="X67" s="15" t="s">
        <v>371</v>
      </c>
      <c r="Y67" s="26"/>
      <c r="Z67" s="16"/>
      <c r="AA67" s="23" t="str">
        <f>IFERROR(VLOOKUP(10*tblRiskRegister32[[#This Row],[Risk Treatment Safeguard Maturity Score]]+tblRiskRegister32[[#This Row],[VCDB Index]],tblHITIndexWeightTable[],4,FALSE),"")</f>
        <v/>
      </c>
      <c r="AB67" s="23">
        <f>VLOOKUP(tblRiskRegister32[[#This Row],[Asset Class]],tblInherentImpacts30[],2,FALSE)</f>
        <v>0</v>
      </c>
      <c r="AC67" s="23">
        <f>VLOOKUP(tblRiskRegister32[[#This Row],[Asset Class]],tblInherentImpacts30[],3,FALSE)</f>
        <v>0</v>
      </c>
      <c r="AD67" s="23">
        <f>VLOOKUP(tblRiskRegister32[[#This Row],[Asset Class]],tblInherentImpacts30[],4,FALSE)</f>
        <v>0</v>
      </c>
      <c r="AE67" s="23">
        <f>VLOOKUP(tblRiskRegister32[[#This Row],[Asset Class]],tblInherentImpacts30[],5,FALSE)</f>
        <v>0</v>
      </c>
      <c r="AF67" s="23" t="str">
        <f>IFERROR(MAX(tblRiskRegister32[[#This Row],[Risk Treatment Safeguard Impact to Mission]:[Risk Treatment Safeguard Impact to Obligations]])*tblRiskRegister32[[#This Row],[Risk Treatment
Safeguard Expectancy Score]],"")</f>
        <v/>
      </c>
      <c r="AG67" s="23" t="str">
        <f>IF(tblRiskRegister32[[#This Row],[Risk Score]]&gt;=AcceptableRisk,IF(tblRiskRegister32[[#This Row],[Risk Treatment Safeguard Risk Score]]&lt;AcceptableRisk, IF(tblRiskRegister32[[#This Row],[Risk Treatment Safeguard Risk Score]]&lt;tblRiskRegister32[[#This Row],[Risk Score]],"Yes","No"),"No"),"Yes")</f>
        <v>No</v>
      </c>
      <c r="AH67" s="17"/>
      <c r="AI67" s="17"/>
      <c r="AJ67" s="18"/>
    </row>
    <row r="68" spans="2:36" ht="42">
      <c r="B68" s="220" t="s">
        <v>90</v>
      </c>
      <c r="C68" s="15"/>
      <c r="D68" s="86">
        <v>8.5</v>
      </c>
      <c r="E68" s="14" t="s">
        <v>207</v>
      </c>
      <c r="F68" s="13"/>
      <c r="G68" s="13" t="s">
        <v>429</v>
      </c>
      <c r="H68" s="13" t="s">
        <v>524</v>
      </c>
      <c r="I68" s="15"/>
      <c r="J68" s="15"/>
      <c r="K68" s="15"/>
      <c r="L68" s="16"/>
      <c r="M68" s="24">
        <f>IFERROR(VLOOKUP(tblRiskRegister32[[#This Row],[Asset Class]],tblVCDBIndex[],4,FALSE),"")</f>
        <v>2</v>
      </c>
      <c r="N68" s="24" t="str">
        <f>IFERROR(VLOOKUP(10*tblRiskRegister32[[#This Row],[Safeguard Maturity Score]]+tblRiskRegister32[[#This Row],[VCDB Index]],tblHITIndexWeightTable[],4,FALSE),"")</f>
        <v/>
      </c>
      <c r="O68" s="24">
        <f>VLOOKUP(tblRiskRegister32[[#This Row],[Asset Class]],tblInherentImpacts30[],2,FALSE)</f>
        <v>0</v>
      </c>
      <c r="P68" s="24">
        <f>VLOOKUP(tblRiskRegister32[[#This Row],[Asset Class]],tblInherentImpacts30[],3,FALSE)</f>
        <v>0</v>
      </c>
      <c r="Q68" s="24">
        <f>VLOOKUP(tblRiskRegister32[[#This Row],[Asset Class]],tblInherentImpacts30[],4,FALSE)</f>
        <v>0</v>
      </c>
      <c r="R68" s="24">
        <f>VLOOKUP(tblRiskRegister32[[#This Row],[Asset Class]],tblInherentImpacts30[],5,FALSE)</f>
        <v>0</v>
      </c>
      <c r="S68" s="24" t="str">
        <f>IFERROR(MAX(tblRiskRegister32[[#This Row],[Impact to Mission]:[Impact to Obligations]])*tblRiskRegister32[[#This Row],[Expectancy Score]],"")</f>
        <v/>
      </c>
      <c r="T68" s="24" t="str">
        <f>tblRiskRegister32[[#This Row],[Risk Score]]</f>
        <v/>
      </c>
      <c r="U68" s="86"/>
      <c r="V68" s="86">
        <v>8.5</v>
      </c>
      <c r="W68" s="15" t="s">
        <v>207</v>
      </c>
      <c r="X68" s="15" t="s">
        <v>372</v>
      </c>
      <c r="Y68" s="26"/>
      <c r="Z68" s="16"/>
      <c r="AA68" s="23" t="str">
        <f>IFERROR(VLOOKUP(10*tblRiskRegister32[[#This Row],[Risk Treatment Safeguard Maturity Score]]+tblRiskRegister32[[#This Row],[VCDB Index]],tblHITIndexWeightTable[],4,FALSE),"")</f>
        <v/>
      </c>
      <c r="AB68" s="23">
        <f>VLOOKUP(tblRiskRegister32[[#This Row],[Asset Class]],tblInherentImpacts30[],2,FALSE)</f>
        <v>0</v>
      </c>
      <c r="AC68" s="23">
        <f>VLOOKUP(tblRiskRegister32[[#This Row],[Asset Class]],tblInherentImpacts30[],3,FALSE)</f>
        <v>0</v>
      </c>
      <c r="AD68" s="23">
        <f>VLOOKUP(tblRiskRegister32[[#This Row],[Asset Class]],tblInherentImpacts30[],4,FALSE)</f>
        <v>0</v>
      </c>
      <c r="AE68" s="23">
        <f>VLOOKUP(tblRiskRegister32[[#This Row],[Asset Class]],tblInherentImpacts30[],5,FALSE)</f>
        <v>0</v>
      </c>
      <c r="AF68" s="23" t="str">
        <f>IFERROR(MAX(tblRiskRegister32[[#This Row],[Risk Treatment Safeguard Impact to Mission]:[Risk Treatment Safeguard Impact to Obligations]])*tblRiskRegister32[[#This Row],[Risk Treatment
Safeguard Expectancy Score]],"")</f>
        <v/>
      </c>
      <c r="AG68" s="23" t="str">
        <f>IF(tblRiskRegister32[[#This Row],[Risk Score]]&gt;=AcceptableRisk,IF(tblRiskRegister32[[#This Row],[Risk Treatment Safeguard Risk Score]]&lt;AcceptableRisk, IF(tblRiskRegister32[[#This Row],[Risk Treatment Safeguard Risk Score]]&lt;tblRiskRegister32[[#This Row],[Risk Score]],"Yes","No"),"No"),"Yes")</f>
        <v>No</v>
      </c>
      <c r="AH68" s="17"/>
      <c r="AI68" s="17"/>
      <c r="AJ68" s="18"/>
    </row>
    <row r="69" spans="2:36" ht="28">
      <c r="B69" s="220" t="s">
        <v>90</v>
      </c>
      <c r="C69" s="15"/>
      <c r="D69" s="86">
        <v>8.6</v>
      </c>
      <c r="E69" s="14" t="s">
        <v>208</v>
      </c>
      <c r="F69" s="13"/>
      <c r="G69" s="13" t="s">
        <v>429</v>
      </c>
      <c r="H69" s="13" t="s">
        <v>524</v>
      </c>
      <c r="I69" s="15"/>
      <c r="J69" s="15"/>
      <c r="K69" s="15"/>
      <c r="L69" s="16"/>
      <c r="M69" s="24">
        <f>IFERROR(VLOOKUP(tblRiskRegister32[[#This Row],[Asset Class]],tblVCDBIndex[],4,FALSE),"")</f>
        <v>2</v>
      </c>
      <c r="N69" s="24" t="str">
        <f>IFERROR(VLOOKUP(10*tblRiskRegister32[[#This Row],[Safeguard Maturity Score]]+tblRiskRegister32[[#This Row],[VCDB Index]],tblHITIndexWeightTable[],4,FALSE),"")</f>
        <v/>
      </c>
      <c r="O69" s="24">
        <f>VLOOKUP(tblRiskRegister32[[#This Row],[Asset Class]],tblInherentImpacts30[],2,FALSE)</f>
        <v>0</v>
      </c>
      <c r="P69" s="24">
        <f>VLOOKUP(tblRiskRegister32[[#This Row],[Asset Class]],tblInherentImpacts30[],3,FALSE)</f>
        <v>0</v>
      </c>
      <c r="Q69" s="24">
        <f>VLOOKUP(tblRiskRegister32[[#This Row],[Asset Class]],tblInherentImpacts30[],4,FALSE)</f>
        <v>0</v>
      </c>
      <c r="R69" s="24">
        <f>VLOOKUP(tblRiskRegister32[[#This Row],[Asset Class]],tblInherentImpacts30[],5,FALSE)</f>
        <v>0</v>
      </c>
      <c r="S69" s="24" t="str">
        <f>IFERROR(MAX(tblRiskRegister32[[#This Row],[Impact to Mission]:[Impact to Obligations]])*tblRiskRegister32[[#This Row],[Expectancy Score]],"")</f>
        <v/>
      </c>
      <c r="T69" s="24" t="str">
        <f>tblRiskRegister32[[#This Row],[Risk Score]]</f>
        <v/>
      </c>
      <c r="U69" s="86"/>
      <c r="V69" s="86">
        <v>8.6</v>
      </c>
      <c r="W69" s="15" t="s">
        <v>208</v>
      </c>
      <c r="X69" s="15" t="s">
        <v>373</v>
      </c>
      <c r="Y69" s="26"/>
      <c r="Z69" s="16"/>
      <c r="AA69" s="23" t="str">
        <f>IFERROR(VLOOKUP(10*tblRiskRegister32[[#This Row],[Risk Treatment Safeguard Maturity Score]]+tblRiskRegister32[[#This Row],[VCDB Index]],tblHITIndexWeightTable[],4,FALSE),"")</f>
        <v/>
      </c>
      <c r="AB69" s="23">
        <f>VLOOKUP(tblRiskRegister32[[#This Row],[Asset Class]],tblInherentImpacts30[],2,FALSE)</f>
        <v>0</v>
      </c>
      <c r="AC69" s="23">
        <f>VLOOKUP(tblRiskRegister32[[#This Row],[Asset Class]],tblInherentImpacts30[],3,FALSE)</f>
        <v>0</v>
      </c>
      <c r="AD69" s="23">
        <f>VLOOKUP(tblRiskRegister32[[#This Row],[Asset Class]],tblInherentImpacts30[],4,FALSE)</f>
        <v>0</v>
      </c>
      <c r="AE69" s="23">
        <f>VLOOKUP(tblRiskRegister32[[#This Row],[Asset Class]],tblInherentImpacts30[],5,FALSE)</f>
        <v>0</v>
      </c>
      <c r="AF69" s="23" t="str">
        <f>IFERROR(MAX(tblRiskRegister32[[#This Row],[Risk Treatment Safeguard Impact to Mission]:[Risk Treatment Safeguard Impact to Obligations]])*tblRiskRegister32[[#This Row],[Risk Treatment
Safeguard Expectancy Score]],"")</f>
        <v/>
      </c>
      <c r="AG69" s="23" t="str">
        <f>IF(tblRiskRegister32[[#This Row],[Risk Score]]&gt;=AcceptableRisk,IF(tblRiskRegister32[[#This Row],[Risk Treatment Safeguard Risk Score]]&lt;AcceptableRisk, IF(tblRiskRegister32[[#This Row],[Risk Treatment Safeguard Risk Score]]&lt;tblRiskRegister32[[#This Row],[Risk Score]],"Yes","No"),"No"),"Yes")</f>
        <v>No</v>
      </c>
      <c r="AH69" s="17"/>
      <c r="AI69" s="17"/>
      <c r="AJ69" s="18"/>
    </row>
    <row r="70" spans="2:36" ht="28">
      <c r="B70" s="220" t="s">
        <v>90</v>
      </c>
      <c r="C70" s="15"/>
      <c r="D70" s="86">
        <v>8.6999999999999993</v>
      </c>
      <c r="E70" s="14" t="s">
        <v>209</v>
      </c>
      <c r="F70" s="13"/>
      <c r="G70" s="13" t="s">
        <v>429</v>
      </c>
      <c r="H70" s="13" t="s">
        <v>524</v>
      </c>
      <c r="I70" s="15"/>
      <c r="J70" s="15"/>
      <c r="K70" s="15"/>
      <c r="L70" s="16"/>
      <c r="M70" s="24">
        <f>IFERROR(VLOOKUP(tblRiskRegister32[[#This Row],[Asset Class]],tblVCDBIndex[],4,FALSE),"")</f>
        <v>2</v>
      </c>
      <c r="N70" s="24" t="str">
        <f>IFERROR(VLOOKUP(10*tblRiskRegister32[[#This Row],[Safeguard Maturity Score]]+tblRiskRegister32[[#This Row],[VCDB Index]],tblHITIndexWeightTable[],4,FALSE),"")</f>
        <v/>
      </c>
      <c r="O70" s="24">
        <f>VLOOKUP(tblRiskRegister32[[#This Row],[Asset Class]],tblInherentImpacts30[],2,FALSE)</f>
        <v>0</v>
      </c>
      <c r="P70" s="24">
        <f>VLOOKUP(tblRiskRegister32[[#This Row],[Asset Class]],tblInherentImpacts30[],3,FALSE)</f>
        <v>0</v>
      </c>
      <c r="Q70" s="24">
        <f>VLOOKUP(tblRiskRegister32[[#This Row],[Asset Class]],tblInherentImpacts30[],4,FALSE)</f>
        <v>0</v>
      </c>
      <c r="R70" s="24">
        <f>VLOOKUP(tblRiskRegister32[[#This Row],[Asset Class]],tblInherentImpacts30[],5,FALSE)</f>
        <v>0</v>
      </c>
      <c r="S70" s="24" t="str">
        <f>IFERROR(MAX(tblRiskRegister32[[#This Row],[Impact to Mission]:[Impact to Obligations]])*tblRiskRegister32[[#This Row],[Expectancy Score]],"")</f>
        <v/>
      </c>
      <c r="T70" s="24" t="str">
        <f>tblRiskRegister32[[#This Row],[Risk Score]]</f>
        <v/>
      </c>
      <c r="U70" s="86"/>
      <c r="V70" s="86">
        <v>8.6999999999999993</v>
      </c>
      <c r="W70" s="15" t="s">
        <v>209</v>
      </c>
      <c r="X70" s="15" t="s">
        <v>374</v>
      </c>
      <c r="Y70" s="26"/>
      <c r="Z70" s="16"/>
      <c r="AA70" s="23" t="str">
        <f>IFERROR(VLOOKUP(10*tblRiskRegister32[[#This Row],[Risk Treatment Safeguard Maturity Score]]+tblRiskRegister32[[#This Row],[VCDB Index]],tblHITIndexWeightTable[],4,FALSE),"")</f>
        <v/>
      </c>
      <c r="AB70" s="23">
        <f>VLOOKUP(tblRiskRegister32[[#This Row],[Asset Class]],tblInherentImpacts30[],2,FALSE)</f>
        <v>0</v>
      </c>
      <c r="AC70" s="23">
        <f>VLOOKUP(tblRiskRegister32[[#This Row],[Asset Class]],tblInherentImpacts30[],3,FALSE)</f>
        <v>0</v>
      </c>
      <c r="AD70" s="23">
        <f>VLOOKUP(tblRiskRegister32[[#This Row],[Asset Class]],tblInherentImpacts30[],4,FALSE)</f>
        <v>0</v>
      </c>
      <c r="AE70" s="23">
        <f>VLOOKUP(tblRiskRegister32[[#This Row],[Asset Class]],tblInherentImpacts30[],5,FALSE)</f>
        <v>0</v>
      </c>
      <c r="AF70" s="23" t="str">
        <f>IFERROR(MAX(tblRiskRegister32[[#This Row],[Risk Treatment Safeguard Impact to Mission]:[Risk Treatment Safeguard Impact to Obligations]])*tblRiskRegister32[[#This Row],[Risk Treatment
Safeguard Expectancy Score]],"")</f>
        <v/>
      </c>
      <c r="AG70" s="23" t="str">
        <f>IF(tblRiskRegister32[[#This Row],[Risk Score]]&gt;=AcceptableRisk,IF(tblRiskRegister32[[#This Row],[Risk Treatment Safeguard Risk Score]]&lt;AcceptableRisk, IF(tblRiskRegister32[[#This Row],[Risk Treatment Safeguard Risk Score]]&lt;tblRiskRegister32[[#This Row],[Risk Score]],"Yes","No"),"No"),"Yes")</f>
        <v>No</v>
      </c>
      <c r="AH70" s="17"/>
      <c r="AI70" s="17"/>
      <c r="AJ70" s="18"/>
    </row>
    <row r="71" spans="2:36" ht="28">
      <c r="B71" s="220" t="s">
        <v>90</v>
      </c>
      <c r="C71" s="15"/>
      <c r="D71" s="86">
        <v>8.8000000000000007</v>
      </c>
      <c r="E71" s="14" t="s">
        <v>187</v>
      </c>
      <c r="F71" s="13"/>
      <c r="G71" s="13" t="s">
        <v>429</v>
      </c>
      <c r="H71" s="13" t="s">
        <v>524</v>
      </c>
      <c r="I71" s="15"/>
      <c r="J71" s="15"/>
      <c r="K71" s="15"/>
      <c r="L71" s="16"/>
      <c r="M71" s="24">
        <f>IFERROR(VLOOKUP(tblRiskRegister32[[#This Row],[Asset Class]],tblVCDBIndex[],4,FALSE),"")</f>
        <v>2</v>
      </c>
      <c r="N71" s="24" t="str">
        <f>IFERROR(VLOOKUP(10*tblRiskRegister32[[#This Row],[Safeguard Maturity Score]]+tblRiskRegister32[[#This Row],[VCDB Index]],tblHITIndexWeightTable[],4,FALSE),"")</f>
        <v/>
      </c>
      <c r="O71" s="24">
        <f>VLOOKUP(tblRiskRegister32[[#This Row],[Asset Class]],tblInherentImpacts30[],2,FALSE)</f>
        <v>0</v>
      </c>
      <c r="P71" s="24">
        <f>VLOOKUP(tblRiskRegister32[[#This Row],[Asset Class]],tblInherentImpacts30[],3,FALSE)</f>
        <v>0</v>
      </c>
      <c r="Q71" s="24">
        <f>VLOOKUP(tblRiskRegister32[[#This Row],[Asset Class]],tblInherentImpacts30[],4,FALSE)</f>
        <v>0</v>
      </c>
      <c r="R71" s="24">
        <f>VLOOKUP(tblRiskRegister32[[#This Row],[Asset Class]],tblInherentImpacts30[],5,FALSE)</f>
        <v>0</v>
      </c>
      <c r="S71" s="24" t="str">
        <f>IFERROR(MAX(tblRiskRegister32[[#This Row],[Impact to Mission]:[Impact to Obligations]])*tblRiskRegister32[[#This Row],[Expectancy Score]],"")</f>
        <v/>
      </c>
      <c r="T71" s="24" t="str">
        <f>tblRiskRegister32[[#This Row],[Risk Score]]</f>
        <v/>
      </c>
      <c r="U71" s="86"/>
      <c r="V71" s="86">
        <v>8.8000000000000007</v>
      </c>
      <c r="W71" s="15" t="s">
        <v>187</v>
      </c>
      <c r="X71" s="15" t="s">
        <v>375</v>
      </c>
      <c r="Y71" s="26"/>
      <c r="Z71" s="16"/>
      <c r="AA71" s="23" t="str">
        <f>IFERROR(VLOOKUP(10*tblRiskRegister32[[#This Row],[Risk Treatment Safeguard Maturity Score]]+tblRiskRegister32[[#This Row],[VCDB Index]],tblHITIndexWeightTable[],4,FALSE),"")</f>
        <v/>
      </c>
      <c r="AB71" s="23">
        <f>VLOOKUP(tblRiskRegister32[[#This Row],[Asset Class]],tblInherentImpacts30[],2,FALSE)</f>
        <v>0</v>
      </c>
      <c r="AC71" s="23">
        <f>VLOOKUP(tblRiskRegister32[[#This Row],[Asset Class]],tblInherentImpacts30[],3,FALSE)</f>
        <v>0</v>
      </c>
      <c r="AD71" s="23">
        <f>VLOOKUP(tblRiskRegister32[[#This Row],[Asset Class]],tblInherentImpacts30[],4,FALSE)</f>
        <v>0</v>
      </c>
      <c r="AE71" s="23">
        <f>VLOOKUP(tblRiskRegister32[[#This Row],[Asset Class]],tblInherentImpacts30[],5,FALSE)</f>
        <v>0</v>
      </c>
      <c r="AF71" s="23" t="str">
        <f>IFERROR(MAX(tblRiskRegister32[[#This Row],[Risk Treatment Safeguard Impact to Mission]:[Risk Treatment Safeguard Impact to Obligations]])*tblRiskRegister32[[#This Row],[Risk Treatment
Safeguard Expectancy Score]],"")</f>
        <v/>
      </c>
      <c r="AG71" s="23" t="str">
        <f>IF(tblRiskRegister32[[#This Row],[Risk Score]]&gt;=AcceptableRisk,IF(tblRiskRegister32[[#This Row],[Risk Treatment Safeguard Risk Score]]&lt;AcceptableRisk, IF(tblRiskRegister32[[#This Row],[Risk Treatment Safeguard Risk Score]]&lt;tblRiskRegister32[[#This Row],[Risk Score]],"Yes","No"),"No"),"Yes")</f>
        <v>No</v>
      </c>
      <c r="AH71" s="17"/>
      <c r="AI71" s="17"/>
      <c r="AJ71" s="18"/>
    </row>
    <row r="72" spans="2:36" ht="56">
      <c r="B72" s="220" t="s">
        <v>90</v>
      </c>
      <c r="C72" s="15"/>
      <c r="D72" s="86">
        <v>8.9</v>
      </c>
      <c r="E72" s="14" t="s">
        <v>210</v>
      </c>
      <c r="F72" s="13"/>
      <c r="G72" s="13" t="s">
        <v>429</v>
      </c>
      <c r="H72" s="13" t="s">
        <v>523</v>
      </c>
      <c r="I72" s="15"/>
      <c r="J72" s="15"/>
      <c r="K72" s="15"/>
      <c r="L72" s="16"/>
      <c r="M72" s="24">
        <f>IFERROR(VLOOKUP(tblRiskRegister32[[#This Row],[Asset Class]],tblVCDBIndex[],4,FALSE),"")</f>
        <v>2</v>
      </c>
      <c r="N72" s="24" t="str">
        <f>IFERROR(VLOOKUP(10*tblRiskRegister32[[#This Row],[Safeguard Maturity Score]]+tblRiskRegister32[[#This Row],[VCDB Index]],tblHITIndexWeightTable[],4,FALSE),"")</f>
        <v/>
      </c>
      <c r="O72" s="24">
        <f>VLOOKUP(tblRiskRegister32[[#This Row],[Asset Class]],tblInherentImpacts30[],2,FALSE)</f>
        <v>0</v>
      </c>
      <c r="P72" s="24">
        <f>VLOOKUP(tblRiskRegister32[[#This Row],[Asset Class]],tblInherentImpacts30[],3,FALSE)</f>
        <v>0</v>
      </c>
      <c r="Q72" s="24">
        <f>VLOOKUP(tblRiskRegister32[[#This Row],[Asset Class]],tblInherentImpacts30[],4,FALSE)</f>
        <v>0</v>
      </c>
      <c r="R72" s="24">
        <f>VLOOKUP(tblRiskRegister32[[#This Row],[Asset Class]],tblInherentImpacts30[],5,FALSE)</f>
        <v>0</v>
      </c>
      <c r="S72" s="24" t="str">
        <f>IFERROR(MAX(tblRiskRegister32[[#This Row],[Impact to Mission]:[Impact to Obligations]])*tblRiskRegister32[[#This Row],[Expectancy Score]],"")</f>
        <v/>
      </c>
      <c r="T72" s="24" t="str">
        <f>tblRiskRegister32[[#This Row],[Risk Score]]</f>
        <v/>
      </c>
      <c r="U72" s="86"/>
      <c r="V72" s="86">
        <v>8.9</v>
      </c>
      <c r="W72" s="15" t="s">
        <v>210</v>
      </c>
      <c r="X72" s="15" t="s">
        <v>551</v>
      </c>
      <c r="Y72" s="26"/>
      <c r="Z72" s="16"/>
      <c r="AA72" s="23" t="str">
        <f>IFERROR(VLOOKUP(10*tblRiskRegister32[[#This Row],[Risk Treatment Safeguard Maturity Score]]+tblRiskRegister32[[#This Row],[VCDB Index]],tblHITIndexWeightTable[],4,FALSE),"")</f>
        <v/>
      </c>
      <c r="AB72" s="23">
        <f>VLOOKUP(tblRiskRegister32[[#This Row],[Asset Class]],tblInherentImpacts30[],2,FALSE)</f>
        <v>0</v>
      </c>
      <c r="AC72" s="23">
        <f>VLOOKUP(tblRiskRegister32[[#This Row],[Asset Class]],tblInherentImpacts30[],3,FALSE)</f>
        <v>0</v>
      </c>
      <c r="AD72" s="23">
        <f>VLOOKUP(tblRiskRegister32[[#This Row],[Asset Class]],tblInherentImpacts30[],4,FALSE)</f>
        <v>0</v>
      </c>
      <c r="AE72" s="23">
        <f>VLOOKUP(tblRiskRegister32[[#This Row],[Asset Class]],tblInherentImpacts30[],5,FALSE)</f>
        <v>0</v>
      </c>
      <c r="AF72" s="23" t="str">
        <f>IFERROR(MAX(tblRiskRegister32[[#This Row],[Risk Treatment Safeguard Impact to Mission]:[Risk Treatment Safeguard Impact to Obligations]])*tblRiskRegister32[[#This Row],[Risk Treatment
Safeguard Expectancy Score]],"")</f>
        <v/>
      </c>
      <c r="AG72" s="23" t="str">
        <f>IF(tblRiskRegister32[[#This Row],[Risk Score]]&gt;=AcceptableRisk,IF(tblRiskRegister32[[#This Row],[Risk Treatment Safeguard Risk Score]]&lt;AcceptableRisk, IF(tblRiskRegister32[[#This Row],[Risk Treatment Safeguard Risk Score]]&lt;tblRiskRegister32[[#This Row],[Risk Score]],"Yes","No"),"No"),"Yes")</f>
        <v>No</v>
      </c>
      <c r="AH72" s="17"/>
      <c r="AI72" s="17"/>
      <c r="AJ72" s="18"/>
    </row>
    <row r="73" spans="2:36" ht="14">
      <c r="B73" s="220" t="s">
        <v>90</v>
      </c>
      <c r="C73" s="15"/>
      <c r="D73" s="219">
        <v>8.1</v>
      </c>
      <c r="E73" s="14" t="s">
        <v>211</v>
      </c>
      <c r="F73" s="13"/>
      <c r="G73" s="13" t="s">
        <v>429</v>
      </c>
      <c r="H73" s="13" t="s">
        <v>524</v>
      </c>
      <c r="I73" s="15"/>
      <c r="J73" s="15"/>
      <c r="K73" s="15"/>
      <c r="L73" s="16"/>
      <c r="M73" s="24">
        <f>IFERROR(VLOOKUP(tblRiskRegister32[[#This Row],[Asset Class]],tblVCDBIndex[],4,FALSE),"")</f>
        <v>2</v>
      </c>
      <c r="N73" s="24" t="str">
        <f>IFERROR(VLOOKUP(10*tblRiskRegister32[[#This Row],[Safeguard Maturity Score]]+tblRiskRegister32[[#This Row],[VCDB Index]],tblHITIndexWeightTable[],4,FALSE),"")</f>
        <v/>
      </c>
      <c r="O73" s="24">
        <f>VLOOKUP(tblRiskRegister32[[#This Row],[Asset Class]],tblInherentImpacts30[],2,FALSE)</f>
        <v>0</v>
      </c>
      <c r="P73" s="24">
        <f>VLOOKUP(tblRiskRegister32[[#This Row],[Asset Class]],tblInherentImpacts30[],3,FALSE)</f>
        <v>0</v>
      </c>
      <c r="Q73" s="24">
        <f>VLOOKUP(tblRiskRegister32[[#This Row],[Asset Class]],tblInherentImpacts30[],4,FALSE)</f>
        <v>0</v>
      </c>
      <c r="R73" s="24">
        <f>VLOOKUP(tblRiskRegister32[[#This Row],[Asset Class]],tblInherentImpacts30[],5,FALSE)</f>
        <v>0</v>
      </c>
      <c r="S73" s="24" t="str">
        <f>IFERROR(MAX(tblRiskRegister32[[#This Row],[Impact to Mission]:[Impact to Obligations]])*tblRiskRegister32[[#This Row],[Expectancy Score]],"")</f>
        <v/>
      </c>
      <c r="T73" s="24" t="str">
        <f>tblRiskRegister32[[#This Row],[Risk Score]]</f>
        <v/>
      </c>
      <c r="U73" s="86"/>
      <c r="V73" s="219">
        <v>8.1</v>
      </c>
      <c r="W73" s="15" t="s">
        <v>211</v>
      </c>
      <c r="X73" s="15" t="s">
        <v>376</v>
      </c>
      <c r="Y73" s="26"/>
      <c r="Z73" s="16"/>
      <c r="AA73" s="23" t="str">
        <f>IFERROR(VLOOKUP(10*tblRiskRegister32[[#This Row],[Risk Treatment Safeguard Maturity Score]]+tblRiskRegister32[[#This Row],[VCDB Index]],tblHITIndexWeightTable[],4,FALSE),"")</f>
        <v/>
      </c>
      <c r="AB73" s="23">
        <f>VLOOKUP(tblRiskRegister32[[#This Row],[Asset Class]],tblInherentImpacts30[],2,FALSE)</f>
        <v>0</v>
      </c>
      <c r="AC73" s="23">
        <f>VLOOKUP(tblRiskRegister32[[#This Row],[Asset Class]],tblInherentImpacts30[],3,FALSE)</f>
        <v>0</v>
      </c>
      <c r="AD73" s="23">
        <f>VLOOKUP(tblRiskRegister32[[#This Row],[Asset Class]],tblInherentImpacts30[],4,FALSE)</f>
        <v>0</v>
      </c>
      <c r="AE73" s="23">
        <f>VLOOKUP(tblRiskRegister32[[#This Row],[Asset Class]],tblInherentImpacts30[],5,FALSE)</f>
        <v>0</v>
      </c>
      <c r="AF73" s="23" t="str">
        <f>IFERROR(MAX(tblRiskRegister32[[#This Row],[Risk Treatment Safeguard Impact to Mission]:[Risk Treatment Safeguard Impact to Obligations]])*tblRiskRegister32[[#This Row],[Risk Treatment
Safeguard Expectancy Score]],"")</f>
        <v/>
      </c>
      <c r="AG73" s="23" t="str">
        <f>IF(tblRiskRegister32[[#This Row],[Risk Score]]&gt;=AcceptableRisk,IF(tblRiskRegister32[[#This Row],[Risk Treatment Safeguard Risk Score]]&lt;AcceptableRisk, IF(tblRiskRegister32[[#This Row],[Risk Treatment Safeguard Risk Score]]&lt;tblRiskRegister32[[#This Row],[Risk Score]],"Yes","No"),"No"),"Yes")</f>
        <v>No</v>
      </c>
      <c r="AH73" s="17"/>
      <c r="AI73" s="17"/>
      <c r="AJ73" s="18"/>
    </row>
    <row r="74" spans="2:36" ht="28">
      <c r="B74" s="220" t="s">
        <v>90</v>
      </c>
      <c r="C74" s="15"/>
      <c r="D74" s="86">
        <v>8.11</v>
      </c>
      <c r="E74" s="14" t="s">
        <v>212</v>
      </c>
      <c r="F74" s="13"/>
      <c r="G74" s="13" t="s">
        <v>429</v>
      </c>
      <c r="H74" s="13" t="s">
        <v>524</v>
      </c>
      <c r="I74" s="15"/>
      <c r="J74" s="15"/>
      <c r="K74" s="15"/>
      <c r="L74" s="16"/>
      <c r="M74" s="24">
        <f>IFERROR(VLOOKUP(tblRiskRegister32[[#This Row],[Asset Class]],tblVCDBIndex[],4,FALSE),"")</f>
        <v>2</v>
      </c>
      <c r="N74" s="24" t="str">
        <f>IFERROR(VLOOKUP(10*tblRiskRegister32[[#This Row],[Safeguard Maturity Score]]+tblRiskRegister32[[#This Row],[VCDB Index]],tblHITIndexWeightTable[],4,FALSE),"")</f>
        <v/>
      </c>
      <c r="O74" s="24">
        <f>VLOOKUP(tblRiskRegister32[[#This Row],[Asset Class]],tblInherentImpacts30[],2,FALSE)</f>
        <v>0</v>
      </c>
      <c r="P74" s="24">
        <f>VLOOKUP(tblRiskRegister32[[#This Row],[Asset Class]],tblInherentImpacts30[],3,FALSE)</f>
        <v>0</v>
      </c>
      <c r="Q74" s="24">
        <f>VLOOKUP(tblRiskRegister32[[#This Row],[Asset Class]],tblInherentImpacts30[],4,FALSE)</f>
        <v>0</v>
      </c>
      <c r="R74" s="24">
        <f>VLOOKUP(tblRiskRegister32[[#This Row],[Asset Class]],tblInherentImpacts30[],5,FALSE)</f>
        <v>0</v>
      </c>
      <c r="S74" s="24" t="str">
        <f>IFERROR(MAX(tblRiskRegister32[[#This Row],[Impact to Mission]:[Impact to Obligations]])*tblRiskRegister32[[#This Row],[Expectancy Score]],"")</f>
        <v/>
      </c>
      <c r="T74" s="24" t="str">
        <f>tblRiskRegister32[[#This Row],[Risk Score]]</f>
        <v/>
      </c>
      <c r="U74" s="86"/>
      <c r="V74" s="86">
        <v>8.11</v>
      </c>
      <c r="W74" s="15" t="s">
        <v>212</v>
      </c>
      <c r="X74" s="15" t="s">
        <v>377</v>
      </c>
      <c r="Y74" s="26"/>
      <c r="Z74" s="16"/>
      <c r="AA74" s="23" t="str">
        <f>IFERROR(VLOOKUP(10*tblRiskRegister32[[#This Row],[Risk Treatment Safeguard Maturity Score]]+tblRiskRegister32[[#This Row],[VCDB Index]],tblHITIndexWeightTable[],4,FALSE),"")</f>
        <v/>
      </c>
      <c r="AB74" s="23">
        <f>VLOOKUP(tblRiskRegister32[[#This Row],[Asset Class]],tblInherentImpacts30[],2,FALSE)</f>
        <v>0</v>
      </c>
      <c r="AC74" s="23">
        <f>VLOOKUP(tblRiskRegister32[[#This Row],[Asset Class]],tblInherentImpacts30[],3,FALSE)</f>
        <v>0</v>
      </c>
      <c r="AD74" s="23">
        <f>VLOOKUP(tblRiskRegister32[[#This Row],[Asset Class]],tblInherentImpacts30[],4,FALSE)</f>
        <v>0</v>
      </c>
      <c r="AE74" s="23">
        <f>VLOOKUP(tblRiskRegister32[[#This Row],[Asset Class]],tblInherentImpacts30[],5,FALSE)</f>
        <v>0</v>
      </c>
      <c r="AF74" s="23" t="str">
        <f>IFERROR(MAX(tblRiskRegister32[[#This Row],[Risk Treatment Safeguard Impact to Mission]:[Risk Treatment Safeguard Impact to Obligations]])*tblRiskRegister32[[#This Row],[Risk Treatment
Safeguard Expectancy Score]],"")</f>
        <v/>
      </c>
      <c r="AG74" s="23" t="str">
        <f>IF(tblRiskRegister32[[#This Row],[Risk Score]]&gt;=AcceptableRisk,IF(tblRiskRegister32[[#This Row],[Risk Treatment Safeguard Risk Score]]&lt;AcceptableRisk, IF(tblRiskRegister32[[#This Row],[Risk Treatment Safeguard Risk Score]]&lt;tblRiskRegister32[[#This Row],[Risk Score]],"Yes","No"),"No"),"Yes")</f>
        <v>No</v>
      </c>
      <c r="AH74" s="17"/>
      <c r="AI74" s="17"/>
      <c r="AJ74" s="18"/>
    </row>
    <row r="75" spans="2:36" ht="42">
      <c r="B75" s="220" t="s">
        <v>527</v>
      </c>
      <c r="C75" s="15"/>
      <c r="D75" s="86">
        <v>9.1</v>
      </c>
      <c r="E75" s="14" t="s">
        <v>15</v>
      </c>
      <c r="F75" s="13" t="s">
        <v>429</v>
      </c>
      <c r="G75" s="13" t="s">
        <v>429</v>
      </c>
      <c r="H75" s="13" t="s">
        <v>523</v>
      </c>
      <c r="I75" s="15"/>
      <c r="J75" s="15"/>
      <c r="K75" s="15"/>
      <c r="L75" s="16"/>
      <c r="M75" s="24">
        <f>IFERROR(VLOOKUP(tblRiskRegister32[[#This Row],[Asset Class]],tblVCDBIndex[],4,FALSE),"")</f>
        <v>2</v>
      </c>
      <c r="N75" s="24" t="str">
        <f>IFERROR(VLOOKUP(10*tblRiskRegister32[[#This Row],[Safeguard Maturity Score]]+tblRiskRegister32[[#This Row],[VCDB Index]],tblHITIndexWeightTable[],4,FALSE),"")</f>
        <v/>
      </c>
      <c r="O75" s="24">
        <f>VLOOKUP(tblRiskRegister32[[#This Row],[Asset Class]],tblInherentImpacts30[],2,FALSE)</f>
        <v>0</v>
      </c>
      <c r="P75" s="24">
        <f>VLOOKUP(tblRiskRegister32[[#This Row],[Asset Class]],tblInherentImpacts30[],3,FALSE)</f>
        <v>0</v>
      </c>
      <c r="Q75" s="24">
        <f>VLOOKUP(tblRiskRegister32[[#This Row],[Asset Class]],tblInherentImpacts30[],4,FALSE)</f>
        <v>0</v>
      </c>
      <c r="R75" s="24">
        <f>VLOOKUP(tblRiskRegister32[[#This Row],[Asset Class]],tblInherentImpacts30[],5,FALSE)</f>
        <v>0</v>
      </c>
      <c r="S75" s="24" t="str">
        <f>IFERROR(MAX(tblRiskRegister32[[#This Row],[Impact to Mission]:[Impact to Obligations]])*tblRiskRegister32[[#This Row],[Expectancy Score]],"")</f>
        <v/>
      </c>
      <c r="T75" s="24" t="str">
        <f>tblRiskRegister32[[#This Row],[Risk Score]]</f>
        <v/>
      </c>
      <c r="U75" s="86"/>
      <c r="V75" s="86">
        <v>9.1</v>
      </c>
      <c r="W75" s="15" t="s">
        <v>15</v>
      </c>
      <c r="X75" s="15" t="s">
        <v>378</v>
      </c>
      <c r="Y75" s="15"/>
      <c r="Z75" s="16"/>
      <c r="AA75" s="23" t="str">
        <f>IFERROR(VLOOKUP(10*tblRiskRegister32[[#This Row],[Risk Treatment Safeguard Maturity Score]]+tblRiskRegister32[[#This Row],[VCDB Index]],tblHITIndexWeightTable[],4,FALSE),"")</f>
        <v/>
      </c>
      <c r="AB75" s="23">
        <f>VLOOKUP(tblRiskRegister32[[#This Row],[Asset Class]],tblInherentImpacts30[],2,FALSE)</f>
        <v>0</v>
      </c>
      <c r="AC75" s="23">
        <f>VLOOKUP(tblRiskRegister32[[#This Row],[Asset Class]],tblInherentImpacts30[],3,FALSE)</f>
        <v>0</v>
      </c>
      <c r="AD75" s="23">
        <f>VLOOKUP(tblRiskRegister32[[#This Row],[Asset Class]],tblInherentImpacts30[],4,FALSE)</f>
        <v>0</v>
      </c>
      <c r="AE75" s="23">
        <f>VLOOKUP(tblRiskRegister32[[#This Row],[Asset Class]],tblInherentImpacts30[],5,FALSE)</f>
        <v>0</v>
      </c>
      <c r="AF75" s="23" t="str">
        <f>IFERROR(MAX(tblRiskRegister32[[#This Row],[Risk Treatment Safeguard Impact to Mission]:[Risk Treatment Safeguard Impact to Obligations]])*tblRiskRegister32[[#This Row],[Risk Treatment
Safeguard Expectancy Score]],"")</f>
        <v/>
      </c>
      <c r="AG75" s="23" t="str">
        <f>IF(tblRiskRegister32[[#This Row],[Risk Score]]&gt;=AcceptableRisk,IF(tblRiskRegister32[[#This Row],[Risk Treatment Safeguard Risk Score]]&lt;AcceptableRisk, IF(tblRiskRegister32[[#This Row],[Risk Treatment Safeguard Risk Score]]&lt;tblRiskRegister32[[#This Row],[Risk Score]],"Yes","No"),"No"),"Yes")</f>
        <v>No</v>
      </c>
      <c r="AH75" s="17"/>
      <c r="AI75" s="17"/>
      <c r="AJ75" s="18"/>
    </row>
    <row r="76" spans="2:36" ht="28">
      <c r="B76" s="220" t="s">
        <v>91</v>
      </c>
      <c r="C76" s="15"/>
      <c r="D76" s="86">
        <v>9.1999999999999993</v>
      </c>
      <c r="E76" s="14" t="s">
        <v>69</v>
      </c>
      <c r="F76" s="13" t="s">
        <v>429</v>
      </c>
      <c r="G76" s="13" t="s">
        <v>429</v>
      </c>
      <c r="H76" s="13" t="s">
        <v>523</v>
      </c>
      <c r="I76" s="15"/>
      <c r="J76" s="15"/>
      <c r="K76" s="15"/>
      <c r="L76" s="16"/>
      <c r="M76" s="24">
        <f>IFERROR(VLOOKUP(tblRiskRegister32[[#This Row],[Asset Class]],tblVCDBIndex[],4,FALSE),"")</f>
        <v>4</v>
      </c>
      <c r="N76" s="24" t="str">
        <f>IFERROR(VLOOKUP(10*tblRiskRegister32[[#This Row],[Safeguard Maturity Score]]+tblRiskRegister32[[#This Row],[VCDB Index]],tblHITIndexWeightTable[],4,FALSE),"")</f>
        <v/>
      </c>
      <c r="O76" s="24">
        <f>VLOOKUP(tblRiskRegister32[[#This Row],[Asset Class]],tblInherentImpacts30[],2,FALSE)</f>
        <v>0</v>
      </c>
      <c r="P76" s="24">
        <f>VLOOKUP(tblRiskRegister32[[#This Row],[Asset Class]],tblInherentImpacts30[],3,FALSE)</f>
        <v>0</v>
      </c>
      <c r="Q76" s="24">
        <f>VLOOKUP(tblRiskRegister32[[#This Row],[Asset Class]],tblInherentImpacts30[],4,FALSE)</f>
        <v>0</v>
      </c>
      <c r="R76" s="24">
        <f>VLOOKUP(tblRiskRegister32[[#This Row],[Asset Class]],tblInherentImpacts30[],5,FALSE)</f>
        <v>0</v>
      </c>
      <c r="S76" s="24" t="str">
        <f>IFERROR(MAX(tblRiskRegister32[[#This Row],[Impact to Mission]:[Impact to Obligations]])*tblRiskRegister32[[#This Row],[Expectancy Score]],"")</f>
        <v/>
      </c>
      <c r="T76" s="24" t="str">
        <f>tblRiskRegister32[[#This Row],[Risk Score]]</f>
        <v/>
      </c>
      <c r="U76" s="86"/>
      <c r="V76" s="86">
        <v>9.1999999999999993</v>
      </c>
      <c r="W76" s="15" t="s">
        <v>69</v>
      </c>
      <c r="X76" s="15" t="s">
        <v>552</v>
      </c>
      <c r="Y76" s="26"/>
      <c r="Z76" s="16"/>
      <c r="AA76" s="23" t="str">
        <f>IFERROR(VLOOKUP(10*tblRiskRegister32[[#This Row],[Risk Treatment Safeguard Maturity Score]]+tblRiskRegister32[[#This Row],[VCDB Index]],tblHITIndexWeightTable[],4,FALSE),"")</f>
        <v/>
      </c>
      <c r="AB76" s="23">
        <f>VLOOKUP(tblRiskRegister32[[#This Row],[Asset Class]],tblInherentImpacts30[],2,FALSE)</f>
        <v>0</v>
      </c>
      <c r="AC76" s="23">
        <f>VLOOKUP(tblRiskRegister32[[#This Row],[Asset Class]],tblInherentImpacts30[],3,FALSE)</f>
        <v>0</v>
      </c>
      <c r="AD76" s="23">
        <f>VLOOKUP(tblRiskRegister32[[#This Row],[Asset Class]],tblInherentImpacts30[],4,FALSE)</f>
        <v>0</v>
      </c>
      <c r="AE76" s="23">
        <f>VLOOKUP(tblRiskRegister32[[#This Row],[Asset Class]],tblInherentImpacts30[],5,FALSE)</f>
        <v>0</v>
      </c>
      <c r="AF76" s="23" t="str">
        <f>IFERROR(MAX(tblRiskRegister32[[#This Row],[Risk Treatment Safeguard Impact to Mission]:[Risk Treatment Safeguard Impact to Obligations]])*tblRiskRegister32[[#This Row],[Risk Treatment
Safeguard Expectancy Score]],"")</f>
        <v/>
      </c>
      <c r="AG76" s="23" t="str">
        <f>IF(tblRiskRegister32[[#This Row],[Risk Score]]&gt;=AcceptableRisk,IF(tblRiskRegister32[[#This Row],[Risk Treatment Safeguard Risk Score]]&lt;AcceptableRisk, IF(tblRiskRegister32[[#This Row],[Risk Treatment Safeguard Risk Score]]&lt;tblRiskRegister32[[#This Row],[Risk Score]],"Yes","No"),"No"),"Yes")</f>
        <v>No</v>
      </c>
      <c r="AH76" s="17"/>
      <c r="AI76" s="17"/>
      <c r="AJ76" s="18"/>
    </row>
    <row r="77" spans="2:36" ht="56">
      <c r="B77" s="220" t="s">
        <v>92</v>
      </c>
      <c r="C77" s="15"/>
      <c r="D77" s="86">
        <v>9.3000000000000007</v>
      </c>
      <c r="E77" s="14" t="s">
        <v>213</v>
      </c>
      <c r="F77" s="13"/>
      <c r="G77" s="13" t="s">
        <v>429</v>
      </c>
      <c r="H77" s="13" t="s">
        <v>523</v>
      </c>
      <c r="I77" s="15"/>
      <c r="J77" s="15"/>
      <c r="K77" s="15"/>
      <c r="L77" s="16"/>
      <c r="M77" s="24">
        <f>IFERROR(VLOOKUP(tblRiskRegister32[[#This Row],[Asset Class]],tblVCDBIndex[],4,FALSE),"")</f>
        <v>1</v>
      </c>
      <c r="N77" s="24" t="str">
        <f>IFERROR(VLOOKUP(10*tblRiskRegister32[[#This Row],[Safeguard Maturity Score]]+tblRiskRegister32[[#This Row],[VCDB Index]],tblHITIndexWeightTable[],4,FALSE),"")</f>
        <v/>
      </c>
      <c r="O77" s="24">
        <f>VLOOKUP(tblRiskRegister32[[#This Row],[Asset Class]],tblInherentImpacts30[],2,FALSE)</f>
        <v>0</v>
      </c>
      <c r="P77" s="24">
        <f>VLOOKUP(tblRiskRegister32[[#This Row],[Asset Class]],tblInherentImpacts30[],3,FALSE)</f>
        <v>0</v>
      </c>
      <c r="Q77" s="24">
        <f>VLOOKUP(tblRiskRegister32[[#This Row],[Asset Class]],tblInherentImpacts30[],4,FALSE)</f>
        <v>0</v>
      </c>
      <c r="R77" s="24">
        <f>VLOOKUP(tblRiskRegister32[[#This Row],[Asset Class]],tblInherentImpacts30[],5,FALSE)</f>
        <v>0</v>
      </c>
      <c r="S77" s="24" t="str">
        <f>IFERROR(MAX(tblRiskRegister32[[#This Row],[Impact to Mission]:[Impact to Obligations]])*tblRiskRegister32[[#This Row],[Expectancy Score]],"")</f>
        <v/>
      </c>
      <c r="T77" s="24" t="str">
        <f>tblRiskRegister32[[#This Row],[Risk Score]]</f>
        <v/>
      </c>
      <c r="U77" s="86"/>
      <c r="V77" s="86">
        <v>9.3000000000000007</v>
      </c>
      <c r="W77" s="15" t="s">
        <v>213</v>
      </c>
      <c r="X77" s="15" t="s">
        <v>379</v>
      </c>
      <c r="Y77" s="26"/>
      <c r="Z77" s="16"/>
      <c r="AA77" s="23" t="str">
        <f>IFERROR(VLOOKUP(10*tblRiskRegister32[[#This Row],[Risk Treatment Safeguard Maturity Score]]+tblRiskRegister32[[#This Row],[VCDB Index]],tblHITIndexWeightTable[],4,FALSE),"")</f>
        <v/>
      </c>
      <c r="AB77" s="23">
        <f>VLOOKUP(tblRiskRegister32[[#This Row],[Asset Class]],tblInherentImpacts30[],2,FALSE)</f>
        <v>0</v>
      </c>
      <c r="AC77" s="23">
        <f>VLOOKUP(tblRiskRegister32[[#This Row],[Asset Class]],tblInherentImpacts30[],3,FALSE)</f>
        <v>0</v>
      </c>
      <c r="AD77" s="23">
        <f>VLOOKUP(tblRiskRegister32[[#This Row],[Asset Class]],tblInherentImpacts30[],4,FALSE)</f>
        <v>0</v>
      </c>
      <c r="AE77" s="23">
        <f>VLOOKUP(tblRiskRegister32[[#This Row],[Asset Class]],tblInherentImpacts30[],5,FALSE)</f>
        <v>0</v>
      </c>
      <c r="AF77" s="23" t="str">
        <f>IFERROR(MAX(tblRiskRegister32[[#This Row],[Risk Treatment Safeguard Impact to Mission]:[Risk Treatment Safeguard Impact to Obligations]])*tblRiskRegister32[[#This Row],[Risk Treatment
Safeguard Expectancy Score]],"")</f>
        <v/>
      </c>
      <c r="AG77" s="23" t="str">
        <f>IF(tblRiskRegister32[[#This Row],[Risk Score]]&gt;=AcceptableRisk,IF(tblRiskRegister32[[#This Row],[Risk Treatment Safeguard Risk Score]]&lt;AcceptableRisk, IF(tblRiskRegister32[[#This Row],[Risk Treatment Safeguard Risk Score]]&lt;tblRiskRegister32[[#This Row],[Risk Score]],"Yes","No"),"No"),"Yes")</f>
        <v>No</v>
      </c>
      <c r="AH77" s="17"/>
      <c r="AI77" s="17"/>
      <c r="AJ77" s="18"/>
    </row>
    <row r="78" spans="2:36" ht="42">
      <c r="B78" s="220" t="s">
        <v>527</v>
      </c>
      <c r="C78" s="15"/>
      <c r="D78" s="86">
        <v>9.4</v>
      </c>
      <c r="E78" s="14" t="s">
        <v>164</v>
      </c>
      <c r="F78" s="13"/>
      <c r="G78" s="13" t="s">
        <v>429</v>
      </c>
      <c r="H78" s="13" t="s">
        <v>523</v>
      </c>
      <c r="I78" s="15"/>
      <c r="J78" s="15"/>
      <c r="K78" s="15"/>
      <c r="L78" s="16"/>
      <c r="M78" s="24">
        <f>IFERROR(VLOOKUP(tblRiskRegister32[[#This Row],[Asset Class]],tblVCDBIndex[],4,FALSE),"")</f>
        <v>2</v>
      </c>
      <c r="N78" s="24" t="str">
        <f>IFERROR(VLOOKUP(10*tblRiskRegister32[[#This Row],[Safeguard Maturity Score]]+tblRiskRegister32[[#This Row],[VCDB Index]],tblHITIndexWeightTable[],4,FALSE),"")</f>
        <v/>
      </c>
      <c r="O78" s="24">
        <f>VLOOKUP(tblRiskRegister32[[#This Row],[Asset Class]],tblInherentImpacts30[],2,FALSE)</f>
        <v>0</v>
      </c>
      <c r="P78" s="24">
        <f>VLOOKUP(tblRiskRegister32[[#This Row],[Asset Class]],tblInherentImpacts30[],3,FALSE)</f>
        <v>0</v>
      </c>
      <c r="Q78" s="24">
        <f>VLOOKUP(tblRiskRegister32[[#This Row],[Asset Class]],tblInherentImpacts30[],4,FALSE)</f>
        <v>0</v>
      </c>
      <c r="R78" s="24">
        <f>VLOOKUP(tblRiskRegister32[[#This Row],[Asset Class]],tblInherentImpacts30[],5,FALSE)</f>
        <v>0</v>
      </c>
      <c r="S78" s="24" t="str">
        <f>IFERROR(MAX(tblRiskRegister32[[#This Row],[Impact to Mission]:[Impact to Obligations]])*tblRiskRegister32[[#This Row],[Expectancy Score]],"")</f>
        <v/>
      </c>
      <c r="T78" s="24" t="str">
        <f>tblRiskRegister32[[#This Row],[Risk Score]]</f>
        <v/>
      </c>
      <c r="U78" s="86"/>
      <c r="V78" s="86">
        <v>9.4</v>
      </c>
      <c r="W78" s="15" t="s">
        <v>164</v>
      </c>
      <c r="X78" s="15" t="s">
        <v>380</v>
      </c>
      <c r="Y78" s="15"/>
      <c r="Z78" s="16"/>
      <c r="AA78" s="23" t="str">
        <f>IFERROR(VLOOKUP(10*tblRiskRegister32[[#This Row],[Risk Treatment Safeguard Maturity Score]]+tblRiskRegister32[[#This Row],[VCDB Index]],tblHITIndexWeightTable[],4,FALSE),"")</f>
        <v/>
      </c>
      <c r="AB78" s="23">
        <f>VLOOKUP(tblRiskRegister32[[#This Row],[Asset Class]],tblInherentImpacts30[],2,FALSE)</f>
        <v>0</v>
      </c>
      <c r="AC78" s="23">
        <f>VLOOKUP(tblRiskRegister32[[#This Row],[Asset Class]],tblInherentImpacts30[],3,FALSE)</f>
        <v>0</v>
      </c>
      <c r="AD78" s="23">
        <f>VLOOKUP(tblRiskRegister32[[#This Row],[Asset Class]],tblInherentImpacts30[],4,FALSE)</f>
        <v>0</v>
      </c>
      <c r="AE78" s="23">
        <f>VLOOKUP(tblRiskRegister32[[#This Row],[Asset Class]],tblInherentImpacts30[],5,FALSE)</f>
        <v>0</v>
      </c>
      <c r="AF78" s="23" t="str">
        <f>IFERROR(MAX(tblRiskRegister32[[#This Row],[Risk Treatment Safeguard Impact to Mission]:[Risk Treatment Safeguard Impact to Obligations]])*tblRiskRegister32[[#This Row],[Risk Treatment
Safeguard Expectancy Score]],"")</f>
        <v/>
      </c>
      <c r="AG78" s="23" t="str">
        <f>IF(tblRiskRegister32[[#This Row],[Risk Score]]&gt;=AcceptableRisk,IF(tblRiskRegister32[[#This Row],[Risk Treatment Safeguard Risk Score]]&lt;AcceptableRisk, IF(tblRiskRegister32[[#This Row],[Risk Treatment Safeguard Risk Score]]&lt;tblRiskRegister32[[#This Row],[Risk Score]],"Yes","No"),"No"),"Yes")</f>
        <v>No</v>
      </c>
      <c r="AH78" s="17"/>
      <c r="AI78" s="17"/>
      <c r="AJ78" s="18"/>
    </row>
    <row r="79" spans="2:36" ht="42">
      <c r="B79" s="220" t="s">
        <v>92</v>
      </c>
      <c r="C79" s="15"/>
      <c r="D79" s="86">
        <v>9.5</v>
      </c>
      <c r="E79" s="14" t="s">
        <v>214</v>
      </c>
      <c r="F79" s="13"/>
      <c r="G79" s="13" t="s">
        <v>429</v>
      </c>
      <c r="H79" s="13" t="s">
        <v>523</v>
      </c>
      <c r="I79" s="15"/>
      <c r="J79" s="15"/>
      <c r="K79" s="15"/>
      <c r="L79" s="16"/>
      <c r="M79" s="24">
        <f>IFERROR(VLOOKUP(tblRiskRegister32[[#This Row],[Asset Class]],tblVCDBIndex[],4,FALSE),"")</f>
        <v>1</v>
      </c>
      <c r="N79" s="24" t="str">
        <f>IFERROR(VLOOKUP(10*tblRiskRegister32[[#This Row],[Safeguard Maturity Score]]+tblRiskRegister32[[#This Row],[VCDB Index]],tblHITIndexWeightTable[],4,FALSE),"")</f>
        <v/>
      </c>
      <c r="O79" s="24">
        <f>VLOOKUP(tblRiskRegister32[[#This Row],[Asset Class]],tblInherentImpacts30[],2,FALSE)</f>
        <v>0</v>
      </c>
      <c r="P79" s="24">
        <f>VLOOKUP(tblRiskRegister32[[#This Row],[Asset Class]],tblInherentImpacts30[],3,FALSE)</f>
        <v>0</v>
      </c>
      <c r="Q79" s="24">
        <f>VLOOKUP(tblRiskRegister32[[#This Row],[Asset Class]],tblInherentImpacts30[],4,FALSE)</f>
        <v>0</v>
      </c>
      <c r="R79" s="24">
        <f>VLOOKUP(tblRiskRegister32[[#This Row],[Asset Class]],tblInherentImpacts30[],5,FALSE)</f>
        <v>0</v>
      </c>
      <c r="S79" s="24" t="str">
        <f>IFERROR(MAX(tblRiskRegister32[[#This Row],[Impact to Mission]:[Impact to Obligations]])*tblRiskRegister32[[#This Row],[Expectancy Score]],"")</f>
        <v/>
      </c>
      <c r="T79" s="24" t="str">
        <f>tblRiskRegister32[[#This Row],[Risk Score]]</f>
        <v/>
      </c>
      <c r="U79" s="86"/>
      <c r="V79" s="86">
        <v>9.5</v>
      </c>
      <c r="W79" s="15" t="s">
        <v>214</v>
      </c>
      <c r="X79" s="15" t="s">
        <v>381</v>
      </c>
      <c r="Y79" s="26"/>
      <c r="Z79" s="16"/>
      <c r="AA79" s="23" t="str">
        <f>IFERROR(VLOOKUP(10*tblRiskRegister32[[#This Row],[Risk Treatment Safeguard Maturity Score]]+tblRiskRegister32[[#This Row],[VCDB Index]],tblHITIndexWeightTable[],4,FALSE),"")</f>
        <v/>
      </c>
      <c r="AB79" s="23">
        <f>VLOOKUP(tblRiskRegister32[[#This Row],[Asset Class]],tblInherentImpacts30[],2,FALSE)</f>
        <v>0</v>
      </c>
      <c r="AC79" s="23">
        <f>VLOOKUP(tblRiskRegister32[[#This Row],[Asset Class]],tblInherentImpacts30[],3,FALSE)</f>
        <v>0</v>
      </c>
      <c r="AD79" s="23">
        <f>VLOOKUP(tblRiskRegister32[[#This Row],[Asset Class]],tblInherentImpacts30[],4,FALSE)</f>
        <v>0</v>
      </c>
      <c r="AE79" s="23">
        <f>VLOOKUP(tblRiskRegister32[[#This Row],[Asset Class]],tblInherentImpacts30[],5,FALSE)</f>
        <v>0</v>
      </c>
      <c r="AF79" s="23" t="str">
        <f>IFERROR(MAX(tblRiskRegister32[[#This Row],[Risk Treatment Safeguard Impact to Mission]:[Risk Treatment Safeguard Impact to Obligations]])*tblRiskRegister32[[#This Row],[Risk Treatment
Safeguard Expectancy Score]],"")</f>
        <v/>
      </c>
      <c r="AG79" s="23" t="str">
        <f>IF(tblRiskRegister32[[#This Row],[Risk Score]]&gt;=AcceptableRisk,IF(tblRiskRegister32[[#This Row],[Risk Treatment Safeguard Risk Score]]&lt;AcceptableRisk, IF(tblRiskRegister32[[#This Row],[Risk Treatment Safeguard Risk Score]]&lt;tblRiskRegister32[[#This Row],[Risk Score]],"Yes","No"),"No"),"Yes")</f>
        <v>No</v>
      </c>
      <c r="AH79" s="17"/>
      <c r="AI79" s="17"/>
      <c r="AJ79" s="18"/>
    </row>
    <row r="80" spans="2:36" ht="28">
      <c r="B80" s="220" t="s">
        <v>92</v>
      </c>
      <c r="C80" s="15"/>
      <c r="D80" s="86">
        <v>9.6</v>
      </c>
      <c r="E80" s="14" t="s">
        <v>215</v>
      </c>
      <c r="F80" s="13"/>
      <c r="G80" s="13" t="s">
        <v>429</v>
      </c>
      <c r="H80" s="13" t="s">
        <v>523</v>
      </c>
      <c r="I80" s="15"/>
      <c r="J80" s="15"/>
      <c r="K80" s="15"/>
      <c r="L80" s="16"/>
      <c r="M80" s="24">
        <f>IFERROR(VLOOKUP(tblRiskRegister32[[#This Row],[Asset Class]],tblVCDBIndex[],4,FALSE),"")</f>
        <v>1</v>
      </c>
      <c r="N80" s="24" t="str">
        <f>IFERROR(VLOOKUP(10*tblRiskRegister32[[#This Row],[Safeguard Maturity Score]]+tblRiskRegister32[[#This Row],[VCDB Index]],tblHITIndexWeightTable[],4,FALSE),"")</f>
        <v/>
      </c>
      <c r="O80" s="24">
        <f>VLOOKUP(tblRiskRegister32[[#This Row],[Asset Class]],tblInherentImpacts30[],2,FALSE)</f>
        <v>0</v>
      </c>
      <c r="P80" s="24">
        <f>VLOOKUP(tblRiskRegister32[[#This Row],[Asset Class]],tblInherentImpacts30[],3,FALSE)</f>
        <v>0</v>
      </c>
      <c r="Q80" s="24">
        <f>VLOOKUP(tblRiskRegister32[[#This Row],[Asset Class]],tblInherentImpacts30[],4,FALSE)</f>
        <v>0</v>
      </c>
      <c r="R80" s="24">
        <f>VLOOKUP(tblRiskRegister32[[#This Row],[Asset Class]],tblInherentImpacts30[],5,FALSE)</f>
        <v>0</v>
      </c>
      <c r="S80" s="24" t="str">
        <f>IFERROR(MAX(tblRiskRegister32[[#This Row],[Impact to Mission]:[Impact to Obligations]])*tblRiskRegister32[[#This Row],[Expectancy Score]],"")</f>
        <v/>
      </c>
      <c r="T80" s="24" t="str">
        <f>tblRiskRegister32[[#This Row],[Risk Score]]</f>
        <v/>
      </c>
      <c r="U80" s="86"/>
      <c r="V80" s="86">
        <v>9.6</v>
      </c>
      <c r="W80" s="15" t="s">
        <v>215</v>
      </c>
      <c r="X80" s="15" t="s">
        <v>382</v>
      </c>
      <c r="Y80" s="26"/>
      <c r="Z80" s="16"/>
      <c r="AA80" s="23" t="str">
        <f>IFERROR(VLOOKUP(10*tblRiskRegister32[[#This Row],[Risk Treatment Safeguard Maturity Score]]+tblRiskRegister32[[#This Row],[VCDB Index]],tblHITIndexWeightTable[],4,FALSE),"")</f>
        <v/>
      </c>
      <c r="AB80" s="23">
        <f>VLOOKUP(tblRiskRegister32[[#This Row],[Asset Class]],tblInherentImpacts30[],2,FALSE)</f>
        <v>0</v>
      </c>
      <c r="AC80" s="23">
        <f>VLOOKUP(tblRiskRegister32[[#This Row],[Asset Class]],tblInherentImpacts30[],3,FALSE)</f>
        <v>0</v>
      </c>
      <c r="AD80" s="23">
        <f>VLOOKUP(tblRiskRegister32[[#This Row],[Asset Class]],tblInherentImpacts30[],4,FALSE)</f>
        <v>0</v>
      </c>
      <c r="AE80" s="23">
        <f>VLOOKUP(tblRiskRegister32[[#This Row],[Asset Class]],tblInherentImpacts30[],5,FALSE)</f>
        <v>0</v>
      </c>
      <c r="AF80" s="23" t="str">
        <f>IFERROR(MAX(tblRiskRegister32[[#This Row],[Risk Treatment Safeguard Impact to Mission]:[Risk Treatment Safeguard Impact to Obligations]])*tblRiskRegister32[[#This Row],[Risk Treatment
Safeguard Expectancy Score]],"")</f>
        <v/>
      </c>
      <c r="AG80" s="23" t="str">
        <f>IF(tblRiskRegister32[[#This Row],[Risk Score]]&gt;=AcceptableRisk,IF(tblRiskRegister32[[#This Row],[Risk Treatment Safeguard Risk Score]]&lt;AcceptableRisk, IF(tblRiskRegister32[[#This Row],[Risk Treatment Safeguard Risk Score]]&lt;tblRiskRegister32[[#This Row],[Risk Score]],"Yes","No"),"No"),"Yes")</f>
        <v>No</v>
      </c>
      <c r="AH80" s="17"/>
      <c r="AI80" s="17"/>
      <c r="AJ80" s="18"/>
    </row>
    <row r="81" spans="2:36" ht="28">
      <c r="B81" s="220" t="s">
        <v>91</v>
      </c>
      <c r="C81" s="15"/>
      <c r="D81" s="86">
        <v>10.1</v>
      </c>
      <c r="E81" s="14" t="s">
        <v>70</v>
      </c>
      <c r="F81" s="13" t="s">
        <v>429</v>
      </c>
      <c r="G81" s="13" t="s">
        <v>429</v>
      </c>
      <c r="H81" s="13" t="s">
        <v>524</v>
      </c>
      <c r="I81" s="15"/>
      <c r="J81" s="15"/>
      <c r="K81" s="15"/>
      <c r="L81" s="16"/>
      <c r="M81" s="24">
        <f>IFERROR(VLOOKUP(tblRiskRegister32[[#This Row],[Asset Class]],tblVCDBIndex[],4,FALSE),"")</f>
        <v>4</v>
      </c>
      <c r="N81" s="24" t="str">
        <f>IFERROR(VLOOKUP(10*tblRiskRegister32[[#This Row],[Safeguard Maturity Score]]+tblRiskRegister32[[#This Row],[VCDB Index]],tblHITIndexWeightTable[],4,FALSE),"")</f>
        <v/>
      </c>
      <c r="O81" s="24">
        <f>VLOOKUP(tblRiskRegister32[[#This Row],[Asset Class]],tblInherentImpacts30[],2,FALSE)</f>
        <v>0</v>
      </c>
      <c r="P81" s="24">
        <f>VLOOKUP(tblRiskRegister32[[#This Row],[Asset Class]],tblInherentImpacts30[],3,FALSE)</f>
        <v>0</v>
      </c>
      <c r="Q81" s="24">
        <f>VLOOKUP(tblRiskRegister32[[#This Row],[Asset Class]],tblInherentImpacts30[],4,FALSE)</f>
        <v>0</v>
      </c>
      <c r="R81" s="24">
        <f>VLOOKUP(tblRiskRegister32[[#This Row],[Asset Class]],tblInherentImpacts30[],5,FALSE)</f>
        <v>0</v>
      </c>
      <c r="S81" s="24" t="str">
        <f>IFERROR(MAX(tblRiskRegister32[[#This Row],[Impact to Mission]:[Impact to Obligations]])*tblRiskRegister32[[#This Row],[Expectancy Score]],"")</f>
        <v/>
      </c>
      <c r="T81" s="24" t="str">
        <f>tblRiskRegister32[[#This Row],[Risk Score]]</f>
        <v/>
      </c>
      <c r="U81" s="86"/>
      <c r="V81" s="86">
        <v>10.1</v>
      </c>
      <c r="W81" s="15" t="s">
        <v>70</v>
      </c>
      <c r="X81" s="15" t="s">
        <v>383</v>
      </c>
      <c r="Y81" s="26"/>
      <c r="Z81" s="16"/>
      <c r="AA81" s="23" t="str">
        <f>IFERROR(VLOOKUP(10*tblRiskRegister32[[#This Row],[Risk Treatment Safeguard Maturity Score]]+tblRiskRegister32[[#This Row],[VCDB Index]],tblHITIndexWeightTable[],4,FALSE),"")</f>
        <v/>
      </c>
      <c r="AB81" s="23">
        <f>VLOOKUP(tblRiskRegister32[[#This Row],[Asset Class]],tblInherentImpacts30[],2,FALSE)</f>
        <v>0</v>
      </c>
      <c r="AC81" s="23">
        <f>VLOOKUP(tblRiskRegister32[[#This Row],[Asset Class]],tblInherentImpacts30[],3,FALSE)</f>
        <v>0</v>
      </c>
      <c r="AD81" s="23">
        <f>VLOOKUP(tblRiskRegister32[[#This Row],[Asset Class]],tblInherentImpacts30[],4,FALSE)</f>
        <v>0</v>
      </c>
      <c r="AE81" s="23">
        <f>VLOOKUP(tblRiskRegister32[[#This Row],[Asset Class]],tblInherentImpacts30[],5,FALSE)</f>
        <v>0</v>
      </c>
      <c r="AF81" s="23" t="str">
        <f>IFERROR(MAX(tblRiskRegister32[[#This Row],[Risk Treatment Safeguard Impact to Mission]:[Risk Treatment Safeguard Impact to Obligations]])*tblRiskRegister32[[#This Row],[Risk Treatment
Safeguard Expectancy Score]],"")</f>
        <v/>
      </c>
      <c r="AG81" s="23" t="str">
        <f>IF(tblRiskRegister32[[#This Row],[Risk Score]]&gt;=AcceptableRisk,IF(tblRiskRegister32[[#This Row],[Risk Treatment Safeguard Risk Score]]&lt;AcceptableRisk, IF(tblRiskRegister32[[#This Row],[Risk Treatment Safeguard Risk Score]]&lt;tblRiskRegister32[[#This Row],[Risk Score]],"Yes","No"),"No"),"Yes")</f>
        <v>No</v>
      </c>
      <c r="AH81" s="17"/>
      <c r="AI81" s="17"/>
      <c r="AJ81" s="18"/>
    </row>
    <row r="82" spans="2:36" ht="28">
      <c r="B82" s="220" t="s">
        <v>91</v>
      </c>
      <c r="C82" s="15"/>
      <c r="D82" s="86">
        <v>10.199999999999999</v>
      </c>
      <c r="E82" s="14" t="s">
        <v>71</v>
      </c>
      <c r="F82" s="13" t="s">
        <v>429</v>
      </c>
      <c r="G82" s="13" t="s">
        <v>429</v>
      </c>
      <c r="H82" s="13" t="s">
        <v>523</v>
      </c>
      <c r="I82" s="15"/>
      <c r="J82" s="15"/>
      <c r="K82" s="15"/>
      <c r="L82" s="16"/>
      <c r="M82" s="24">
        <f>IFERROR(VLOOKUP(tblRiskRegister32[[#This Row],[Asset Class]],tblVCDBIndex[],4,FALSE),"")</f>
        <v>4</v>
      </c>
      <c r="N82" s="24" t="str">
        <f>IFERROR(VLOOKUP(10*tblRiskRegister32[[#This Row],[Safeguard Maturity Score]]+tblRiskRegister32[[#This Row],[VCDB Index]],tblHITIndexWeightTable[],4,FALSE),"")</f>
        <v/>
      </c>
      <c r="O82" s="24">
        <f>VLOOKUP(tblRiskRegister32[[#This Row],[Asset Class]],tblInherentImpacts30[],2,FALSE)</f>
        <v>0</v>
      </c>
      <c r="P82" s="24">
        <f>VLOOKUP(tblRiskRegister32[[#This Row],[Asset Class]],tblInherentImpacts30[],3,FALSE)</f>
        <v>0</v>
      </c>
      <c r="Q82" s="24">
        <f>VLOOKUP(tblRiskRegister32[[#This Row],[Asset Class]],tblInherentImpacts30[],4,FALSE)</f>
        <v>0</v>
      </c>
      <c r="R82" s="24">
        <f>VLOOKUP(tblRiskRegister32[[#This Row],[Asset Class]],tblInherentImpacts30[],5,FALSE)</f>
        <v>0</v>
      </c>
      <c r="S82" s="24" t="str">
        <f>IFERROR(MAX(tblRiskRegister32[[#This Row],[Impact to Mission]:[Impact to Obligations]])*tblRiskRegister32[[#This Row],[Expectancy Score]],"")</f>
        <v/>
      </c>
      <c r="T82" s="24" t="str">
        <f>tblRiskRegister32[[#This Row],[Risk Score]]</f>
        <v/>
      </c>
      <c r="U82" s="86"/>
      <c r="V82" s="86">
        <v>10.199999999999999</v>
      </c>
      <c r="W82" s="15" t="s">
        <v>71</v>
      </c>
      <c r="X82" s="15" t="s">
        <v>384</v>
      </c>
      <c r="Y82" s="26"/>
      <c r="Z82" s="16"/>
      <c r="AA82" s="23" t="str">
        <f>IFERROR(VLOOKUP(10*tblRiskRegister32[[#This Row],[Risk Treatment Safeguard Maturity Score]]+tblRiskRegister32[[#This Row],[VCDB Index]],tblHITIndexWeightTable[],4,FALSE),"")</f>
        <v/>
      </c>
      <c r="AB82" s="23">
        <f>VLOOKUP(tblRiskRegister32[[#This Row],[Asset Class]],tblInherentImpacts30[],2,FALSE)</f>
        <v>0</v>
      </c>
      <c r="AC82" s="23">
        <f>VLOOKUP(tblRiskRegister32[[#This Row],[Asset Class]],tblInherentImpacts30[],3,FALSE)</f>
        <v>0</v>
      </c>
      <c r="AD82" s="23">
        <f>VLOOKUP(tblRiskRegister32[[#This Row],[Asset Class]],tblInherentImpacts30[],4,FALSE)</f>
        <v>0</v>
      </c>
      <c r="AE82" s="23">
        <f>VLOOKUP(tblRiskRegister32[[#This Row],[Asset Class]],tblInherentImpacts30[],5,FALSE)</f>
        <v>0</v>
      </c>
      <c r="AF82" s="23" t="str">
        <f>IFERROR(MAX(tblRiskRegister32[[#This Row],[Risk Treatment Safeguard Impact to Mission]:[Risk Treatment Safeguard Impact to Obligations]])*tblRiskRegister32[[#This Row],[Risk Treatment
Safeguard Expectancy Score]],"")</f>
        <v/>
      </c>
      <c r="AG82" s="23" t="str">
        <f>IF(tblRiskRegister32[[#This Row],[Risk Score]]&gt;=AcceptableRisk,IF(tblRiskRegister32[[#This Row],[Risk Treatment Safeguard Risk Score]]&lt;AcceptableRisk, IF(tblRiskRegister32[[#This Row],[Risk Treatment Safeguard Risk Score]]&lt;tblRiskRegister32[[#This Row],[Risk Score]],"Yes","No"),"No"),"Yes")</f>
        <v>No</v>
      </c>
      <c r="AH82" s="17"/>
      <c r="AI82" s="17"/>
      <c r="AJ82" s="18"/>
    </row>
    <row r="83" spans="2:36" ht="42">
      <c r="B83" s="220" t="s">
        <v>91</v>
      </c>
      <c r="C83" s="15"/>
      <c r="D83" s="86">
        <v>10.3</v>
      </c>
      <c r="E83" s="14" t="s">
        <v>72</v>
      </c>
      <c r="F83" s="13" t="s">
        <v>429</v>
      </c>
      <c r="G83" s="13" t="s">
        <v>429</v>
      </c>
      <c r="H83" s="13" t="s">
        <v>523</v>
      </c>
      <c r="I83" s="15"/>
      <c r="J83" s="15"/>
      <c r="K83" s="15"/>
      <c r="L83" s="16"/>
      <c r="M83" s="24">
        <f>IFERROR(VLOOKUP(tblRiskRegister32[[#This Row],[Asset Class]],tblVCDBIndex[],4,FALSE),"")</f>
        <v>4</v>
      </c>
      <c r="N83" s="24" t="str">
        <f>IFERROR(VLOOKUP(10*tblRiskRegister32[[#This Row],[Safeguard Maturity Score]]+tblRiskRegister32[[#This Row],[VCDB Index]],tblHITIndexWeightTable[],4,FALSE),"")</f>
        <v/>
      </c>
      <c r="O83" s="24">
        <f>VLOOKUP(tblRiskRegister32[[#This Row],[Asset Class]],tblInherentImpacts30[],2,FALSE)</f>
        <v>0</v>
      </c>
      <c r="P83" s="24">
        <f>VLOOKUP(tblRiskRegister32[[#This Row],[Asset Class]],tblInherentImpacts30[],3,FALSE)</f>
        <v>0</v>
      </c>
      <c r="Q83" s="24">
        <f>VLOOKUP(tblRiskRegister32[[#This Row],[Asset Class]],tblInherentImpacts30[],4,FALSE)</f>
        <v>0</v>
      </c>
      <c r="R83" s="24">
        <f>VLOOKUP(tblRiskRegister32[[#This Row],[Asset Class]],tblInherentImpacts30[],5,FALSE)</f>
        <v>0</v>
      </c>
      <c r="S83" s="24" t="str">
        <f>IFERROR(MAX(tblRiskRegister32[[#This Row],[Impact to Mission]:[Impact to Obligations]])*tblRiskRegister32[[#This Row],[Expectancy Score]],"")</f>
        <v/>
      </c>
      <c r="T83" s="24" t="str">
        <f>tblRiskRegister32[[#This Row],[Risk Score]]</f>
        <v/>
      </c>
      <c r="U83" s="86"/>
      <c r="V83" s="86">
        <v>10.3</v>
      </c>
      <c r="W83" s="15" t="s">
        <v>72</v>
      </c>
      <c r="X83" s="15" t="s">
        <v>385</v>
      </c>
      <c r="Y83" s="26"/>
      <c r="Z83" s="16"/>
      <c r="AA83" s="23" t="str">
        <f>IFERROR(VLOOKUP(10*tblRiskRegister32[[#This Row],[Risk Treatment Safeguard Maturity Score]]+tblRiskRegister32[[#This Row],[VCDB Index]],tblHITIndexWeightTable[],4,FALSE),"")</f>
        <v/>
      </c>
      <c r="AB83" s="23">
        <f>VLOOKUP(tblRiskRegister32[[#This Row],[Asset Class]],tblInherentImpacts30[],2,FALSE)</f>
        <v>0</v>
      </c>
      <c r="AC83" s="23">
        <f>VLOOKUP(tblRiskRegister32[[#This Row],[Asset Class]],tblInherentImpacts30[],3,FALSE)</f>
        <v>0</v>
      </c>
      <c r="AD83" s="23">
        <f>VLOOKUP(tblRiskRegister32[[#This Row],[Asset Class]],tblInherentImpacts30[],4,FALSE)</f>
        <v>0</v>
      </c>
      <c r="AE83" s="23">
        <f>VLOOKUP(tblRiskRegister32[[#This Row],[Asset Class]],tblInherentImpacts30[],5,FALSE)</f>
        <v>0</v>
      </c>
      <c r="AF83" s="23" t="str">
        <f>IFERROR(MAX(tblRiskRegister32[[#This Row],[Risk Treatment Safeguard Impact to Mission]:[Risk Treatment Safeguard Impact to Obligations]])*tblRiskRegister32[[#This Row],[Risk Treatment
Safeguard Expectancy Score]],"")</f>
        <v/>
      </c>
      <c r="AG83" s="23" t="str">
        <f>IF(tblRiskRegister32[[#This Row],[Risk Score]]&gt;=AcceptableRisk,IF(tblRiskRegister32[[#This Row],[Risk Treatment Safeguard Risk Score]]&lt;AcceptableRisk, IF(tblRiskRegister32[[#This Row],[Risk Treatment Safeguard Risk Score]]&lt;tblRiskRegister32[[#This Row],[Risk Score]],"Yes","No"),"No"),"Yes")</f>
        <v>No</v>
      </c>
      <c r="AH83" s="17"/>
      <c r="AI83" s="17"/>
      <c r="AJ83" s="18"/>
    </row>
    <row r="84" spans="2:36" ht="42">
      <c r="B84" s="220" t="s">
        <v>91</v>
      </c>
      <c r="C84" s="15"/>
      <c r="D84" s="86">
        <v>10.4</v>
      </c>
      <c r="E84" s="14" t="s">
        <v>188</v>
      </c>
      <c r="F84" s="13"/>
      <c r="G84" s="13" t="s">
        <v>429</v>
      </c>
      <c r="H84" s="13" t="s">
        <v>524</v>
      </c>
      <c r="I84" s="15"/>
      <c r="J84" s="15"/>
      <c r="K84" s="15"/>
      <c r="L84" s="16"/>
      <c r="M84" s="24">
        <f>IFERROR(VLOOKUP(tblRiskRegister32[[#This Row],[Asset Class]],tblVCDBIndex[],4,FALSE),"")</f>
        <v>4</v>
      </c>
      <c r="N84" s="24" t="str">
        <f>IFERROR(VLOOKUP(10*tblRiskRegister32[[#This Row],[Safeguard Maturity Score]]+tblRiskRegister32[[#This Row],[VCDB Index]],tblHITIndexWeightTable[],4,FALSE),"")</f>
        <v/>
      </c>
      <c r="O84" s="24">
        <f>VLOOKUP(tblRiskRegister32[[#This Row],[Asset Class]],tblInherentImpacts30[],2,FALSE)</f>
        <v>0</v>
      </c>
      <c r="P84" s="24">
        <f>VLOOKUP(tblRiskRegister32[[#This Row],[Asset Class]],tblInherentImpacts30[],3,FALSE)</f>
        <v>0</v>
      </c>
      <c r="Q84" s="24">
        <f>VLOOKUP(tblRiskRegister32[[#This Row],[Asset Class]],tblInherentImpacts30[],4,FALSE)</f>
        <v>0</v>
      </c>
      <c r="R84" s="24">
        <f>VLOOKUP(tblRiskRegister32[[#This Row],[Asset Class]],tblInherentImpacts30[],5,FALSE)</f>
        <v>0</v>
      </c>
      <c r="S84" s="24" t="str">
        <f>IFERROR(MAX(tblRiskRegister32[[#This Row],[Impact to Mission]:[Impact to Obligations]])*tblRiskRegister32[[#This Row],[Expectancy Score]],"")</f>
        <v/>
      </c>
      <c r="T84" s="24" t="str">
        <f>tblRiskRegister32[[#This Row],[Risk Score]]</f>
        <v/>
      </c>
      <c r="U84" s="86"/>
      <c r="V84" s="86">
        <v>10.4</v>
      </c>
      <c r="W84" s="15" t="s">
        <v>188</v>
      </c>
      <c r="X84" s="15" t="s">
        <v>386</v>
      </c>
      <c r="Y84" s="26"/>
      <c r="Z84" s="16"/>
      <c r="AA84" s="23" t="str">
        <f>IFERROR(VLOOKUP(10*tblRiskRegister32[[#This Row],[Risk Treatment Safeguard Maturity Score]]+tblRiskRegister32[[#This Row],[VCDB Index]],tblHITIndexWeightTable[],4,FALSE),"")</f>
        <v/>
      </c>
      <c r="AB84" s="23">
        <f>VLOOKUP(tblRiskRegister32[[#This Row],[Asset Class]],tblInherentImpacts30[],2,FALSE)</f>
        <v>0</v>
      </c>
      <c r="AC84" s="23">
        <f>VLOOKUP(tblRiskRegister32[[#This Row],[Asset Class]],tblInherentImpacts30[],3,FALSE)</f>
        <v>0</v>
      </c>
      <c r="AD84" s="23">
        <f>VLOOKUP(tblRiskRegister32[[#This Row],[Asset Class]],tblInherentImpacts30[],4,FALSE)</f>
        <v>0</v>
      </c>
      <c r="AE84" s="23">
        <f>VLOOKUP(tblRiskRegister32[[#This Row],[Asset Class]],tblInherentImpacts30[],5,FALSE)</f>
        <v>0</v>
      </c>
      <c r="AF84" s="23" t="str">
        <f>IFERROR(MAX(tblRiskRegister32[[#This Row],[Risk Treatment Safeguard Impact to Mission]:[Risk Treatment Safeguard Impact to Obligations]])*tblRiskRegister32[[#This Row],[Risk Treatment
Safeguard Expectancy Score]],"")</f>
        <v/>
      </c>
      <c r="AG84" s="23" t="str">
        <f>IF(tblRiskRegister32[[#This Row],[Risk Score]]&gt;=AcceptableRisk,IF(tblRiskRegister32[[#This Row],[Risk Treatment Safeguard Risk Score]]&lt;AcceptableRisk, IF(tblRiskRegister32[[#This Row],[Risk Treatment Safeguard Risk Score]]&lt;tblRiskRegister32[[#This Row],[Risk Score]],"Yes","No"),"No"),"Yes")</f>
        <v>No</v>
      </c>
      <c r="AH84" s="17"/>
      <c r="AI84" s="17"/>
      <c r="AJ84" s="18"/>
    </row>
    <row r="85" spans="2:36" ht="42">
      <c r="B85" s="220" t="s">
        <v>91</v>
      </c>
      <c r="C85" s="15"/>
      <c r="D85" s="86">
        <v>10.5</v>
      </c>
      <c r="E85" s="14" t="s">
        <v>189</v>
      </c>
      <c r="F85" s="13"/>
      <c r="G85" s="13" t="s">
        <v>429</v>
      </c>
      <c r="H85" s="13" t="s">
        <v>523</v>
      </c>
      <c r="I85" s="15"/>
      <c r="J85" s="15"/>
      <c r="K85" s="15"/>
      <c r="L85" s="16"/>
      <c r="M85" s="24">
        <f>IFERROR(VLOOKUP(tblRiskRegister32[[#This Row],[Asset Class]],tblVCDBIndex[],4,FALSE),"")</f>
        <v>4</v>
      </c>
      <c r="N85" s="24" t="str">
        <f>IFERROR(VLOOKUP(10*tblRiskRegister32[[#This Row],[Safeguard Maturity Score]]+tblRiskRegister32[[#This Row],[VCDB Index]],tblHITIndexWeightTable[],4,FALSE),"")</f>
        <v/>
      </c>
      <c r="O85" s="24">
        <f>VLOOKUP(tblRiskRegister32[[#This Row],[Asset Class]],tblInherentImpacts30[],2,FALSE)</f>
        <v>0</v>
      </c>
      <c r="P85" s="24">
        <f>VLOOKUP(tblRiskRegister32[[#This Row],[Asset Class]],tblInherentImpacts30[],3,FALSE)</f>
        <v>0</v>
      </c>
      <c r="Q85" s="24">
        <f>VLOOKUP(tblRiskRegister32[[#This Row],[Asset Class]],tblInherentImpacts30[],4,FALSE)</f>
        <v>0</v>
      </c>
      <c r="R85" s="24">
        <f>VLOOKUP(tblRiskRegister32[[#This Row],[Asset Class]],tblInherentImpacts30[],5,FALSE)</f>
        <v>0</v>
      </c>
      <c r="S85" s="24" t="str">
        <f>IFERROR(MAX(tblRiskRegister32[[#This Row],[Impact to Mission]:[Impact to Obligations]])*tblRiskRegister32[[#This Row],[Expectancy Score]],"")</f>
        <v/>
      </c>
      <c r="T85" s="24" t="str">
        <f>tblRiskRegister32[[#This Row],[Risk Score]]</f>
        <v/>
      </c>
      <c r="U85" s="86"/>
      <c r="V85" s="86">
        <v>10.5</v>
      </c>
      <c r="W85" s="15" t="s">
        <v>189</v>
      </c>
      <c r="X85" s="15" t="s">
        <v>387</v>
      </c>
      <c r="Y85" s="26"/>
      <c r="Z85" s="16"/>
      <c r="AA85" s="23" t="str">
        <f>IFERROR(VLOOKUP(10*tblRiskRegister32[[#This Row],[Risk Treatment Safeguard Maturity Score]]+tblRiskRegister32[[#This Row],[VCDB Index]],tblHITIndexWeightTable[],4,FALSE),"")</f>
        <v/>
      </c>
      <c r="AB85" s="23">
        <f>VLOOKUP(tblRiskRegister32[[#This Row],[Asset Class]],tblInherentImpacts30[],2,FALSE)</f>
        <v>0</v>
      </c>
      <c r="AC85" s="23">
        <f>VLOOKUP(tblRiskRegister32[[#This Row],[Asset Class]],tblInherentImpacts30[],3,FALSE)</f>
        <v>0</v>
      </c>
      <c r="AD85" s="23">
        <f>VLOOKUP(tblRiskRegister32[[#This Row],[Asset Class]],tblInherentImpacts30[],4,FALSE)</f>
        <v>0</v>
      </c>
      <c r="AE85" s="23">
        <f>VLOOKUP(tblRiskRegister32[[#This Row],[Asset Class]],tblInherentImpacts30[],5,FALSE)</f>
        <v>0</v>
      </c>
      <c r="AF85" s="23" t="str">
        <f>IFERROR(MAX(tblRiskRegister32[[#This Row],[Risk Treatment Safeguard Impact to Mission]:[Risk Treatment Safeguard Impact to Obligations]])*tblRiskRegister32[[#This Row],[Risk Treatment
Safeguard Expectancy Score]],"")</f>
        <v/>
      </c>
      <c r="AG85" s="23" t="str">
        <f>IF(tblRiskRegister32[[#This Row],[Risk Score]]&gt;=AcceptableRisk,IF(tblRiskRegister32[[#This Row],[Risk Treatment Safeguard Risk Score]]&lt;AcceptableRisk, IF(tblRiskRegister32[[#This Row],[Risk Treatment Safeguard Risk Score]]&lt;tblRiskRegister32[[#This Row],[Risk Score]],"Yes","No"),"No"),"Yes")</f>
        <v>No</v>
      </c>
      <c r="AH85" s="17"/>
      <c r="AI85" s="17"/>
      <c r="AJ85" s="18"/>
    </row>
    <row r="86" spans="2:36" ht="28">
      <c r="B86" s="220" t="s">
        <v>91</v>
      </c>
      <c r="C86" s="15"/>
      <c r="D86" s="86">
        <v>10.6</v>
      </c>
      <c r="E86" s="14" t="s">
        <v>190</v>
      </c>
      <c r="F86" s="13"/>
      <c r="G86" s="13" t="s">
        <v>429</v>
      </c>
      <c r="H86" s="13" t="s">
        <v>523</v>
      </c>
      <c r="I86" s="15"/>
      <c r="J86" s="15"/>
      <c r="K86" s="15"/>
      <c r="L86" s="16"/>
      <c r="M86" s="24">
        <f>IFERROR(VLOOKUP(tblRiskRegister32[[#This Row],[Asset Class]],tblVCDBIndex[],4,FALSE),"")</f>
        <v>4</v>
      </c>
      <c r="N86" s="24" t="str">
        <f>IFERROR(VLOOKUP(10*tblRiskRegister32[[#This Row],[Safeguard Maturity Score]]+tblRiskRegister32[[#This Row],[VCDB Index]],tblHITIndexWeightTable[],4,FALSE),"")</f>
        <v/>
      </c>
      <c r="O86" s="24">
        <f>VLOOKUP(tblRiskRegister32[[#This Row],[Asset Class]],tblInherentImpacts30[],2,FALSE)</f>
        <v>0</v>
      </c>
      <c r="P86" s="24">
        <f>VLOOKUP(tblRiskRegister32[[#This Row],[Asset Class]],tblInherentImpacts30[],3,FALSE)</f>
        <v>0</v>
      </c>
      <c r="Q86" s="24">
        <f>VLOOKUP(tblRiskRegister32[[#This Row],[Asset Class]],tblInherentImpacts30[],4,FALSE)</f>
        <v>0</v>
      </c>
      <c r="R86" s="24">
        <f>VLOOKUP(tblRiskRegister32[[#This Row],[Asset Class]],tblInherentImpacts30[],5,FALSE)</f>
        <v>0</v>
      </c>
      <c r="S86" s="24" t="str">
        <f>IFERROR(MAX(tblRiskRegister32[[#This Row],[Impact to Mission]:[Impact to Obligations]])*tblRiskRegister32[[#This Row],[Expectancy Score]],"")</f>
        <v/>
      </c>
      <c r="T86" s="24" t="str">
        <f>tblRiskRegister32[[#This Row],[Risk Score]]</f>
        <v/>
      </c>
      <c r="U86" s="86"/>
      <c r="V86" s="86">
        <v>10.6</v>
      </c>
      <c r="W86" s="15" t="s">
        <v>190</v>
      </c>
      <c r="X86" s="15" t="s">
        <v>388</v>
      </c>
      <c r="Y86" s="26"/>
      <c r="Z86" s="16"/>
      <c r="AA86" s="23" t="str">
        <f>IFERROR(VLOOKUP(10*tblRiskRegister32[[#This Row],[Risk Treatment Safeguard Maturity Score]]+tblRiskRegister32[[#This Row],[VCDB Index]],tblHITIndexWeightTable[],4,FALSE),"")</f>
        <v/>
      </c>
      <c r="AB86" s="23">
        <f>VLOOKUP(tblRiskRegister32[[#This Row],[Asset Class]],tblInherentImpacts30[],2,FALSE)</f>
        <v>0</v>
      </c>
      <c r="AC86" s="23">
        <f>VLOOKUP(tblRiskRegister32[[#This Row],[Asset Class]],tblInherentImpacts30[],3,FALSE)</f>
        <v>0</v>
      </c>
      <c r="AD86" s="23">
        <f>VLOOKUP(tblRiskRegister32[[#This Row],[Asset Class]],tblInherentImpacts30[],4,FALSE)</f>
        <v>0</v>
      </c>
      <c r="AE86" s="23">
        <f>VLOOKUP(tblRiskRegister32[[#This Row],[Asset Class]],tblInherentImpacts30[],5,FALSE)</f>
        <v>0</v>
      </c>
      <c r="AF86" s="23" t="str">
        <f>IFERROR(MAX(tblRiskRegister32[[#This Row],[Risk Treatment Safeguard Impact to Mission]:[Risk Treatment Safeguard Impact to Obligations]])*tblRiskRegister32[[#This Row],[Risk Treatment
Safeguard Expectancy Score]],"")</f>
        <v/>
      </c>
      <c r="AG86" s="23" t="str">
        <f>IF(tblRiskRegister32[[#This Row],[Risk Score]]&gt;=AcceptableRisk,IF(tblRiskRegister32[[#This Row],[Risk Treatment Safeguard Risk Score]]&lt;AcceptableRisk, IF(tblRiskRegister32[[#This Row],[Risk Treatment Safeguard Risk Score]]&lt;tblRiskRegister32[[#This Row],[Risk Score]],"Yes","No"),"No"),"Yes")</f>
        <v>No</v>
      </c>
      <c r="AH86" s="17"/>
      <c r="AI86" s="17"/>
      <c r="AJ86" s="18"/>
    </row>
    <row r="87" spans="2:36" ht="28">
      <c r="B87" s="220" t="s">
        <v>91</v>
      </c>
      <c r="C87" s="15"/>
      <c r="D87" s="86">
        <v>10.7</v>
      </c>
      <c r="E87" s="14" t="s">
        <v>191</v>
      </c>
      <c r="F87" s="13"/>
      <c r="G87" s="13" t="s">
        <v>429</v>
      </c>
      <c r="H87" s="13" t="s">
        <v>524</v>
      </c>
      <c r="I87" s="15"/>
      <c r="J87" s="15"/>
      <c r="K87" s="15"/>
      <c r="L87" s="16"/>
      <c r="M87" s="24">
        <f>IFERROR(VLOOKUP(tblRiskRegister32[[#This Row],[Asset Class]],tblVCDBIndex[],4,FALSE),"")</f>
        <v>4</v>
      </c>
      <c r="N87" s="24" t="str">
        <f>IFERROR(VLOOKUP(10*tblRiskRegister32[[#This Row],[Safeguard Maturity Score]]+tblRiskRegister32[[#This Row],[VCDB Index]],tblHITIndexWeightTable[],4,FALSE),"")</f>
        <v/>
      </c>
      <c r="O87" s="24">
        <f>VLOOKUP(tblRiskRegister32[[#This Row],[Asset Class]],tblInherentImpacts30[],2,FALSE)</f>
        <v>0</v>
      </c>
      <c r="P87" s="24">
        <f>VLOOKUP(tblRiskRegister32[[#This Row],[Asset Class]],tblInherentImpacts30[],3,FALSE)</f>
        <v>0</v>
      </c>
      <c r="Q87" s="24">
        <f>VLOOKUP(tblRiskRegister32[[#This Row],[Asset Class]],tblInherentImpacts30[],4,FALSE)</f>
        <v>0</v>
      </c>
      <c r="R87" s="24">
        <f>VLOOKUP(tblRiskRegister32[[#This Row],[Asset Class]],tblInherentImpacts30[],5,FALSE)</f>
        <v>0</v>
      </c>
      <c r="S87" s="24" t="str">
        <f>IFERROR(MAX(tblRiskRegister32[[#This Row],[Impact to Mission]:[Impact to Obligations]])*tblRiskRegister32[[#This Row],[Expectancy Score]],"")</f>
        <v/>
      </c>
      <c r="T87" s="24" t="str">
        <f>tblRiskRegister32[[#This Row],[Risk Score]]</f>
        <v/>
      </c>
      <c r="U87" s="86"/>
      <c r="V87" s="86">
        <v>10.7</v>
      </c>
      <c r="W87" s="15" t="s">
        <v>191</v>
      </c>
      <c r="X87" s="15" t="s">
        <v>389</v>
      </c>
      <c r="Y87" s="26"/>
      <c r="Z87" s="16"/>
      <c r="AA87" s="23" t="str">
        <f>IFERROR(VLOOKUP(10*tblRiskRegister32[[#This Row],[Risk Treatment Safeguard Maturity Score]]+tblRiskRegister32[[#This Row],[VCDB Index]],tblHITIndexWeightTable[],4,FALSE),"")</f>
        <v/>
      </c>
      <c r="AB87" s="23">
        <f>VLOOKUP(tblRiskRegister32[[#This Row],[Asset Class]],tblInherentImpacts30[],2,FALSE)</f>
        <v>0</v>
      </c>
      <c r="AC87" s="23">
        <f>VLOOKUP(tblRiskRegister32[[#This Row],[Asset Class]],tblInherentImpacts30[],3,FALSE)</f>
        <v>0</v>
      </c>
      <c r="AD87" s="23">
        <f>VLOOKUP(tblRiskRegister32[[#This Row],[Asset Class]],tblInherentImpacts30[],4,FALSE)</f>
        <v>0</v>
      </c>
      <c r="AE87" s="23">
        <f>VLOOKUP(tblRiskRegister32[[#This Row],[Asset Class]],tblInherentImpacts30[],5,FALSE)</f>
        <v>0</v>
      </c>
      <c r="AF87" s="23" t="str">
        <f>IFERROR(MAX(tblRiskRegister32[[#This Row],[Risk Treatment Safeguard Impact to Mission]:[Risk Treatment Safeguard Impact to Obligations]])*tblRiskRegister32[[#This Row],[Risk Treatment
Safeguard Expectancy Score]],"")</f>
        <v/>
      </c>
      <c r="AG87" s="23" t="str">
        <f>IF(tblRiskRegister32[[#This Row],[Risk Score]]&gt;=AcceptableRisk,IF(tblRiskRegister32[[#This Row],[Risk Treatment Safeguard Risk Score]]&lt;AcceptableRisk, IF(tblRiskRegister32[[#This Row],[Risk Treatment Safeguard Risk Score]]&lt;tblRiskRegister32[[#This Row],[Risk Score]],"Yes","No"),"No"),"Yes")</f>
        <v>No</v>
      </c>
      <c r="AH87" s="17"/>
      <c r="AI87" s="17"/>
      <c r="AJ87" s="18"/>
    </row>
    <row r="88" spans="2:36" ht="70">
      <c r="B88" s="220" t="s">
        <v>528</v>
      </c>
      <c r="C88" s="15"/>
      <c r="D88" s="86">
        <v>11.1</v>
      </c>
      <c r="E88" s="14" t="s">
        <v>73</v>
      </c>
      <c r="F88" s="13" t="s">
        <v>429</v>
      </c>
      <c r="G88" s="13" t="s">
        <v>429</v>
      </c>
      <c r="H88" s="13" t="s">
        <v>532</v>
      </c>
      <c r="I88" s="15"/>
      <c r="J88" s="15"/>
      <c r="K88" s="15"/>
      <c r="L88" s="16"/>
      <c r="M88" s="24">
        <f>IFERROR(VLOOKUP(tblRiskRegister32[[#This Row],[Asset Class]],tblVCDBIndex[],4,FALSE),"")</f>
        <v>2</v>
      </c>
      <c r="N88" s="24" t="str">
        <f>IFERROR(VLOOKUP(10*tblRiskRegister32[[#This Row],[Safeguard Maturity Score]]+tblRiskRegister32[[#This Row],[VCDB Index]],tblHITIndexWeightTable[],4,FALSE),"")</f>
        <v/>
      </c>
      <c r="O88" s="24">
        <f>VLOOKUP(tblRiskRegister32[[#This Row],[Asset Class]],tblInherentImpacts30[],2,FALSE)</f>
        <v>0</v>
      </c>
      <c r="P88" s="24">
        <f>VLOOKUP(tblRiskRegister32[[#This Row],[Asset Class]],tblInherentImpacts30[],3,FALSE)</f>
        <v>0</v>
      </c>
      <c r="Q88" s="24">
        <f>VLOOKUP(tblRiskRegister32[[#This Row],[Asset Class]],tblInherentImpacts30[],4,FALSE)</f>
        <v>0</v>
      </c>
      <c r="R88" s="24">
        <f>VLOOKUP(tblRiskRegister32[[#This Row],[Asset Class]],tblInherentImpacts30[],5,FALSE)</f>
        <v>0</v>
      </c>
      <c r="S88" s="24" t="str">
        <f>IFERROR(MAX(tblRiskRegister32[[#This Row],[Impact to Mission]:[Impact to Obligations]])*tblRiskRegister32[[#This Row],[Expectancy Score]],"")</f>
        <v/>
      </c>
      <c r="T88" s="24" t="str">
        <f>tblRiskRegister32[[#This Row],[Risk Score]]</f>
        <v/>
      </c>
      <c r="U88" s="86"/>
      <c r="V88" s="86">
        <v>11.1</v>
      </c>
      <c r="W88" s="15" t="s">
        <v>73</v>
      </c>
      <c r="X88" s="15" t="s">
        <v>553</v>
      </c>
      <c r="Y88" s="15"/>
      <c r="Z88" s="16"/>
      <c r="AA88" s="23" t="str">
        <f>IFERROR(VLOOKUP(10*tblRiskRegister32[[#This Row],[Risk Treatment Safeguard Maturity Score]]+tblRiskRegister32[[#This Row],[VCDB Index]],tblHITIndexWeightTable[],4,FALSE),"")</f>
        <v/>
      </c>
      <c r="AB88" s="23">
        <f>VLOOKUP(tblRiskRegister32[[#This Row],[Asset Class]],tblInherentImpacts30[],2,FALSE)</f>
        <v>0</v>
      </c>
      <c r="AC88" s="23">
        <f>VLOOKUP(tblRiskRegister32[[#This Row],[Asset Class]],tblInherentImpacts30[],3,FALSE)</f>
        <v>0</v>
      </c>
      <c r="AD88" s="23">
        <f>VLOOKUP(tblRiskRegister32[[#This Row],[Asset Class]],tblInherentImpacts30[],4,FALSE)</f>
        <v>0</v>
      </c>
      <c r="AE88" s="23">
        <f>VLOOKUP(tblRiskRegister32[[#This Row],[Asset Class]],tblInherentImpacts30[],5,FALSE)</f>
        <v>0</v>
      </c>
      <c r="AF88" s="23" t="str">
        <f>IFERROR(MAX(tblRiskRegister32[[#This Row],[Risk Treatment Safeguard Impact to Mission]:[Risk Treatment Safeguard Impact to Obligations]])*tblRiskRegister32[[#This Row],[Risk Treatment
Safeguard Expectancy Score]],"")</f>
        <v/>
      </c>
      <c r="AG88" s="23" t="str">
        <f>IF(tblRiskRegister32[[#This Row],[Risk Score]]&gt;=AcceptableRisk,IF(tblRiskRegister32[[#This Row],[Risk Treatment Safeguard Risk Score]]&lt;AcceptableRisk, IF(tblRiskRegister32[[#This Row],[Risk Treatment Safeguard Risk Score]]&lt;tblRiskRegister32[[#This Row],[Risk Score]],"Yes","No"),"No"),"Yes")</f>
        <v>No</v>
      </c>
      <c r="AH88" s="17"/>
      <c r="AI88" s="17"/>
      <c r="AJ88" s="18"/>
    </row>
    <row r="89" spans="2:36" ht="28">
      <c r="B89" s="220" t="s">
        <v>90</v>
      </c>
      <c r="C89" s="15"/>
      <c r="D89" s="86">
        <v>11.2</v>
      </c>
      <c r="E89" s="14" t="s">
        <v>74</v>
      </c>
      <c r="F89" s="13" t="s">
        <v>429</v>
      </c>
      <c r="G89" s="13" t="s">
        <v>429</v>
      </c>
      <c r="H89" s="13" t="s">
        <v>525</v>
      </c>
      <c r="I89" s="15"/>
      <c r="J89" s="15"/>
      <c r="K89" s="15"/>
      <c r="L89" s="16"/>
      <c r="M89" s="24">
        <f>IFERROR(VLOOKUP(tblRiskRegister32[[#This Row],[Asset Class]],tblVCDBIndex[],4,FALSE),"")</f>
        <v>2</v>
      </c>
      <c r="N89" s="24" t="str">
        <f>IFERROR(VLOOKUP(10*tblRiskRegister32[[#This Row],[Safeguard Maturity Score]]+tblRiskRegister32[[#This Row],[VCDB Index]],tblHITIndexWeightTable[],4,FALSE),"")</f>
        <v/>
      </c>
      <c r="O89" s="24">
        <f>VLOOKUP(tblRiskRegister32[[#This Row],[Asset Class]],tblInherentImpacts30[],2,FALSE)</f>
        <v>0</v>
      </c>
      <c r="P89" s="24">
        <f>VLOOKUP(tblRiskRegister32[[#This Row],[Asset Class]],tblInherentImpacts30[],3,FALSE)</f>
        <v>0</v>
      </c>
      <c r="Q89" s="24">
        <f>VLOOKUP(tblRiskRegister32[[#This Row],[Asset Class]],tblInherentImpacts30[],4,FALSE)</f>
        <v>0</v>
      </c>
      <c r="R89" s="24">
        <f>VLOOKUP(tblRiskRegister32[[#This Row],[Asset Class]],tblInherentImpacts30[],5,FALSE)</f>
        <v>0</v>
      </c>
      <c r="S89" s="24" t="str">
        <f>IFERROR(MAX(tblRiskRegister32[[#This Row],[Impact to Mission]:[Impact to Obligations]])*tblRiskRegister32[[#This Row],[Expectancy Score]],"")</f>
        <v/>
      </c>
      <c r="T89" s="24" t="str">
        <f>tblRiskRegister32[[#This Row],[Risk Score]]</f>
        <v/>
      </c>
      <c r="U89" s="86"/>
      <c r="V89" s="86">
        <v>11.2</v>
      </c>
      <c r="W89" s="15" t="s">
        <v>74</v>
      </c>
      <c r="X89" s="15" t="s">
        <v>390</v>
      </c>
      <c r="Y89" s="15"/>
      <c r="Z89" s="16"/>
      <c r="AA89" s="23" t="str">
        <f>IFERROR(VLOOKUP(10*tblRiskRegister32[[#This Row],[Risk Treatment Safeguard Maturity Score]]+tblRiskRegister32[[#This Row],[VCDB Index]],tblHITIndexWeightTable[],4,FALSE),"")</f>
        <v/>
      </c>
      <c r="AB89" s="23">
        <f>VLOOKUP(tblRiskRegister32[[#This Row],[Asset Class]],tblInherentImpacts30[],2,FALSE)</f>
        <v>0</v>
      </c>
      <c r="AC89" s="23">
        <f>VLOOKUP(tblRiskRegister32[[#This Row],[Asset Class]],tblInherentImpacts30[],3,FALSE)</f>
        <v>0</v>
      </c>
      <c r="AD89" s="23">
        <f>VLOOKUP(tblRiskRegister32[[#This Row],[Asset Class]],tblInherentImpacts30[],4,FALSE)</f>
        <v>0</v>
      </c>
      <c r="AE89" s="23">
        <f>VLOOKUP(tblRiskRegister32[[#This Row],[Asset Class]],tblInherentImpacts30[],5,FALSE)</f>
        <v>0</v>
      </c>
      <c r="AF89" s="23" t="str">
        <f>IFERROR(MAX(tblRiskRegister32[[#This Row],[Risk Treatment Safeguard Impact to Mission]:[Risk Treatment Safeguard Impact to Obligations]])*tblRiskRegister32[[#This Row],[Risk Treatment
Safeguard Expectancy Score]],"")</f>
        <v/>
      </c>
      <c r="AG89" s="23" t="str">
        <f>IF(tblRiskRegister32[[#This Row],[Risk Score]]&gt;=AcceptableRisk,IF(tblRiskRegister32[[#This Row],[Risk Treatment Safeguard Risk Score]]&lt;AcceptableRisk, IF(tblRiskRegister32[[#This Row],[Risk Treatment Safeguard Risk Score]]&lt;tblRiskRegister32[[#This Row],[Risk Score]],"Yes","No"),"No"),"Yes")</f>
        <v>No</v>
      </c>
      <c r="AH89" s="17"/>
      <c r="AI89" s="17"/>
      <c r="AJ89" s="18"/>
    </row>
    <row r="90" spans="2:36" ht="28">
      <c r="B90" s="220" t="s">
        <v>90</v>
      </c>
      <c r="C90" s="15"/>
      <c r="D90" s="86">
        <v>11.3</v>
      </c>
      <c r="E90" s="14" t="s">
        <v>75</v>
      </c>
      <c r="F90" s="13" t="s">
        <v>429</v>
      </c>
      <c r="G90" s="13" t="s">
        <v>429</v>
      </c>
      <c r="H90" s="13" t="s">
        <v>523</v>
      </c>
      <c r="I90" s="15"/>
      <c r="J90" s="15"/>
      <c r="K90" s="15"/>
      <c r="L90" s="16"/>
      <c r="M90" s="24">
        <f>IFERROR(VLOOKUP(tblRiskRegister32[[#This Row],[Asset Class]],tblVCDBIndex[],4,FALSE),"")</f>
        <v>2</v>
      </c>
      <c r="N90" s="24" t="str">
        <f>IFERROR(VLOOKUP(10*tblRiskRegister32[[#This Row],[Safeguard Maturity Score]]+tblRiskRegister32[[#This Row],[VCDB Index]],tblHITIndexWeightTable[],4,FALSE),"")</f>
        <v/>
      </c>
      <c r="O90" s="24">
        <f>VLOOKUP(tblRiskRegister32[[#This Row],[Asset Class]],tblInherentImpacts30[],2,FALSE)</f>
        <v>0</v>
      </c>
      <c r="P90" s="24">
        <f>VLOOKUP(tblRiskRegister32[[#This Row],[Asset Class]],tblInherentImpacts30[],3,FALSE)</f>
        <v>0</v>
      </c>
      <c r="Q90" s="24">
        <f>VLOOKUP(tblRiskRegister32[[#This Row],[Asset Class]],tblInherentImpacts30[],4,FALSE)</f>
        <v>0</v>
      </c>
      <c r="R90" s="24">
        <f>VLOOKUP(tblRiskRegister32[[#This Row],[Asset Class]],tblInherentImpacts30[],5,FALSE)</f>
        <v>0</v>
      </c>
      <c r="S90" s="24" t="str">
        <f>IFERROR(MAX(tblRiskRegister32[[#This Row],[Impact to Mission]:[Impact to Obligations]])*tblRiskRegister32[[#This Row],[Expectancy Score]],"")</f>
        <v/>
      </c>
      <c r="T90" s="24" t="str">
        <f>tblRiskRegister32[[#This Row],[Risk Score]]</f>
        <v/>
      </c>
      <c r="U90" s="86"/>
      <c r="V90" s="86">
        <v>11.3</v>
      </c>
      <c r="W90" s="15" t="s">
        <v>75</v>
      </c>
      <c r="X90" s="15" t="s">
        <v>391</v>
      </c>
      <c r="Y90" s="15"/>
      <c r="Z90" s="16"/>
      <c r="AA90" s="23" t="str">
        <f>IFERROR(VLOOKUP(10*tblRiskRegister32[[#This Row],[Risk Treatment Safeguard Maturity Score]]+tblRiskRegister32[[#This Row],[VCDB Index]],tblHITIndexWeightTable[],4,FALSE),"")</f>
        <v/>
      </c>
      <c r="AB90" s="23">
        <f>VLOOKUP(tblRiskRegister32[[#This Row],[Asset Class]],tblInherentImpacts30[],2,FALSE)</f>
        <v>0</v>
      </c>
      <c r="AC90" s="23">
        <f>VLOOKUP(tblRiskRegister32[[#This Row],[Asset Class]],tblInherentImpacts30[],3,FALSE)</f>
        <v>0</v>
      </c>
      <c r="AD90" s="23">
        <f>VLOOKUP(tblRiskRegister32[[#This Row],[Asset Class]],tblInherentImpacts30[],4,FALSE)</f>
        <v>0</v>
      </c>
      <c r="AE90" s="23">
        <f>VLOOKUP(tblRiskRegister32[[#This Row],[Asset Class]],tblInherentImpacts30[],5,FALSE)</f>
        <v>0</v>
      </c>
      <c r="AF90" s="23" t="str">
        <f>IFERROR(MAX(tblRiskRegister32[[#This Row],[Risk Treatment Safeguard Impact to Mission]:[Risk Treatment Safeguard Impact to Obligations]])*tblRiskRegister32[[#This Row],[Risk Treatment
Safeguard Expectancy Score]],"")</f>
        <v/>
      </c>
      <c r="AG90" s="23" t="str">
        <f>IF(tblRiskRegister32[[#This Row],[Risk Score]]&gt;=AcceptableRisk,IF(tblRiskRegister32[[#This Row],[Risk Treatment Safeguard Risk Score]]&lt;AcceptableRisk, IF(tblRiskRegister32[[#This Row],[Risk Treatment Safeguard Risk Score]]&lt;tblRiskRegister32[[#This Row],[Risk Score]],"Yes","No"),"No"),"Yes")</f>
        <v>No</v>
      </c>
      <c r="AH90" s="17"/>
      <c r="AI90" s="17"/>
      <c r="AJ90" s="18"/>
    </row>
    <row r="91" spans="2:36" ht="42">
      <c r="B91" s="220" t="s">
        <v>90</v>
      </c>
      <c r="C91" s="15"/>
      <c r="D91" s="86">
        <v>11.4</v>
      </c>
      <c r="E91" s="14" t="s">
        <v>76</v>
      </c>
      <c r="F91" s="13" t="s">
        <v>429</v>
      </c>
      <c r="G91" s="13" t="s">
        <v>429</v>
      </c>
      <c r="H91" s="13" t="s">
        <v>525</v>
      </c>
      <c r="I91" s="15"/>
      <c r="J91" s="15"/>
      <c r="K91" s="15"/>
      <c r="L91" s="16"/>
      <c r="M91" s="24">
        <f>IFERROR(VLOOKUP(tblRiskRegister32[[#This Row],[Asset Class]],tblVCDBIndex[],4,FALSE),"")</f>
        <v>2</v>
      </c>
      <c r="N91" s="24" t="str">
        <f>IFERROR(VLOOKUP(10*tblRiskRegister32[[#This Row],[Safeguard Maturity Score]]+tblRiskRegister32[[#This Row],[VCDB Index]],tblHITIndexWeightTable[],4,FALSE),"")</f>
        <v/>
      </c>
      <c r="O91" s="24">
        <f>VLOOKUP(tblRiskRegister32[[#This Row],[Asset Class]],tblInherentImpacts30[],2,FALSE)</f>
        <v>0</v>
      </c>
      <c r="P91" s="24">
        <f>VLOOKUP(tblRiskRegister32[[#This Row],[Asset Class]],tblInherentImpacts30[],3,FALSE)</f>
        <v>0</v>
      </c>
      <c r="Q91" s="24">
        <f>VLOOKUP(tblRiskRegister32[[#This Row],[Asset Class]],tblInherentImpacts30[],4,FALSE)</f>
        <v>0</v>
      </c>
      <c r="R91" s="24">
        <f>VLOOKUP(tblRiskRegister32[[#This Row],[Asset Class]],tblInherentImpacts30[],5,FALSE)</f>
        <v>0</v>
      </c>
      <c r="S91" s="24" t="str">
        <f>IFERROR(MAX(tblRiskRegister32[[#This Row],[Impact to Mission]:[Impact to Obligations]])*tblRiskRegister32[[#This Row],[Expectancy Score]],"")</f>
        <v/>
      </c>
      <c r="T91" s="24" t="str">
        <f>tblRiskRegister32[[#This Row],[Risk Score]]</f>
        <v/>
      </c>
      <c r="U91" s="86"/>
      <c r="V91" s="86">
        <v>11.4</v>
      </c>
      <c r="W91" s="15" t="s">
        <v>76</v>
      </c>
      <c r="X91" s="15" t="s">
        <v>392</v>
      </c>
      <c r="Y91" s="15"/>
      <c r="Z91" s="16"/>
      <c r="AA91" s="23" t="str">
        <f>IFERROR(VLOOKUP(10*tblRiskRegister32[[#This Row],[Risk Treatment Safeguard Maturity Score]]+tblRiskRegister32[[#This Row],[VCDB Index]],tblHITIndexWeightTable[],4,FALSE),"")</f>
        <v/>
      </c>
      <c r="AB91" s="23">
        <f>VLOOKUP(tblRiskRegister32[[#This Row],[Asset Class]],tblInherentImpacts30[],2,FALSE)</f>
        <v>0</v>
      </c>
      <c r="AC91" s="23">
        <f>VLOOKUP(tblRiskRegister32[[#This Row],[Asset Class]],tblInherentImpacts30[],3,FALSE)</f>
        <v>0</v>
      </c>
      <c r="AD91" s="23">
        <f>VLOOKUP(tblRiskRegister32[[#This Row],[Asset Class]],tblInherentImpacts30[],4,FALSE)</f>
        <v>0</v>
      </c>
      <c r="AE91" s="23">
        <f>VLOOKUP(tblRiskRegister32[[#This Row],[Asset Class]],tblInherentImpacts30[],5,FALSE)</f>
        <v>0</v>
      </c>
      <c r="AF91" s="23" t="str">
        <f>IFERROR(MAX(tblRiskRegister32[[#This Row],[Risk Treatment Safeguard Impact to Mission]:[Risk Treatment Safeguard Impact to Obligations]])*tblRiskRegister32[[#This Row],[Risk Treatment
Safeguard Expectancy Score]],"")</f>
        <v/>
      </c>
      <c r="AG91" s="23" t="str">
        <f>IF(tblRiskRegister32[[#This Row],[Risk Score]]&gt;=AcceptableRisk,IF(tblRiskRegister32[[#This Row],[Risk Treatment Safeguard Risk Score]]&lt;AcceptableRisk, IF(tblRiskRegister32[[#This Row],[Risk Treatment Safeguard Risk Score]]&lt;tblRiskRegister32[[#This Row],[Risk Score]],"Yes","No"),"No"),"Yes")</f>
        <v>No</v>
      </c>
      <c r="AH91" s="17"/>
      <c r="AI91" s="17"/>
      <c r="AJ91" s="18"/>
    </row>
    <row r="92" spans="2:36" ht="28">
      <c r="B92" s="220" t="s">
        <v>90</v>
      </c>
      <c r="C92" s="15"/>
      <c r="D92" s="86">
        <v>11.5</v>
      </c>
      <c r="E92" s="14" t="s">
        <v>180</v>
      </c>
      <c r="F92" s="13"/>
      <c r="G92" s="13" t="s">
        <v>429</v>
      </c>
      <c r="H92" s="13" t="s">
        <v>525</v>
      </c>
      <c r="I92" s="15"/>
      <c r="J92" s="15"/>
      <c r="K92" s="15"/>
      <c r="L92" s="16"/>
      <c r="M92" s="24">
        <f>IFERROR(VLOOKUP(tblRiskRegister32[[#This Row],[Asset Class]],tblVCDBIndex[],4,FALSE),"")</f>
        <v>2</v>
      </c>
      <c r="N92" s="24" t="str">
        <f>IFERROR(VLOOKUP(10*tblRiskRegister32[[#This Row],[Safeguard Maturity Score]]+tblRiskRegister32[[#This Row],[VCDB Index]],tblHITIndexWeightTable[],4,FALSE),"")</f>
        <v/>
      </c>
      <c r="O92" s="24">
        <f>VLOOKUP(tblRiskRegister32[[#This Row],[Asset Class]],tblInherentImpacts30[],2,FALSE)</f>
        <v>0</v>
      </c>
      <c r="P92" s="24">
        <f>VLOOKUP(tblRiskRegister32[[#This Row],[Asset Class]],tblInherentImpacts30[],3,FALSE)</f>
        <v>0</v>
      </c>
      <c r="Q92" s="24">
        <f>VLOOKUP(tblRiskRegister32[[#This Row],[Asset Class]],tblInherentImpacts30[],4,FALSE)</f>
        <v>0</v>
      </c>
      <c r="R92" s="24">
        <f>VLOOKUP(tblRiskRegister32[[#This Row],[Asset Class]],tblInherentImpacts30[],5,FALSE)</f>
        <v>0</v>
      </c>
      <c r="S92" s="24" t="str">
        <f>IFERROR(MAX(tblRiskRegister32[[#This Row],[Impact to Mission]:[Impact to Obligations]])*tblRiskRegister32[[#This Row],[Expectancy Score]],"")</f>
        <v/>
      </c>
      <c r="T92" s="24" t="str">
        <f>tblRiskRegister32[[#This Row],[Risk Score]]</f>
        <v/>
      </c>
      <c r="U92" s="86"/>
      <c r="V92" s="86">
        <v>11.5</v>
      </c>
      <c r="W92" s="15" t="s">
        <v>180</v>
      </c>
      <c r="X92" s="15" t="s">
        <v>393</v>
      </c>
      <c r="Y92" s="15"/>
      <c r="Z92" s="16"/>
      <c r="AA92" s="23" t="str">
        <f>IFERROR(VLOOKUP(10*tblRiskRegister32[[#This Row],[Risk Treatment Safeguard Maturity Score]]+tblRiskRegister32[[#This Row],[VCDB Index]],tblHITIndexWeightTable[],4,FALSE),"")</f>
        <v/>
      </c>
      <c r="AB92" s="23">
        <f>VLOOKUP(tblRiskRegister32[[#This Row],[Asset Class]],tblInherentImpacts30[],2,FALSE)</f>
        <v>0</v>
      </c>
      <c r="AC92" s="23">
        <f>VLOOKUP(tblRiskRegister32[[#This Row],[Asset Class]],tblInherentImpacts30[],3,FALSE)</f>
        <v>0</v>
      </c>
      <c r="AD92" s="23">
        <f>VLOOKUP(tblRiskRegister32[[#This Row],[Asset Class]],tblInherentImpacts30[],4,FALSE)</f>
        <v>0</v>
      </c>
      <c r="AE92" s="23">
        <f>VLOOKUP(tblRiskRegister32[[#This Row],[Asset Class]],tblInherentImpacts30[],5,FALSE)</f>
        <v>0</v>
      </c>
      <c r="AF92" s="23" t="str">
        <f>IFERROR(MAX(tblRiskRegister32[[#This Row],[Risk Treatment Safeguard Impact to Mission]:[Risk Treatment Safeguard Impact to Obligations]])*tblRiskRegister32[[#This Row],[Risk Treatment
Safeguard Expectancy Score]],"")</f>
        <v/>
      </c>
      <c r="AG92" s="23" t="str">
        <f>IF(tblRiskRegister32[[#This Row],[Risk Score]]&gt;=AcceptableRisk,IF(tblRiskRegister32[[#This Row],[Risk Treatment Safeguard Risk Score]]&lt;AcceptableRisk, IF(tblRiskRegister32[[#This Row],[Risk Treatment Safeguard Risk Score]]&lt;tblRiskRegister32[[#This Row],[Risk Score]],"Yes","No"),"No"),"Yes")</f>
        <v>No</v>
      </c>
      <c r="AH92" s="17"/>
      <c r="AI92" s="17"/>
      <c r="AJ92" s="18"/>
    </row>
    <row r="93" spans="2:36" ht="56">
      <c r="B93" s="220" t="s">
        <v>92</v>
      </c>
      <c r="C93" s="15"/>
      <c r="D93" s="86">
        <v>12.1</v>
      </c>
      <c r="E93" s="14" t="s">
        <v>77</v>
      </c>
      <c r="F93" s="13" t="s">
        <v>429</v>
      </c>
      <c r="G93" s="13" t="s">
        <v>429</v>
      </c>
      <c r="H93" s="13" t="s">
        <v>523</v>
      </c>
      <c r="I93" s="15"/>
      <c r="J93" s="15"/>
      <c r="K93" s="15"/>
      <c r="L93" s="16"/>
      <c r="M93" s="24">
        <f>IFERROR(VLOOKUP(tblRiskRegister32[[#This Row],[Asset Class]],tblVCDBIndex[],4,FALSE),"")</f>
        <v>1</v>
      </c>
      <c r="N93" s="24" t="str">
        <f>IFERROR(VLOOKUP(10*tblRiskRegister32[[#This Row],[Safeguard Maturity Score]]+tblRiskRegister32[[#This Row],[VCDB Index]],tblHITIndexWeightTable[],4,FALSE),"")</f>
        <v/>
      </c>
      <c r="O93" s="24">
        <f>VLOOKUP(tblRiskRegister32[[#This Row],[Asset Class]],tblInherentImpacts30[],2,FALSE)</f>
        <v>0</v>
      </c>
      <c r="P93" s="24">
        <f>VLOOKUP(tblRiskRegister32[[#This Row],[Asset Class]],tblInherentImpacts30[],3,FALSE)</f>
        <v>0</v>
      </c>
      <c r="Q93" s="24">
        <f>VLOOKUP(tblRiskRegister32[[#This Row],[Asset Class]],tblInherentImpacts30[],4,FALSE)</f>
        <v>0</v>
      </c>
      <c r="R93" s="24">
        <f>VLOOKUP(tblRiskRegister32[[#This Row],[Asset Class]],tblInherentImpacts30[],5,FALSE)</f>
        <v>0</v>
      </c>
      <c r="S93" s="24" t="str">
        <f>IFERROR(MAX(tblRiskRegister32[[#This Row],[Impact to Mission]:[Impact to Obligations]])*tblRiskRegister32[[#This Row],[Expectancy Score]],"")</f>
        <v/>
      </c>
      <c r="T93" s="24" t="str">
        <f>tblRiskRegister32[[#This Row],[Risk Score]]</f>
        <v/>
      </c>
      <c r="U93" s="86"/>
      <c r="V93" s="86">
        <v>12.1</v>
      </c>
      <c r="W93" s="15" t="s">
        <v>77</v>
      </c>
      <c r="X93" s="15" t="s">
        <v>554</v>
      </c>
      <c r="Y93" s="26"/>
      <c r="Z93" s="16"/>
      <c r="AA93" s="23" t="str">
        <f>IFERROR(VLOOKUP(10*tblRiskRegister32[[#This Row],[Risk Treatment Safeguard Maturity Score]]+tblRiskRegister32[[#This Row],[VCDB Index]],tblHITIndexWeightTable[],4,FALSE),"")</f>
        <v/>
      </c>
      <c r="AB93" s="23">
        <f>VLOOKUP(tblRiskRegister32[[#This Row],[Asset Class]],tblInherentImpacts30[],2,FALSE)</f>
        <v>0</v>
      </c>
      <c r="AC93" s="23">
        <f>VLOOKUP(tblRiskRegister32[[#This Row],[Asset Class]],tblInherentImpacts30[],3,FALSE)</f>
        <v>0</v>
      </c>
      <c r="AD93" s="23">
        <f>VLOOKUP(tblRiskRegister32[[#This Row],[Asset Class]],tblInherentImpacts30[],4,FALSE)</f>
        <v>0</v>
      </c>
      <c r="AE93" s="23">
        <f>VLOOKUP(tblRiskRegister32[[#This Row],[Asset Class]],tblInherentImpacts30[],5,FALSE)</f>
        <v>0</v>
      </c>
      <c r="AF93" s="23" t="str">
        <f>IFERROR(MAX(tblRiskRegister32[[#This Row],[Risk Treatment Safeguard Impact to Mission]:[Risk Treatment Safeguard Impact to Obligations]])*tblRiskRegister32[[#This Row],[Risk Treatment
Safeguard Expectancy Score]],"")</f>
        <v/>
      </c>
      <c r="AG93" s="23" t="str">
        <f>IF(tblRiskRegister32[[#This Row],[Risk Score]]&gt;=AcceptableRisk,IF(tblRiskRegister32[[#This Row],[Risk Treatment Safeguard Risk Score]]&lt;AcceptableRisk, IF(tblRiskRegister32[[#This Row],[Risk Treatment Safeguard Risk Score]]&lt;tblRiskRegister32[[#This Row],[Risk Score]],"Yes","No"),"No"),"Yes")</f>
        <v>No</v>
      </c>
      <c r="AH93" s="17"/>
      <c r="AI93" s="17"/>
      <c r="AJ93" s="18"/>
    </row>
    <row r="94" spans="2:36" ht="42">
      <c r="B94" s="220" t="s">
        <v>92</v>
      </c>
      <c r="C94" s="15"/>
      <c r="D94" s="86">
        <v>12.2</v>
      </c>
      <c r="E94" s="14" t="s">
        <v>216</v>
      </c>
      <c r="F94" s="13"/>
      <c r="G94" s="13" t="s">
        <v>429</v>
      </c>
      <c r="H94" s="13" t="s">
        <v>523</v>
      </c>
      <c r="I94" s="15"/>
      <c r="J94" s="15"/>
      <c r="K94" s="15"/>
      <c r="L94" s="16"/>
      <c r="M94" s="24">
        <f>IFERROR(VLOOKUP(tblRiskRegister32[[#This Row],[Asset Class]],tblVCDBIndex[],4,FALSE),"")</f>
        <v>1</v>
      </c>
      <c r="N94" s="24" t="str">
        <f>IFERROR(VLOOKUP(10*tblRiskRegister32[[#This Row],[Safeguard Maturity Score]]+tblRiskRegister32[[#This Row],[VCDB Index]],tblHITIndexWeightTable[],4,FALSE),"")</f>
        <v/>
      </c>
      <c r="O94" s="24">
        <f>VLOOKUP(tblRiskRegister32[[#This Row],[Asset Class]],tblInherentImpacts30[],2,FALSE)</f>
        <v>0</v>
      </c>
      <c r="P94" s="24">
        <f>VLOOKUP(tblRiskRegister32[[#This Row],[Asset Class]],tblInherentImpacts30[],3,FALSE)</f>
        <v>0</v>
      </c>
      <c r="Q94" s="24">
        <f>VLOOKUP(tblRiskRegister32[[#This Row],[Asset Class]],tblInherentImpacts30[],4,FALSE)</f>
        <v>0</v>
      </c>
      <c r="R94" s="24">
        <f>VLOOKUP(tblRiskRegister32[[#This Row],[Asset Class]],tblInherentImpacts30[],5,FALSE)</f>
        <v>0</v>
      </c>
      <c r="S94" s="24" t="str">
        <f>IFERROR(MAX(tblRiskRegister32[[#This Row],[Impact to Mission]:[Impact to Obligations]])*tblRiskRegister32[[#This Row],[Expectancy Score]],"")</f>
        <v/>
      </c>
      <c r="T94" s="24" t="str">
        <f>tblRiskRegister32[[#This Row],[Risk Score]]</f>
        <v/>
      </c>
      <c r="U94" s="86"/>
      <c r="V94" s="86">
        <v>12.2</v>
      </c>
      <c r="W94" s="15" t="s">
        <v>216</v>
      </c>
      <c r="X94" s="15" t="s">
        <v>555</v>
      </c>
      <c r="Y94" s="26"/>
      <c r="Z94" s="16"/>
      <c r="AA94" s="23" t="str">
        <f>IFERROR(VLOOKUP(10*tblRiskRegister32[[#This Row],[Risk Treatment Safeguard Maturity Score]]+tblRiskRegister32[[#This Row],[VCDB Index]],tblHITIndexWeightTable[],4,FALSE),"")</f>
        <v/>
      </c>
      <c r="AB94" s="23">
        <f>VLOOKUP(tblRiskRegister32[[#This Row],[Asset Class]],tblInherentImpacts30[],2,FALSE)</f>
        <v>0</v>
      </c>
      <c r="AC94" s="23">
        <f>VLOOKUP(tblRiskRegister32[[#This Row],[Asset Class]],tblInherentImpacts30[],3,FALSE)</f>
        <v>0</v>
      </c>
      <c r="AD94" s="23">
        <f>VLOOKUP(tblRiskRegister32[[#This Row],[Asset Class]],tblInherentImpacts30[],4,FALSE)</f>
        <v>0</v>
      </c>
      <c r="AE94" s="23">
        <f>VLOOKUP(tblRiskRegister32[[#This Row],[Asset Class]],tblInherentImpacts30[],5,FALSE)</f>
        <v>0</v>
      </c>
      <c r="AF94" s="23" t="str">
        <f>IFERROR(MAX(tblRiskRegister32[[#This Row],[Risk Treatment Safeguard Impact to Mission]:[Risk Treatment Safeguard Impact to Obligations]])*tblRiskRegister32[[#This Row],[Risk Treatment
Safeguard Expectancy Score]],"")</f>
        <v/>
      </c>
      <c r="AG94" s="23" t="str">
        <f>IF(tblRiskRegister32[[#This Row],[Risk Score]]&gt;=AcceptableRisk,IF(tblRiskRegister32[[#This Row],[Risk Treatment Safeguard Risk Score]]&lt;AcceptableRisk, IF(tblRiskRegister32[[#This Row],[Risk Treatment Safeguard Risk Score]]&lt;tblRiskRegister32[[#This Row],[Risk Score]],"Yes","No"),"No"),"Yes")</f>
        <v>No</v>
      </c>
      <c r="AH94" s="17"/>
      <c r="AI94" s="17"/>
      <c r="AJ94" s="18"/>
    </row>
    <row r="95" spans="2:36" ht="42">
      <c r="B95" s="220" t="s">
        <v>92</v>
      </c>
      <c r="C95" s="15"/>
      <c r="D95" s="86">
        <v>12.3</v>
      </c>
      <c r="E95" s="14" t="s">
        <v>217</v>
      </c>
      <c r="F95" s="13"/>
      <c r="G95" s="13" t="s">
        <v>429</v>
      </c>
      <c r="H95" s="13" t="s">
        <v>523</v>
      </c>
      <c r="I95" s="15"/>
      <c r="J95" s="15"/>
      <c r="K95" s="15"/>
      <c r="L95" s="16"/>
      <c r="M95" s="24">
        <f>IFERROR(VLOOKUP(tblRiskRegister32[[#This Row],[Asset Class]],tblVCDBIndex[],4,FALSE),"")</f>
        <v>1</v>
      </c>
      <c r="N95" s="24" t="str">
        <f>IFERROR(VLOOKUP(10*tblRiskRegister32[[#This Row],[Safeguard Maturity Score]]+tblRiskRegister32[[#This Row],[VCDB Index]],tblHITIndexWeightTable[],4,FALSE),"")</f>
        <v/>
      </c>
      <c r="O95" s="24">
        <f>VLOOKUP(tblRiskRegister32[[#This Row],[Asset Class]],tblInherentImpacts30[],2,FALSE)</f>
        <v>0</v>
      </c>
      <c r="P95" s="24">
        <f>VLOOKUP(tblRiskRegister32[[#This Row],[Asset Class]],tblInherentImpacts30[],3,FALSE)</f>
        <v>0</v>
      </c>
      <c r="Q95" s="24">
        <f>VLOOKUP(tblRiskRegister32[[#This Row],[Asset Class]],tblInherentImpacts30[],4,FALSE)</f>
        <v>0</v>
      </c>
      <c r="R95" s="24">
        <f>VLOOKUP(tblRiskRegister32[[#This Row],[Asset Class]],tblInherentImpacts30[],5,FALSE)</f>
        <v>0</v>
      </c>
      <c r="S95" s="24" t="str">
        <f>IFERROR(MAX(tblRiskRegister32[[#This Row],[Impact to Mission]:[Impact to Obligations]])*tblRiskRegister32[[#This Row],[Expectancy Score]],"")</f>
        <v/>
      </c>
      <c r="T95" s="24" t="str">
        <f>tblRiskRegister32[[#This Row],[Risk Score]]</f>
        <v/>
      </c>
      <c r="U95" s="86"/>
      <c r="V95" s="86">
        <v>12.3</v>
      </c>
      <c r="W95" s="15" t="s">
        <v>217</v>
      </c>
      <c r="X95" s="15" t="s">
        <v>556</v>
      </c>
      <c r="Y95" s="26"/>
      <c r="Z95" s="16"/>
      <c r="AA95" s="23" t="str">
        <f>IFERROR(VLOOKUP(10*tblRiskRegister32[[#This Row],[Risk Treatment Safeguard Maturity Score]]+tblRiskRegister32[[#This Row],[VCDB Index]],tblHITIndexWeightTable[],4,FALSE),"")</f>
        <v/>
      </c>
      <c r="AB95" s="23">
        <f>VLOOKUP(tblRiskRegister32[[#This Row],[Asset Class]],tblInherentImpacts30[],2,FALSE)</f>
        <v>0</v>
      </c>
      <c r="AC95" s="23">
        <f>VLOOKUP(tblRiskRegister32[[#This Row],[Asset Class]],tblInherentImpacts30[],3,FALSE)</f>
        <v>0</v>
      </c>
      <c r="AD95" s="23">
        <f>VLOOKUP(tblRiskRegister32[[#This Row],[Asset Class]],tblInherentImpacts30[],4,FALSE)</f>
        <v>0</v>
      </c>
      <c r="AE95" s="23">
        <f>VLOOKUP(tblRiskRegister32[[#This Row],[Asset Class]],tblInherentImpacts30[],5,FALSE)</f>
        <v>0</v>
      </c>
      <c r="AF95" s="23" t="str">
        <f>IFERROR(MAX(tblRiskRegister32[[#This Row],[Risk Treatment Safeguard Impact to Mission]:[Risk Treatment Safeguard Impact to Obligations]])*tblRiskRegister32[[#This Row],[Risk Treatment
Safeguard Expectancy Score]],"")</f>
        <v/>
      </c>
      <c r="AG95" s="23" t="str">
        <f>IF(tblRiskRegister32[[#This Row],[Risk Score]]&gt;=AcceptableRisk,IF(tblRiskRegister32[[#This Row],[Risk Treatment Safeguard Risk Score]]&lt;AcceptableRisk, IF(tblRiskRegister32[[#This Row],[Risk Treatment Safeguard Risk Score]]&lt;tblRiskRegister32[[#This Row],[Risk Score]],"Yes","No"),"No"),"Yes")</f>
        <v>No</v>
      </c>
      <c r="AH95" s="17"/>
      <c r="AI95" s="17"/>
      <c r="AJ95" s="18"/>
    </row>
    <row r="96" spans="2:36" ht="42">
      <c r="B96" s="220" t="s">
        <v>528</v>
      </c>
      <c r="C96" s="15"/>
      <c r="D96" s="86">
        <v>12.4</v>
      </c>
      <c r="E96" s="14" t="s">
        <v>218</v>
      </c>
      <c r="F96" s="13"/>
      <c r="G96" s="13" t="s">
        <v>429</v>
      </c>
      <c r="H96" s="13" t="s">
        <v>532</v>
      </c>
      <c r="I96" s="15"/>
      <c r="J96" s="15"/>
      <c r="K96" s="15"/>
      <c r="L96" s="16"/>
      <c r="M96" s="24">
        <f>IFERROR(VLOOKUP(tblRiskRegister32[[#This Row],[Asset Class]],tblVCDBIndex[],4,FALSE),"")</f>
        <v>2</v>
      </c>
      <c r="N96" s="24" t="str">
        <f>IFERROR(VLOOKUP(10*tblRiskRegister32[[#This Row],[Safeguard Maturity Score]]+tblRiskRegister32[[#This Row],[VCDB Index]],tblHITIndexWeightTable[],4,FALSE),"")</f>
        <v/>
      </c>
      <c r="O96" s="24">
        <f>VLOOKUP(tblRiskRegister32[[#This Row],[Asset Class]],tblInherentImpacts30[],2,FALSE)</f>
        <v>0</v>
      </c>
      <c r="P96" s="24">
        <f>VLOOKUP(tblRiskRegister32[[#This Row],[Asset Class]],tblInherentImpacts30[],3,FALSE)</f>
        <v>0</v>
      </c>
      <c r="Q96" s="24">
        <f>VLOOKUP(tblRiskRegister32[[#This Row],[Asset Class]],tblInherentImpacts30[],4,FALSE)</f>
        <v>0</v>
      </c>
      <c r="R96" s="24">
        <f>VLOOKUP(tblRiskRegister32[[#This Row],[Asset Class]],tblInherentImpacts30[],5,FALSE)</f>
        <v>0</v>
      </c>
      <c r="S96" s="24" t="str">
        <f>IFERROR(MAX(tblRiskRegister32[[#This Row],[Impact to Mission]:[Impact to Obligations]])*tblRiskRegister32[[#This Row],[Expectancy Score]],"")</f>
        <v/>
      </c>
      <c r="T96" s="24" t="str">
        <f>tblRiskRegister32[[#This Row],[Risk Score]]</f>
        <v/>
      </c>
      <c r="U96" s="86"/>
      <c r="V96" s="86">
        <v>12.4</v>
      </c>
      <c r="W96" s="15" t="s">
        <v>218</v>
      </c>
      <c r="X96" s="15" t="s">
        <v>394</v>
      </c>
      <c r="Y96" s="26"/>
      <c r="Z96" s="16"/>
      <c r="AA96" s="23" t="str">
        <f>IFERROR(VLOOKUP(10*tblRiskRegister32[[#This Row],[Risk Treatment Safeguard Maturity Score]]+tblRiskRegister32[[#This Row],[VCDB Index]],tblHITIndexWeightTable[],4,FALSE),"")</f>
        <v/>
      </c>
      <c r="AB96" s="23">
        <f>VLOOKUP(tblRiskRegister32[[#This Row],[Asset Class]],tblInherentImpacts30[],2,FALSE)</f>
        <v>0</v>
      </c>
      <c r="AC96" s="23">
        <f>VLOOKUP(tblRiskRegister32[[#This Row],[Asset Class]],tblInherentImpacts30[],3,FALSE)</f>
        <v>0</v>
      </c>
      <c r="AD96" s="23">
        <f>VLOOKUP(tblRiskRegister32[[#This Row],[Asset Class]],tblInherentImpacts30[],4,FALSE)</f>
        <v>0</v>
      </c>
      <c r="AE96" s="23">
        <f>VLOOKUP(tblRiskRegister32[[#This Row],[Asset Class]],tblInherentImpacts30[],5,FALSE)</f>
        <v>0</v>
      </c>
      <c r="AF96" s="23" t="str">
        <f>IFERROR(MAX(tblRiskRegister32[[#This Row],[Risk Treatment Safeguard Impact to Mission]:[Risk Treatment Safeguard Impact to Obligations]])*tblRiskRegister32[[#This Row],[Risk Treatment
Safeguard Expectancy Score]],"")</f>
        <v/>
      </c>
      <c r="AG96" s="23" t="str">
        <f>IF(tblRiskRegister32[[#This Row],[Risk Score]]&gt;=AcceptableRisk,IF(tblRiskRegister32[[#This Row],[Risk Treatment Safeguard Risk Score]]&lt;AcceptableRisk, IF(tblRiskRegister32[[#This Row],[Risk Treatment Safeguard Risk Score]]&lt;tblRiskRegister32[[#This Row],[Risk Score]],"Yes","No"),"No"),"Yes")</f>
        <v>No</v>
      </c>
      <c r="AH96" s="17"/>
      <c r="AI96" s="17"/>
      <c r="AJ96" s="18"/>
    </row>
    <row r="97" spans="2:36" ht="56">
      <c r="B97" s="220" t="s">
        <v>92</v>
      </c>
      <c r="C97" s="15"/>
      <c r="D97" s="86">
        <v>12.5</v>
      </c>
      <c r="E97" s="14" t="s">
        <v>219</v>
      </c>
      <c r="F97" s="13"/>
      <c r="G97" s="13" t="s">
        <v>429</v>
      </c>
      <c r="H97" s="13" t="s">
        <v>523</v>
      </c>
      <c r="I97" s="15"/>
      <c r="J97" s="15"/>
      <c r="K97" s="15"/>
      <c r="L97" s="16"/>
      <c r="M97" s="24">
        <f>IFERROR(VLOOKUP(tblRiskRegister32[[#This Row],[Asset Class]],tblVCDBIndex[],4,FALSE),"")</f>
        <v>1</v>
      </c>
      <c r="N97" s="24" t="str">
        <f>IFERROR(VLOOKUP(10*tblRiskRegister32[[#This Row],[Safeguard Maturity Score]]+tblRiskRegister32[[#This Row],[VCDB Index]],tblHITIndexWeightTable[],4,FALSE),"")</f>
        <v/>
      </c>
      <c r="O97" s="24">
        <f>VLOOKUP(tblRiskRegister32[[#This Row],[Asset Class]],tblInherentImpacts30[],2,FALSE)</f>
        <v>0</v>
      </c>
      <c r="P97" s="24">
        <f>VLOOKUP(tblRiskRegister32[[#This Row],[Asset Class]],tblInherentImpacts30[],3,FALSE)</f>
        <v>0</v>
      </c>
      <c r="Q97" s="24">
        <f>VLOOKUP(tblRiskRegister32[[#This Row],[Asset Class]],tblInherentImpacts30[],4,FALSE)</f>
        <v>0</v>
      </c>
      <c r="R97" s="24">
        <f>VLOOKUP(tblRiskRegister32[[#This Row],[Asset Class]],tblInherentImpacts30[],5,FALSE)</f>
        <v>0</v>
      </c>
      <c r="S97" s="24" t="str">
        <f>IFERROR(MAX(tblRiskRegister32[[#This Row],[Impact to Mission]:[Impact to Obligations]])*tblRiskRegister32[[#This Row],[Expectancy Score]],"")</f>
        <v/>
      </c>
      <c r="T97" s="24" t="str">
        <f>tblRiskRegister32[[#This Row],[Risk Score]]</f>
        <v/>
      </c>
      <c r="U97" s="86"/>
      <c r="V97" s="86">
        <v>12.5</v>
      </c>
      <c r="W97" s="15" t="s">
        <v>219</v>
      </c>
      <c r="X97" s="15" t="s">
        <v>395</v>
      </c>
      <c r="Y97" s="26"/>
      <c r="Z97" s="16"/>
      <c r="AA97" s="23" t="str">
        <f>IFERROR(VLOOKUP(10*tblRiskRegister32[[#This Row],[Risk Treatment Safeguard Maturity Score]]+tblRiskRegister32[[#This Row],[VCDB Index]],tblHITIndexWeightTable[],4,FALSE),"")</f>
        <v/>
      </c>
      <c r="AB97" s="23">
        <f>VLOOKUP(tblRiskRegister32[[#This Row],[Asset Class]],tblInherentImpacts30[],2,FALSE)</f>
        <v>0</v>
      </c>
      <c r="AC97" s="23">
        <f>VLOOKUP(tblRiskRegister32[[#This Row],[Asset Class]],tblInherentImpacts30[],3,FALSE)</f>
        <v>0</v>
      </c>
      <c r="AD97" s="23">
        <f>VLOOKUP(tblRiskRegister32[[#This Row],[Asset Class]],tblInherentImpacts30[],4,FALSE)</f>
        <v>0</v>
      </c>
      <c r="AE97" s="23">
        <f>VLOOKUP(tblRiskRegister32[[#This Row],[Asset Class]],tblInherentImpacts30[],5,FALSE)</f>
        <v>0</v>
      </c>
      <c r="AF97" s="23" t="str">
        <f>IFERROR(MAX(tblRiskRegister32[[#This Row],[Risk Treatment Safeguard Impact to Mission]:[Risk Treatment Safeguard Impact to Obligations]])*tblRiskRegister32[[#This Row],[Risk Treatment
Safeguard Expectancy Score]],"")</f>
        <v/>
      </c>
      <c r="AG97" s="23" t="str">
        <f>IF(tblRiskRegister32[[#This Row],[Risk Score]]&gt;=AcceptableRisk,IF(tblRiskRegister32[[#This Row],[Risk Treatment Safeguard Risk Score]]&lt;AcceptableRisk, IF(tblRiskRegister32[[#This Row],[Risk Treatment Safeguard Risk Score]]&lt;tblRiskRegister32[[#This Row],[Risk Score]],"Yes","No"),"No"),"Yes")</f>
        <v>No</v>
      </c>
      <c r="AH97" s="17"/>
      <c r="AI97" s="17"/>
      <c r="AJ97" s="18"/>
    </row>
    <row r="98" spans="2:36" ht="42">
      <c r="B98" s="220" t="s">
        <v>92</v>
      </c>
      <c r="C98" s="15"/>
      <c r="D98" s="86">
        <v>12.6</v>
      </c>
      <c r="E98" s="14" t="s">
        <v>220</v>
      </c>
      <c r="F98" s="13"/>
      <c r="G98" s="13" t="s">
        <v>429</v>
      </c>
      <c r="H98" s="13" t="s">
        <v>523</v>
      </c>
      <c r="I98" s="15"/>
      <c r="J98" s="15"/>
      <c r="K98" s="15"/>
      <c r="L98" s="16"/>
      <c r="M98" s="24">
        <f>IFERROR(VLOOKUP(tblRiskRegister32[[#This Row],[Asset Class]],tblVCDBIndex[],4,FALSE),"")</f>
        <v>1</v>
      </c>
      <c r="N98" s="24" t="str">
        <f>IFERROR(VLOOKUP(10*tblRiskRegister32[[#This Row],[Safeguard Maturity Score]]+tblRiskRegister32[[#This Row],[VCDB Index]],tblHITIndexWeightTable[],4,FALSE),"")</f>
        <v/>
      </c>
      <c r="O98" s="24">
        <f>VLOOKUP(tblRiskRegister32[[#This Row],[Asset Class]],tblInherentImpacts30[],2,FALSE)</f>
        <v>0</v>
      </c>
      <c r="P98" s="24">
        <f>VLOOKUP(tblRiskRegister32[[#This Row],[Asset Class]],tblInherentImpacts30[],3,FALSE)</f>
        <v>0</v>
      </c>
      <c r="Q98" s="24">
        <f>VLOOKUP(tblRiskRegister32[[#This Row],[Asset Class]],tblInherentImpacts30[],4,FALSE)</f>
        <v>0</v>
      </c>
      <c r="R98" s="24">
        <f>VLOOKUP(tblRiskRegister32[[#This Row],[Asset Class]],tblInherentImpacts30[],5,FALSE)</f>
        <v>0</v>
      </c>
      <c r="S98" s="24" t="str">
        <f>IFERROR(MAX(tblRiskRegister32[[#This Row],[Impact to Mission]:[Impact to Obligations]])*tblRiskRegister32[[#This Row],[Expectancy Score]],"")</f>
        <v/>
      </c>
      <c r="T98" s="24" t="str">
        <f>tblRiskRegister32[[#This Row],[Risk Score]]</f>
        <v/>
      </c>
      <c r="U98" s="86"/>
      <c r="V98" s="86">
        <v>12.6</v>
      </c>
      <c r="W98" s="15" t="s">
        <v>220</v>
      </c>
      <c r="X98" s="15" t="s">
        <v>557</v>
      </c>
      <c r="Y98" s="26"/>
      <c r="Z98" s="16"/>
      <c r="AA98" s="23" t="str">
        <f>IFERROR(VLOOKUP(10*tblRiskRegister32[[#This Row],[Risk Treatment Safeguard Maturity Score]]+tblRiskRegister32[[#This Row],[VCDB Index]],tblHITIndexWeightTable[],4,FALSE),"")</f>
        <v/>
      </c>
      <c r="AB98" s="23">
        <f>VLOOKUP(tblRiskRegister32[[#This Row],[Asset Class]],tblInherentImpacts30[],2,FALSE)</f>
        <v>0</v>
      </c>
      <c r="AC98" s="23">
        <f>VLOOKUP(tblRiskRegister32[[#This Row],[Asset Class]],tblInherentImpacts30[],3,FALSE)</f>
        <v>0</v>
      </c>
      <c r="AD98" s="23">
        <f>VLOOKUP(tblRiskRegister32[[#This Row],[Asset Class]],tblInherentImpacts30[],4,FALSE)</f>
        <v>0</v>
      </c>
      <c r="AE98" s="23">
        <f>VLOOKUP(tblRiskRegister32[[#This Row],[Asset Class]],tblInherentImpacts30[],5,FALSE)</f>
        <v>0</v>
      </c>
      <c r="AF98" s="23" t="str">
        <f>IFERROR(MAX(tblRiskRegister32[[#This Row],[Risk Treatment Safeguard Impact to Mission]:[Risk Treatment Safeguard Impact to Obligations]])*tblRiskRegister32[[#This Row],[Risk Treatment
Safeguard Expectancy Score]],"")</f>
        <v/>
      </c>
      <c r="AG98" s="23" t="str">
        <f>IF(tblRiskRegister32[[#This Row],[Risk Score]]&gt;=AcceptableRisk,IF(tblRiskRegister32[[#This Row],[Risk Treatment Safeguard Risk Score]]&lt;AcceptableRisk, IF(tblRiskRegister32[[#This Row],[Risk Treatment Safeguard Risk Score]]&lt;tblRiskRegister32[[#This Row],[Risk Score]],"Yes","No"),"No"),"Yes")</f>
        <v>No</v>
      </c>
      <c r="AH98" s="17"/>
      <c r="AI98" s="17"/>
      <c r="AJ98" s="18"/>
    </row>
    <row r="99" spans="2:36" ht="70">
      <c r="B99" s="220" t="s">
        <v>91</v>
      </c>
      <c r="C99" s="15"/>
      <c r="D99" s="86">
        <v>12.7</v>
      </c>
      <c r="E99" s="14" t="s">
        <v>192</v>
      </c>
      <c r="F99" s="13"/>
      <c r="G99" s="13" t="s">
        <v>429</v>
      </c>
      <c r="H99" s="13" t="s">
        <v>523</v>
      </c>
      <c r="I99" s="15"/>
      <c r="J99" s="15"/>
      <c r="K99" s="15"/>
      <c r="L99" s="16"/>
      <c r="M99" s="24">
        <f>IFERROR(VLOOKUP(tblRiskRegister32[[#This Row],[Asset Class]],tblVCDBIndex[],4,FALSE),"")</f>
        <v>4</v>
      </c>
      <c r="N99" s="24" t="str">
        <f>IFERROR(VLOOKUP(10*tblRiskRegister32[[#This Row],[Safeguard Maturity Score]]+tblRiskRegister32[[#This Row],[VCDB Index]],tblHITIndexWeightTable[],4,FALSE),"")</f>
        <v/>
      </c>
      <c r="O99" s="24">
        <f>VLOOKUP(tblRiskRegister32[[#This Row],[Asset Class]],tblInherentImpacts30[],2,FALSE)</f>
        <v>0</v>
      </c>
      <c r="P99" s="24">
        <f>VLOOKUP(tblRiskRegister32[[#This Row],[Asset Class]],tblInherentImpacts30[],3,FALSE)</f>
        <v>0</v>
      </c>
      <c r="Q99" s="24">
        <f>VLOOKUP(tblRiskRegister32[[#This Row],[Asset Class]],tblInherentImpacts30[],4,FALSE)</f>
        <v>0</v>
      </c>
      <c r="R99" s="24">
        <f>VLOOKUP(tblRiskRegister32[[#This Row],[Asset Class]],tblInherentImpacts30[],5,FALSE)</f>
        <v>0</v>
      </c>
      <c r="S99" s="24" t="str">
        <f>IFERROR(MAX(tblRiskRegister32[[#This Row],[Impact to Mission]:[Impact to Obligations]])*tblRiskRegister32[[#This Row],[Expectancy Score]],"")</f>
        <v/>
      </c>
      <c r="T99" s="24" t="str">
        <f>tblRiskRegister32[[#This Row],[Risk Score]]</f>
        <v/>
      </c>
      <c r="U99" s="86"/>
      <c r="V99" s="86">
        <v>12.7</v>
      </c>
      <c r="W99" s="15" t="s">
        <v>192</v>
      </c>
      <c r="X99" s="15" t="s">
        <v>396</v>
      </c>
      <c r="Y99" s="26"/>
      <c r="Z99" s="16"/>
      <c r="AA99" s="23" t="str">
        <f>IFERROR(VLOOKUP(10*tblRiskRegister32[[#This Row],[Risk Treatment Safeguard Maturity Score]]+tblRiskRegister32[[#This Row],[VCDB Index]],tblHITIndexWeightTable[],4,FALSE),"")</f>
        <v/>
      </c>
      <c r="AB99" s="23">
        <f>VLOOKUP(tblRiskRegister32[[#This Row],[Asset Class]],tblInherentImpacts30[],2,FALSE)</f>
        <v>0</v>
      </c>
      <c r="AC99" s="23">
        <f>VLOOKUP(tblRiskRegister32[[#This Row],[Asset Class]],tblInherentImpacts30[],3,FALSE)</f>
        <v>0</v>
      </c>
      <c r="AD99" s="23">
        <f>VLOOKUP(tblRiskRegister32[[#This Row],[Asset Class]],tblInherentImpacts30[],4,FALSE)</f>
        <v>0</v>
      </c>
      <c r="AE99" s="23">
        <f>VLOOKUP(tblRiskRegister32[[#This Row],[Asset Class]],tblInherentImpacts30[],5,FALSE)</f>
        <v>0</v>
      </c>
      <c r="AF99" s="23" t="str">
        <f>IFERROR(MAX(tblRiskRegister32[[#This Row],[Risk Treatment Safeguard Impact to Mission]:[Risk Treatment Safeguard Impact to Obligations]])*tblRiskRegister32[[#This Row],[Risk Treatment
Safeguard Expectancy Score]],"")</f>
        <v/>
      </c>
      <c r="AG99" s="23" t="str">
        <f>IF(tblRiskRegister32[[#This Row],[Risk Score]]&gt;=AcceptableRisk,IF(tblRiskRegister32[[#This Row],[Risk Treatment Safeguard Risk Score]]&lt;AcceptableRisk, IF(tblRiskRegister32[[#This Row],[Risk Treatment Safeguard Risk Score]]&lt;tblRiskRegister32[[#This Row],[Risk Score]],"Yes","No"),"No"),"Yes")</f>
        <v>No</v>
      </c>
      <c r="AH99" s="17"/>
      <c r="AI99" s="17"/>
      <c r="AJ99" s="18"/>
    </row>
    <row r="100" spans="2:36" ht="56">
      <c r="B100" s="220" t="s">
        <v>92</v>
      </c>
      <c r="C100" s="15"/>
      <c r="D100" s="86">
        <v>13.1</v>
      </c>
      <c r="E100" s="14" t="s">
        <v>221</v>
      </c>
      <c r="F100" s="13"/>
      <c r="G100" s="13" t="s">
        <v>429</v>
      </c>
      <c r="H100" s="13" t="s">
        <v>524</v>
      </c>
      <c r="I100" s="15"/>
      <c r="J100" s="15"/>
      <c r="K100" s="15"/>
      <c r="L100" s="16"/>
      <c r="M100" s="24">
        <f>IFERROR(VLOOKUP(tblRiskRegister32[[#This Row],[Asset Class]],tblVCDBIndex[],4,FALSE),"")</f>
        <v>1</v>
      </c>
      <c r="N100" s="24" t="str">
        <f>IFERROR(VLOOKUP(10*tblRiskRegister32[[#This Row],[Safeguard Maturity Score]]+tblRiskRegister32[[#This Row],[VCDB Index]],tblHITIndexWeightTable[],4,FALSE),"")</f>
        <v/>
      </c>
      <c r="O100" s="24">
        <f>VLOOKUP(tblRiskRegister32[[#This Row],[Asset Class]],tblInherentImpacts30[],2,FALSE)</f>
        <v>0</v>
      </c>
      <c r="P100" s="24">
        <f>VLOOKUP(tblRiskRegister32[[#This Row],[Asset Class]],tblInherentImpacts30[],3,FALSE)</f>
        <v>0</v>
      </c>
      <c r="Q100" s="24">
        <f>VLOOKUP(tblRiskRegister32[[#This Row],[Asset Class]],tblInherentImpacts30[],4,FALSE)</f>
        <v>0</v>
      </c>
      <c r="R100" s="24">
        <f>VLOOKUP(tblRiskRegister32[[#This Row],[Asset Class]],tblInherentImpacts30[],5,FALSE)</f>
        <v>0</v>
      </c>
      <c r="S100" s="24" t="str">
        <f>IFERROR(MAX(tblRiskRegister32[[#This Row],[Impact to Mission]:[Impact to Obligations]])*tblRiskRegister32[[#This Row],[Expectancy Score]],"")</f>
        <v/>
      </c>
      <c r="T100" s="24" t="str">
        <f>tblRiskRegister32[[#This Row],[Risk Score]]</f>
        <v/>
      </c>
      <c r="U100" s="86"/>
      <c r="V100" s="86">
        <v>13.1</v>
      </c>
      <c r="W100" s="15" t="s">
        <v>221</v>
      </c>
      <c r="X100" s="15" t="s">
        <v>397</v>
      </c>
      <c r="Y100" s="26"/>
      <c r="Z100" s="16"/>
      <c r="AA100" s="23" t="str">
        <f>IFERROR(VLOOKUP(10*tblRiskRegister32[[#This Row],[Risk Treatment Safeguard Maturity Score]]+tblRiskRegister32[[#This Row],[VCDB Index]],tblHITIndexWeightTable[],4,FALSE),"")</f>
        <v/>
      </c>
      <c r="AB100" s="23">
        <f>VLOOKUP(tblRiskRegister32[[#This Row],[Asset Class]],tblInherentImpacts30[],2,FALSE)</f>
        <v>0</v>
      </c>
      <c r="AC100" s="23">
        <f>VLOOKUP(tblRiskRegister32[[#This Row],[Asset Class]],tblInherentImpacts30[],3,FALSE)</f>
        <v>0</v>
      </c>
      <c r="AD100" s="23">
        <f>VLOOKUP(tblRiskRegister32[[#This Row],[Asset Class]],tblInherentImpacts30[],4,FALSE)</f>
        <v>0</v>
      </c>
      <c r="AE100" s="23">
        <f>VLOOKUP(tblRiskRegister32[[#This Row],[Asset Class]],tblInherentImpacts30[],5,FALSE)</f>
        <v>0</v>
      </c>
      <c r="AF100" s="23" t="str">
        <f>IFERROR(MAX(tblRiskRegister32[[#This Row],[Risk Treatment Safeguard Impact to Mission]:[Risk Treatment Safeguard Impact to Obligations]])*tblRiskRegister32[[#This Row],[Risk Treatment
Safeguard Expectancy Score]],"")</f>
        <v/>
      </c>
      <c r="AG100" s="23" t="str">
        <f>IF(tblRiskRegister32[[#This Row],[Risk Score]]&gt;=AcceptableRisk,IF(tblRiskRegister32[[#This Row],[Risk Treatment Safeguard Risk Score]]&lt;AcceptableRisk, IF(tblRiskRegister32[[#This Row],[Risk Treatment Safeguard Risk Score]]&lt;tblRiskRegister32[[#This Row],[Risk Score]],"Yes","No"),"No"),"Yes")</f>
        <v>No</v>
      </c>
      <c r="AH100" s="17"/>
      <c r="AI100" s="17"/>
      <c r="AJ100" s="18"/>
    </row>
    <row r="101" spans="2:36" ht="28">
      <c r="B101" s="220" t="s">
        <v>91</v>
      </c>
      <c r="C101" s="15"/>
      <c r="D101" s="86">
        <v>13.2</v>
      </c>
      <c r="E101" s="14" t="s">
        <v>193</v>
      </c>
      <c r="F101" s="13"/>
      <c r="G101" s="13" t="s">
        <v>429</v>
      </c>
      <c r="H101" s="13" t="s">
        <v>524</v>
      </c>
      <c r="I101" s="15"/>
      <c r="J101" s="15"/>
      <c r="K101" s="15"/>
      <c r="L101" s="16"/>
      <c r="M101" s="24">
        <f>IFERROR(VLOOKUP(tblRiskRegister32[[#This Row],[Asset Class]],tblVCDBIndex[],4,FALSE),"")</f>
        <v>4</v>
      </c>
      <c r="N101" s="24" t="str">
        <f>IFERROR(VLOOKUP(10*tblRiskRegister32[[#This Row],[Safeguard Maturity Score]]+tblRiskRegister32[[#This Row],[VCDB Index]],tblHITIndexWeightTable[],4,FALSE),"")</f>
        <v/>
      </c>
      <c r="O101" s="24">
        <f>VLOOKUP(tblRiskRegister32[[#This Row],[Asset Class]],tblInherentImpacts30[],2,FALSE)</f>
        <v>0</v>
      </c>
      <c r="P101" s="24">
        <f>VLOOKUP(tblRiskRegister32[[#This Row],[Asset Class]],tblInherentImpacts30[],3,FALSE)</f>
        <v>0</v>
      </c>
      <c r="Q101" s="24">
        <f>VLOOKUP(tblRiskRegister32[[#This Row],[Asset Class]],tblInherentImpacts30[],4,FALSE)</f>
        <v>0</v>
      </c>
      <c r="R101" s="24">
        <f>VLOOKUP(tblRiskRegister32[[#This Row],[Asset Class]],tblInherentImpacts30[],5,FALSE)</f>
        <v>0</v>
      </c>
      <c r="S101" s="24" t="str">
        <f>IFERROR(MAX(tblRiskRegister32[[#This Row],[Impact to Mission]:[Impact to Obligations]])*tblRiskRegister32[[#This Row],[Expectancy Score]],"")</f>
        <v/>
      </c>
      <c r="T101" s="24" t="str">
        <f>tblRiskRegister32[[#This Row],[Risk Score]]</f>
        <v/>
      </c>
      <c r="U101" s="86"/>
      <c r="V101" s="86">
        <v>13.2</v>
      </c>
      <c r="W101" s="15" t="s">
        <v>193</v>
      </c>
      <c r="X101" s="15" t="s">
        <v>398</v>
      </c>
      <c r="Y101" s="26"/>
      <c r="Z101" s="16"/>
      <c r="AA101" s="23" t="str">
        <f>IFERROR(VLOOKUP(10*tblRiskRegister32[[#This Row],[Risk Treatment Safeguard Maturity Score]]+tblRiskRegister32[[#This Row],[VCDB Index]],tblHITIndexWeightTable[],4,FALSE),"")</f>
        <v/>
      </c>
      <c r="AB101" s="23">
        <f>VLOOKUP(tblRiskRegister32[[#This Row],[Asset Class]],tblInherentImpacts30[],2,FALSE)</f>
        <v>0</v>
      </c>
      <c r="AC101" s="23">
        <f>VLOOKUP(tblRiskRegister32[[#This Row],[Asset Class]],tblInherentImpacts30[],3,FALSE)</f>
        <v>0</v>
      </c>
      <c r="AD101" s="23">
        <f>VLOOKUP(tblRiskRegister32[[#This Row],[Asset Class]],tblInherentImpacts30[],4,FALSE)</f>
        <v>0</v>
      </c>
      <c r="AE101" s="23">
        <f>VLOOKUP(tblRiskRegister32[[#This Row],[Asset Class]],tblInherentImpacts30[],5,FALSE)</f>
        <v>0</v>
      </c>
      <c r="AF101" s="23" t="str">
        <f>IFERROR(MAX(tblRiskRegister32[[#This Row],[Risk Treatment Safeguard Impact to Mission]:[Risk Treatment Safeguard Impact to Obligations]])*tblRiskRegister32[[#This Row],[Risk Treatment
Safeguard Expectancy Score]],"")</f>
        <v/>
      </c>
      <c r="AG101" s="23" t="str">
        <f>IF(tblRiskRegister32[[#This Row],[Risk Score]]&gt;=AcceptableRisk,IF(tblRiskRegister32[[#This Row],[Risk Treatment Safeguard Risk Score]]&lt;AcceptableRisk, IF(tblRiskRegister32[[#This Row],[Risk Treatment Safeguard Risk Score]]&lt;tblRiskRegister32[[#This Row],[Risk Score]],"Yes","No"),"No"),"Yes")</f>
        <v>No</v>
      </c>
      <c r="AH101" s="17"/>
      <c r="AI101" s="17"/>
      <c r="AJ101" s="18"/>
    </row>
    <row r="102" spans="2:36" ht="42">
      <c r="B102" s="220" t="s">
        <v>92</v>
      </c>
      <c r="C102" s="15"/>
      <c r="D102" s="86">
        <v>13.3</v>
      </c>
      <c r="E102" s="14" t="s">
        <v>222</v>
      </c>
      <c r="F102" s="13"/>
      <c r="G102" s="13" t="s">
        <v>429</v>
      </c>
      <c r="H102" s="13" t="s">
        <v>524</v>
      </c>
      <c r="I102" s="15"/>
      <c r="J102" s="15"/>
      <c r="K102" s="15"/>
      <c r="L102" s="16"/>
      <c r="M102" s="24">
        <f>IFERROR(VLOOKUP(tblRiskRegister32[[#This Row],[Asset Class]],tblVCDBIndex[],4,FALSE),"")</f>
        <v>1</v>
      </c>
      <c r="N102" s="24" t="str">
        <f>IFERROR(VLOOKUP(10*tblRiskRegister32[[#This Row],[Safeguard Maturity Score]]+tblRiskRegister32[[#This Row],[VCDB Index]],tblHITIndexWeightTable[],4,FALSE),"")</f>
        <v/>
      </c>
      <c r="O102" s="24">
        <f>VLOOKUP(tblRiskRegister32[[#This Row],[Asset Class]],tblInherentImpacts30[],2,FALSE)</f>
        <v>0</v>
      </c>
      <c r="P102" s="24">
        <f>VLOOKUP(tblRiskRegister32[[#This Row],[Asset Class]],tblInherentImpacts30[],3,FALSE)</f>
        <v>0</v>
      </c>
      <c r="Q102" s="24">
        <f>VLOOKUP(tblRiskRegister32[[#This Row],[Asset Class]],tblInherentImpacts30[],4,FALSE)</f>
        <v>0</v>
      </c>
      <c r="R102" s="24">
        <f>VLOOKUP(tblRiskRegister32[[#This Row],[Asset Class]],tblInherentImpacts30[],5,FALSE)</f>
        <v>0</v>
      </c>
      <c r="S102" s="24" t="str">
        <f>IFERROR(MAX(tblRiskRegister32[[#This Row],[Impact to Mission]:[Impact to Obligations]])*tblRiskRegister32[[#This Row],[Expectancy Score]],"")</f>
        <v/>
      </c>
      <c r="T102" s="24" t="str">
        <f>tblRiskRegister32[[#This Row],[Risk Score]]</f>
        <v/>
      </c>
      <c r="U102" s="86"/>
      <c r="V102" s="86">
        <v>13.3</v>
      </c>
      <c r="W102" s="15" t="s">
        <v>222</v>
      </c>
      <c r="X102" s="15" t="s">
        <v>399</v>
      </c>
      <c r="Y102" s="26"/>
      <c r="Z102" s="16"/>
      <c r="AA102" s="23" t="str">
        <f>IFERROR(VLOOKUP(10*tblRiskRegister32[[#This Row],[Risk Treatment Safeguard Maturity Score]]+tblRiskRegister32[[#This Row],[VCDB Index]],tblHITIndexWeightTable[],4,FALSE),"")</f>
        <v/>
      </c>
      <c r="AB102" s="23">
        <f>VLOOKUP(tblRiskRegister32[[#This Row],[Asset Class]],tblInherentImpacts30[],2,FALSE)</f>
        <v>0</v>
      </c>
      <c r="AC102" s="23">
        <f>VLOOKUP(tblRiskRegister32[[#This Row],[Asset Class]],tblInherentImpacts30[],3,FALSE)</f>
        <v>0</v>
      </c>
      <c r="AD102" s="23">
        <f>VLOOKUP(tblRiskRegister32[[#This Row],[Asset Class]],tblInherentImpacts30[],4,FALSE)</f>
        <v>0</v>
      </c>
      <c r="AE102" s="23">
        <f>VLOOKUP(tblRiskRegister32[[#This Row],[Asset Class]],tblInherentImpacts30[],5,FALSE)</f>
        <v>0</v>
      </c>
      <c r="AF102" s="23" t="str">
        <f>IFERROR(MAX(tblRiskRegister32[[#This Row],[Risk Treatment Safeguard Impact to Mission]:[Risk Treatment Safeguard Impact to Obligations]])*tblRiskRegister32[[#This Row],[Risk Treatment
Safeguard Expectancy Score]],"")</f>
        <v/>
      </c>
      <c r="AG102" s="23" t="str">
        <f>IF(tblRiskRegister32[[#This Row],[Risk Score]]&gt;=AcceptableRisk,IF(tblRiskRegister32[[#This Row],[Risk Treatment Safeguard Risk Score]]&lt;AcceptableRisk, IF(tblRiskRegister32[[#This Row],[Risk Treatment Safeguard Risk Score]]&lt;tblRiskRegister32[[#This Row],[Risk Score]],"Yes","No"),"No"),"Yes")</f>
        <v>No</v>
      </c>
      <c r="AH102" s="17"/>
      <c r="AI102" s="17"/>
      <c r="AJ102" s="18"/>
    </row>
    <row r="103" spans="2:36" ht="28">
      <c r="B103" s="220" t="s">
        <v>92</v>
      </c>
      <c r="C103" s="15"/>
      <c r="D103" s="86">
        <v>13.4</v>
      </c>
      <c r="E103" s="14" t="s">
        <v>223</v>
      </c>
      <c r="F103" s="13"/>
      <c r="G103" s="13" t="s">
        <v>429</v>
      </c>
      <c r="H103" s="13" t="s">
        <v>523</v>
      </c>
      <c r="I103" s="15"/>
      <c r="J103" s="15"/>
      <c r="K103" s="15"/>
      <c r="L103" s="16"/>
      <c r="M103" s="24">
        <f>IFERROR(VLOOKUP(tblRiskRegister32[[#This Row],[Asset Class]],tblVCDBIndex[],4,FALSE),"")</f>
        <v>1</v>
      </c>
      <c r="N103" s="24" t="str">
        <f>IFERROR(VLOOKUP(10*tblRiskRegister32[[#This Row],[Safeguard Maturity Score]]+tblRiskRegister32[[#This Row],[VCDB Index]],tblHITIndexWeightTable[],4,FALSE),"")</f>
        <v/>
      </c>
      <c r="O103" s="24">
        <f>VLOOKUP(tblRiskRegister32[[#This Row],[Asset Class]],tblInherentImpacts30[],2,FALSE)</f>
        <v>0</v>
      </c>
      <c r="P103" s="24">
        <f>VLOOKUP(tblRiskRegister32[[#This Row],[Asset Class]],tblInherentImpacts30[],3,FALSE)</f>
        <v>0</v>
      </c>
      <c r="Q103" s="24">
        <f>VLOOKUP(tblRiskRegister32[[#This Row],[Asset Class]],tblInherentImpacts30[],4,FALSE)</f>
        <v>0</v>
      </c>
      <c r="R103" s="24">
        <f>VLOOKUP(tblRiskRegister32[[#This Row],[Asset Class]],tblInherentImpacts30[],5,FALSE)</f>
        <v>0</v>
      </c>
      <c r="S103" s="24" t="str">
        <f>IFERROR(MAX(tblRiskRegister32[[#This Row],[Impact to Mission]:[Impact to Obligations]])*tblRiskRegister32[[#This Row],[Expectancy Score]],"")</f>
        <v/>
      </c>
      <c r="T103" s="24" t="str">
        <f>tblRiskRegister32[[#This Row],[Risk Score]]</f>
        <v/>
      </c>
      <c r="U103" s="86"/>
      <c r="V103" s="86">
        <v>13.4</v>
      </c>
      <c r="W103" s="15" t="s">
        <v>223</v>
      </c>
      <c r="X103" s="15" t="s">
        <v>400</v>
      </c>
      <c r="Y103" s="26"/>
      <c r="Z103" s="16"/>
      <c r="AA103" s="23" t="str">
        <f>IFERROR(VLOOKUP(10*tblRiskRegister32[[#This Row],[Risk Treatment Safeguard Maturity Score]]+tblRiskRegister32[[#This Row],[VCDB Index]],tblHITIndexWeightTable[],4,FALSE),"")</f>
        <v/>
      </c>
      <c r="AB103" s="23">
        <f>VLOOKUP(tblRiskRegister32[[#This Row],[Asset Class]],tblInherentImpacts30[],2,FALSE)</f>
        <v>0</v>
      </c>
      <c r="AC103" s="23">
        <f>VLOOKUP(tblRiskRegister32[[#This Row],[Asset Class]],tblInherentImpacts30[],3,FALSE)</f>
        <v>0</v>
      </c>
      <c r="AD103" s="23">
        <f>VLOOKUP(tblRiskRegister32[[#This Row],[Asset Class]],tblInherentImpacts30[],4,FALSE)</f>
        <v>0</v>
      </c>
      <c r="AE103" s="23">
        <f>VLOOKUP(tblRiskRegister32[[#This Row],[Asset Class]],tblInherentImpacts30[],5,FALSE)</f>
        <v>0</v>
      </c>
      <c r="AF103" s="23" t="str">
        <f>IFERROR(MAX(tblRiskRegister32[[#This Row],[Risk Treatment Safeguard Impact to Mission]:[Risk Treatment Safeguard Impact to Obligations]])*tblRiskRegister32[[#This Row],[Risk Treatment
Safeguard Expectancy Score]],"")</f>
        <v/>
      </c>
      <c r="AG103" s="23" t="str">
        <f>IF(tblRiskRegister32[[#This Row],[Risk Score]]&gt;=AcceptableRisk,IF(tblRiskRegister32[[#This Row],[Risk Treatment Safeguard Risk Score]]&lt;AcceptableRisk, IF(tblRiskRegister32[[#This Row],[Risk Treatment Safeguard Risk Score]]&lt;tblRiskRegister32[[#This Row],[Risk Score]],"Yes","No"),"No"),"Yes")</f>
        <v>No</v>
      </c>
      <c r="AH103" s="17"/>
      <c r="AI103" s="17"/>
      <c r="AJ103" s="18"/>
    </row>
    <row r="104" spans="2:36" ht="70">
      <c r="B104" s="220" t="s">
        <v>91</v>
      </c>
      <c r="C104" s="15"/>
      <c r="D104" s="86">
        <v>13.5</v>
      </c>
      <c r="E104" s="14" t="s">
        <v>194</v>
      </c>
      <c r="F104" s="13"/>
      <c r="G104" s="13" t="s">
        <v>429</v>
      </c>
      <c r="H104" s="13" t="s">
        <v>523</v>
      </c>
      <c r="I104" s="15"/>
      <c r="J104" s="15"/>
      <c r="K104" s="15"/>
      <c r="L104" s="16"/>
      <c r="M104" s="24">
        <f>IFERROR(VLOOKUP(tblRiskRegister32[[#This Row],[Asset Class]],tblVCDBIndex[],4,FALSE),"")</f>
        <v>4</v>
      </c>
      <c r="N104" s="24" t="str">
        <f>IFERROR(VLOOKUP(10*tblRiskRegister32[[#This Row],[Safeguard Maturity Score]]+tblRiskRegister32[[#This Row],[VCDB Index]],tblHITIndexWeightTable[],4,FALSE),"")</f>
        <v/>
      </c>
      <c r="O104" s="24">
        <f>VLOOKUP(tblRiskRegister32[[#This Row],[Asset Class]],tblInherentImpacts30[],2,FALSE)</f>
        <v>0</v>
      </c>
      <c r="P104" s="24">
        <f>VLOOKUP(tblRiskRegister32[[#This Row],[Asset Class]],tblInherentImpacts30[],3,FALSE)</f>
        <v>0</v>
      </c>
      <c r="Q104" s="24">
        <f>VLOOKUP(tblRiskRegister32[[#This Row],[Asset Class]],tblInherentImpacts30[],4,FALSE)</f>
        <v>0</v>
      </c>
      <c r="R104" s="24">
        <f>VLOOKUP(tblRiskRegister32[[#This Row],[Asset Class]],tblInherentImpacts30[],5,FALSE)</f>
        <v>0</v>
      </c>
      <c r="S104" s="24" t="str">
        <f>IFERROR(MAX(tblRiskRegister32[[#This Row],[Impact to Mission]:[Impact to Obligations]])*tblRiskRegister32[[#This Row],[Expectancy Score]],"")</f>
        <v/>
      </c>
      <c r="T104" s="24" t="str">
        <f>tblRiskRegister32[[#This Row],[Risk Score]]</f>
        <v/>
      </c>
      <c r="U104" s="86"/>
      <c r="V104" s="86">
        <v>13.5</v>
      </c>
      <c r="W104" s="15" t="s">
        <v>194</v>
      </c>
      <c r="X104" s="15" t="s">
        <v>401</v>
      </c>
      <c r="Y104" s="26"/>
      <c r="Z104" s="16"/>
      <c r="AA104" s="23" t="str">
        <f>IFERROR(VLOOKUP(10*tblRiskRegister32[[#This Row],[Risk Treatment Safeguard Maturity Score]]+tblRiskRegister32[[#This Row],[VCDB Index]],tblHITIndexWeightTable[],4,FALSE),"")</f>
        <v/>
      </c>
      <c r="AB104" s="23">
        <f>VLOOKUP(tblRiskRegister32[[#This Row],[Asset Class]],tblInherentImpacts30[],2,FALSE)</f>
        <v>0</v>
      </c>
      <c r="AC104" s="23">
        <f>VLOOKUP(tblRiskRegister32[[#This Row],[Asset Class]],tblInherentImpacts30[],3,FALSE)</f>
        <v>0</v>
      </c>
      <c r="AD104" s="23">
        <f>VLOOKUP(tblRiskRegister32[[#This Row],[Asset Class]],tblInherentImpacts30[],4,FALSE)</f>
        <v>0</v>
      </c>
      <c r="AE104" s="23">
        <f>VLOOKUP(tblRiskRegister32[[#This Row],[Asset Class]],tblInherentImpacts30[],5,FALSE)</f>
        <v>0</v>
      </c>
      <c r="AF104" s="23" t="str">
        <f>IFERROR(MAX(tblRiskRegister32[[#This Row],[Risk Treatment Safeguard Impact to Mission]:[Risk Treatment Safeguard Impact to Obligations]])*tblRiskRegister32[[#This Row],[Risk Treatment
Safeguard Expectancy Score]],"")</f>
        <v/>
      </c>
      <c r="AG104" s="23" t="str">
        <f>IF(tblRiskRegister32[[#This Row],[Risk Score]]&gt;=AcceptableRisk,IF(tblRiskRegister32[[#This Row],[Risk Treatment Safeguard Risk Score]]&lt;AcceptableRisk, IF(tblRiskRegister32[[#This Row],[Risk Treatment Safeguard Risk Score]]&lt;tblRiskRegister32[[#This Row],[Risk Score]],"Yes","No"),"No"),"Yes")</f>
        <v>No</v>
      </c>
      <c r="AH104" s="17"/>
      <c r="AI104" s="17"/>
      <c r="AJ104" s="18"/>
    </row>
    <row r="105" spans="2:36" ht="28">
      <c r="B105" s="220" t="s">
        <v>92</v>
      </c>
      <c r="C105" s="15"/>
      <c r="D105" s="86">
        <v>13.6</v>
      </c>
      <c r="E105" s="14" t="s">
        <v>224</v>
      </c>
      <c r="F105" s="13"/>
      <c r="G105" s="13" t="s">
        <v>429</v>
      </c>
      <c r="H105" s="13" t="s">
        <v>524</v>
      </c>
      <c r="I105" s="15"/>
      <c r="J105" s="15"/>
      <c r="K105" s="15"/>
      <c r="L105" s="16"/>
      <c r="M105" s="24">
        <f>IFERROR(VLOOKUP(tblRiskRegister32[[#This Row],[Asset Class]],tblVCDBIndex[],4,FALSE),"")</f>
        <v>1</v>
      </c>
      <c r="N105" s="24" t="str">
        <f>IFERROR(VLOOKUP(10*tblRiskRegister32[[#This Row],[Safeguard Maturity Score]]+tblRiskRegister32[[#This Row],[VCDB Index]],tblHITIndexWeightTable[],4,FALSE),"")</f>
        <v/>
      </c>
      <c r="O105" s="24">
        <f>VLOOKUP(tblRiskRegister32[[#This Row],[Asset Class]],tblInherentImpacts30[],2,FALSE)</f>
        <v>0</v>
      </c>
      <c r="P105" s="24">
        <f>VLOOKUP(tblRiskRegister32[[#This Row],[Asset Class]],tblInherentImpacts30[],3,FALSE)</f>
        <v>0</v>
      </c>
      <c r="Q105" s="24">
        <f>VLOOKUP(tblRiskRegister32[[#This Row],[Asset Class]],tblInherentImpacts30[],4,FALSE)</f>
        <v>0</v>
      </c>
      <c r="R105" s="24">
        <f>VLOOKUP(tblRiskRegister32[[#This Row],[Asset Class]],tblInherentImpacts30[],5,FALSE)</f>
        <v>0</v>
      </c>
      <c r="S105" s="24" t="str">
        <f>IFERROR(MAX(tblRiskRegister32[[#This Row],[Impact to Mission]:[Impact to Obligations]])*tblRiskRegister32[[#This Row],[Expectancy Score]],"")</f>
        <v/>
      </c>
      <c r="T105" s="24" t="str">
        <f>tblRiskRegister32[[#This Row],[Risk Score]]</f>
        <v/>
      </c>
      <c r="U105" s="86"/>
      <c r="V105" s="86">
        <v>13.6</v>
      </c>
      <c r="W105" s="15" t="s">
        <v>224</v>
      </c>
      <c r="X105" s="15" t="s">
        <v>402</v>
      </c>
      <c r="Y105" s="26"/>
      <c r="Z105" s="16"/>
      <c r="AA105" s="23" t="str">
        <f>IFERROR(VLOOKUP(10*tblRiskRegister32[[#This Row],[Risk Treatment Safeguard Maturity Score]]+tblRiskRegister32[[#This Row],[VCDB Index]],tblHITIndexWeightTable[],4,FALSE),"")</f>
        <v/>
      </c>
      <c r="AB105" s="23">
        <f>VLOOKUP(tblRiskRegister32[[#This Row],[Asset Class]],tblInherentImpacts30[],2,FALSE)</f>
        <v>0</v>
      </c>
      <c r="AC105" s="23">
        <f>VLOOKUP(tblRiskRegister32[[#This Row],[Asset Class]],tblInherentImpacts30[],3,FALSE)</f>
        <v>0</v>
      </c>
      <c r="AD105" s="23">
        <f>VLOOKUP(tblRiskRegister32[[#This Row],[Asset Class]],tblInherentImpacts30[],4,FALSE)</f>
        <v>0</v>
      </c>
      <c r="AE105" s="23">
        <f>VLOOKUP(tblRiskRegister32[[#This Row],[Asset Class]],tblInherentImpacts30[],5,FALSE)</f>
        <v>0</v>
      </c>
      <c r="AF105" s="23" t="str">
        <f>IFERROR(MAX(tblRiskRegister32[[#This Row],[Risk Treatment Safeguard Impact to Mission]:[Risk Treatment Safeguard Impact to Obligations]])*tblRiskRegister32[[#This Row],[Risk Treatment
Safeguard Expectancy Score]],"")</f>
        <v/>
      </c>
      <c r="AG105" s="23" t="str">
        <f>IF(tblRiskRegister32[[#This Row],[Risk Score]]&gt;=AcceptableRisk,IF(tblRiskRegister32[[#This Row],[Risk Treatment Safeguard Risk Score]]&lt;AcceptableRisk, IF(tblRiskRegister32[[#This Row],[Risk Treatment Safeguard Risk Score]]&lt;tblRiskRegister32[[#This Row],[Risk Score]],"Yes","No"),"No"),"Yes")</f>
        <v>No</v>
      </c>
      <c r="AH105" s="17"/>
      <c r="AI105" s="17"/>
      <c r="AJ105" s="18"/>
    </row>
    <row r="106" spans="2:36" ht="70">
      <c r="B106" s="220" t="s">
        <v>528</v>
      </c>
      <c r="C106" s="15"/>
      <c r="D106" s="86">
        <v>14.1</v>
      </c>
      <c r="E106" s="14" t="s">
        <v>78</v>
      </c>
      <c r="F106" s="13" t="s">
        <v>429</v>
      </c>
      <c r="G106" s="13" t="s">
        <v>429</v>
      </c>
      <c r="H106" s="13" t="s">
        <v>532</v>
      </c>
      <c r="I106" s="15"/>
      <c r="J106" s="15"/>
      <c r="K106" s="15"/>
      <c r="L106" s="16"/>
      <c r="M106" s="24">
        <f>IFERROR(VLOOKUP(tblRiskRegister32[[#This Row],[Asset Class]],tblVCDBIndex[],4,FALSE),"")</f>
        <v>2</v>
      </c>
      <c r="N106" s="24" t="str">
        <f>IFERROR(VLOOKUP(10*tblRiskRegister32[[#This Row],[Safeguard Maturity Score]]+tblRiskRegister32[[#This Row],[VCDB Index]],tblHITIndexWeightTable[],4,FALSE),"")</f>
        <v/>
      </c>
      <c r="O106" s="24">
        <f>VLOOKUP(tblRiskRegister32[[#This Row],[Asset Class]],tblInherentImpacts30[],2,FALSE)</f>
        <v>0</v>
      </c>
      <c r="P106" s="24">
        <f>VLOOKUP(tblRiskRegister32[[#This Row],[Asset Class]],tblInherentImpacts30[],3,FALSE)</f>
        <v>0</v>
      </c>
      <c r="Q106" s="24">
        <f>VLOOKUP(tblRiskRegister32[[#This Row],[Asset Class]],tblInherentImpacts30[],4,FALSE)</f>
        <v>0</v>
      </c>
      <c r="R106" s="24">
        <f>VLOOKUP(tblRiskRegister32[[#This Row],[Asset Class]],tblInherentImpacts30[],5,FALSE)</f>
        <v>0</v>
      </c>
      <c r="S106" s="24" t="str">
        <f>IFERROR(MAX(tblRiskRegister32[[#This Row],[Impact to Mission]:[Impact to Obligations]])*tblRiskRegister32[[#This Row],[Expectancy Score]],"")</f>
        <v/>
      </c>
      <c r="T106" s="24" t="str">
        <f>tblRiskRegister32[[#This Row],[Risk Score]]</f>
        <v/>
      </c>
      <c r="U106" s="86"/>
      <c r="V106" s="86">
        <v>14.1</v>
      </c>
      <c r="W106" s="15" t="s">
        <v>78</v>
      </c>
      <c r="X106" s="15" t="s">
        <v>403</v>
      </c>
      <c r="Y106" s="26"/>
      <c r="Z106" s="16"/>
      <c r="AA106" s="23" t="str">
        <f>IFERROR(VLOOKUP(10*tblRiskRegister32[[#This Row],[Risk Treatment Safeguard Maturity Score]]+tblRiskRegister32[[#This Row],[VCDB Index]],tblHITIndexWeightTable[],4,FALSE),"")</f>
        <v/>
      </c>
      <c r="AB106" s="23">
        <f>VLOOKUP(tblRiskRegister32[[#This Row],[Asset Class]],tblInherentImpacts30[],2,FALSE)</f>
        <v>0</v>
      </c>
      <c r="AC106" s="23">
        <f>VLOOKUP(tblRiskRegister32[[#This Row],[Asset Class]],tblInherentImpacts30[],3,FALSE)</f>
        <v>0</v>
      </c>
      <c r="AD106" s="23">
        <f>VLOOKUP(tblRiskRegister32[[#This Row],[Asset Class]],tblInherentImpacts30[],4,FALSE)</f>
        <v>0</v>
      </c>
      <c r="AE106" s="23">
        <f>VLOOKUP(tblRiskRegister32[[#This Row],[Asset Class]],tblInherentImpacts30[],5,FALSE)</f>
        <v>0</v>
      </c>
      <c r="AF106" s="23" t="str">
        <f>IFERROR(MAX(tblRiskRegister32[[#This Row],[Risk Treatment Safeguard Impact to Mission]:[Risk Treatment Safeguard Impact to Obligations]])*tblRiskRegister32[[#This Row],[Risk Treatment
Safeguard Expectancy Score]],"")</f>
        <v/>
      </c>
      <c r="AG106" s="23" t="str">
        <f>IF(tblRiskRegister32[[#This Row],[Risk Score]]&gt;=AcceptableRisk,IF(tblRiskRegister32[[#This Row],[Risk Treatment Safeguard Risk Score]]&lt;AcceptableRisk, IF(tblRiskRegister32[[#This Row],[Risk Treatment Safeguard Risk Score]]&lt;tblRiskRegister32[[#This Row],[Risk Score]],"Yes","No"),"No"),"Yes")</f>
        <v>No</v>
      </c>
      <c r="AH106" s="17"/>
      <c r="AI106" s="17"/>
      <c r="AJ106" s="18"/>
    </row>
    <row r="107" spans="2:36" ht="42">
      <c r="B107" s="220" t="s">
        <v>93</v>
      </c>
      <c r="C107" s="15"/>
      <c r="D107" s="86">
        <v>14.2</v>
      </c>
      <c r="E107" s="14" t="s">
        <v>79</v>
      </c>
      <c r="F107" s="13" t="s">
        <v>429</v>
      </c>
      <c r="G107" s="13" t="s">
        <v>429</v>
      </c>
      <c r="H107" s="13" t="s">
        <v>523</v>
      </c>
      <c r="I107" s="15"/>
      <c r="J107" s="15"/>
      <c r="K107" s="15"/>
      <c r="L107" s="16"/>
      <c r="M107" s="24">
        <f>IFERROR(VLOOKUP(tblRiskRegister32[[#This Row],[Asset Class]],tblVCDBIndex[],4,FALSE),"")</f>
        <v>2</v>
      </c>
      <c r="N107" s="24" t="str">
        <f>IFERROR(VLOOKUP(10*tblRiskRegister32[[#This Row],[Safeguard Maturity Score]]+tblRiskRegister32[[#This Row],[VCDB Index]],tblHITIndexWeightTable[],4,FALSE),"")</f>
        <v/>
      </c>
      <c r="O107" s="24">
        <f>VLOOKUP(tblRiskRegister32[[#This Row],[Asset Class]],tblInherentImpacts30[],2,FALSE)</f>
        <v>0</v>
      </c>
      <c r="P107" s="24">
        <f>VLOOKUP(tblRiskRegister32[[#This Row],[Asset Class]],tblInherentImpacts30[],3,FALSE)</f>
        <v>0</v>
      </c>
      <c r="Q107" s="24">
        <f>VLOOKUP(tblRiskRegister32[[#This Row],[Asset Class]],tblInherentImpacts30[],4,FALSE)</f>
        <v>0</v>
      </c>
      <c r="R107" s="24">
        <f>VLOOKUP(tblRiskRegister32[[#This Row],[Asset Class]],tblInherentImpacts30[],5,FALSE)</f>
        <v>0</v>
      </c>
      <c r="S107" s="24" t="str">
        <f>IFERROR(MAX(tblRiskRegister32[[#This Row],[Impact to Mission]:[Impact to Obligations]])*tblRiskRegister32[[#This Row],[Expectancy Score]],"")</f>
        <v/>
      </c>
      <c r="T107" s="24" t="str">
        <f>tblRiskRegister32[[#This Row],[Risk Score]]</f>
        <v/>
      </c>
      <c r="U107" s="86"/>
      <c r="V107" s="86">
        <v>14.2</v>
      </c>
      <c r="W107" s="15" t="s">
        <v>79</v>
      </c>
      <c r="X107" s="15" t="s">
        <v>558</v>
      </c>
      <c r="Y107" s="26"/>
      <c r="Z107" s="16"/>
      <c r="AA107" s="23" t="str">
        <f>IFERROR(VLOOKUP(10*tblRiskRegister32[[#This Row],[Risk Treatment Safeguard Maturity Score]]+tblRiskRegister32[[#This Row],[VCDB Index]],tblHITIndexWeightTable[],4,FALSE),"")</f>
        <v/>
      </c>
      <c r="AB107" s="23">
        <f>VLOOKUP(tblRiskRegister32[[#This Row],[Asset Class]],tblInherentImpacts30[],2,FALSE)</f>
        <v>0</v>
      </c>
      <c r="AC107" s="23">
        <f>VLOOKUP(tblRiskRegister32[[#This Row],[Asset Class]],tblInherentImpacts30[],3,FALSE)</f>
        <v>0</v>
      </c>
      <c r="AD107" s="23">
        <f>VLOOKUP(tblRiskRegister32[[#This Row],[Asset Class]],tblInherentImpacts30[],4,FALSE)</f>
        <v>0</v>
      </c>
      <c r="AE107" s="23">
        <f>VLOOKUP(tblRiskRegister32[[#This Row],[Asset Class]],tblInherentImpacts30[],5,FALSE)</f>
        <v>0</v>
      </c>
      <c r="AF107" s="23" t="str">
        <f>IFERROR(MAX(tblRiskRegister32[[#This Row],[Risk Treatment Safeguard Impact to Mission]:[Risk Treatment Safeguard Impact to Obligations]])*tblRiskRegister32[[#This Row],[Risk Treatment
Safeguard Expectancy Score]],"")</f>
        <v/>
      </c>
      <c r="AG107" s="23" t="str">
        <f>IF(tblRiskRegister32[[#This Row],[Risk Score]]&gt;=AcceptableRisk,IF(tblRiskRegister32[[#This Row],[Risk Treatment Safeguard Risk Score]]&lt;AcceptableRisk, IF(tblRiskRegister32[[#This Row],[Risk Treatment Safeguard Risk Score]]&lt;tblRiskRegister32[[#This Row],[Risk Score]],"Yes","No"),"No"),"Yes")</f>
        <v>No</v>
      </c>
      <c r="AH107" s="17"/>
      <c r="AI107" s="17"/>
      <c r="AJ107" s="18"/>
    </row>
    <row r="108" spans="2:36" ht="42">
      <c r="B108" s="220" t="s">
        <v>93</v>
      </c>
      <c r="C108" s="15"/>
      <c r="D108" s="86">
        <v>14.3</v>
      </c>
      <c r="E108" s="14" t="s">
        <v>80</v>
      </c>
      <c r="F108" s="13" t="s">
        <v>429</v>
      </c>
      <c r="G108" s="13" t="s">
        <v>429</v>
      </c>
      <c r="H108" s="13" t="s">
        <v>523</v>
      </c>
      <c r="I108" s="15"/>
      <c r="J108" s="15"/>
      <c r="K108" s="15"/>
      <c r="L108" s="16"/>
      <c r="M108" s="24">
        <f>IFERROR(VLOOKUP(tblRiskRegister32[[#This Row],[Asset Class]],tblVCDBIndex[],4,FALSE),"")</f>
        <v>2</v>
      </c>
      <c r="N108" s="24" t="str">
        <f>IFERROR(VLOOKUP(10*tblRiskRegister32[[#This Row],[Safeguard Maturity Score]]+tblRiskRegister32[[#This Row],[VCDB Index]],tblHITIndexWeightTable[],4,FALSE),"")</f>
        <v/>
      </c>
      <c r="O108" s="24">
        <f>VLOOKUP(tblRiskRegister32[[#This Row],[Asset Class]],tblInherentImpacts30[],2,FALSE)</f>
        <v>0</v>
      </c>
      <c r="P108" s="24">
        <f>VLOOKUP(tblRiskRegister32[[#This Row],[Asset Class]],tblInherentImpacts30[],3,FALSE)</f>
        <v>0</v>
      </c>
      <c r="Q108" s="24">
        <f>VLOOKUP(tblRiskRegister32[[#This Row],[Asset Class]],tblInherentImpacts30[],4,FALSE)</f>
        <v>0</v>
      </c>
      <c r="R108" s="24">
        <f>VLOOKUP(tblRiskRegister32[[#This Row],[Asset Class]],tblInherentImpacts30[],5,FALSE)</f>
        <v>0</v>
      </c>
      <c r="S108" s="24" t="str">
        <f>IFERROR(MAX(tblRiskRegister32[[#This Row],[Impact to Mission]:[Impact to Obligations]])*tblRiskRegister32[[#This Row],[Expectancy Score]],"")</f>
        <v/>
      </c>
      <c r="T108" s="24" t="str">
        <f>tblRiskRegister32[[#This Row],[Risk Score]]</f>
        <v/>
      </c>
      <c r="U108" s="86"/>
      <c r="V108" s="86">
        <v>14.3</v>
      </c>
      <c r="W108" s="15" t="s">
        <v>80</v>
      </c>
      <c r="X108" s="15" t="s">
        <v>404</v>
      </c>
      <c r="Y108" s="26"/>
      <c r="Z108" s="16"/>
      <c r="AA108" s="23" t="str">
        <f>IFERROR(VLOOKUP(10*tblRiskRegister32[[#This Row],[Risk Treatment Safeguard Maturity Score]]+tblRiskRegister32[[#This Row],[VCDB Index]],tblHITIndexWeightTable[],4,FALSE),"")</f>
        <v/>
      </c>
      <c r="AB108" s="23">
        <f>VLOOKUP(tblRiskRegister32[[#This Row],[Asset Class]],tblInherentImpacts30[],2,FALSE)</f>
        <v>0</v>
      </c>
      <c r="AC108" s="23">
        <f>VLOOKUP(tblRiskRegister32[[#This Row],[Asset Class]],tblInherentImpacts30[],3,FALSE)</f>
        <v>0</v>
      </c>
      <c r="AD108" s="23">
        <f>VLOOKUP(tblRiskRegister32[[#This Row],[Asset Class]],tblInherentImpacts30[],4,FALSE)</f>
        <v>0</v>
      </c>
      <c r="AE108" s="23">
        <f>VLOOKUP(tblRiskRegister32[[#This Row],[Asset Class]],tblInherentImpacts30[],5,FALSE)</f>
        <v>0</v>
      </c>
      <c r="AF108" s="23" t="str">
        <f>IFERROR(MAX(tblRiskRegister32[[#This Row],[Risk Treatment Safeguard Impact to Mission]:[Risk Treatment Safeguard Impact to Obligations]])*tblRiskRegister32[[#This Row],[Risk Treatment
Safeguard Expectancy Score]],"")</f>
        <v/>
      </c>
      <c r="AG108" s="23" t="str">
        <f>IF(tblRiskRegister32[[#This Row],[Risk Score]]&gt;=AcceptableRisk,IF(tblRiskRegister32[[#This Row],[Risk Treatment Safeguard Risk Score]]&lt;AcceptableRisk, IF(tblRiskRegister32[[#This Row],[Risk Treatment Safeguard Risk Score]]&lt;tblRiskRegister32[[#This Row],[Risk Score]],"Yes","No"),"No"),"Yes")</f>
        <v>No</v>
      </c>
      <c r="AH108" s="17"/>
      <c r="AI108" s="17"/>
      <c r="AJ108" s="18"/>
    </row>
    <row r="109" spans="2:36" ht="70">
      <c r="B109" s="220" t="s">
        <v>93</v>
      </c>
      <c r="C109" s="15"/>
      <c r="D109" s="86">
        <v>14.4</v>
      </c>
      <c r="E109" s="14" t="s">
        <v>81</v>
      </c>
      <c r="F109" s="13" t="s">
        <v>429</v>
      </c>
      <c r="G109" s="13" t="s">
        <v>429</v>
      </c>
      <c r="H109" s="13" t="s">
        <v>523</v>
      </c>
      <c r="I109" s="15"/>
      <c r="J109" s="15"/>
      <c r="K109" s="15"/>
      <c r="L109" s="16"/>
      <c r="M109" s="24">
        <f>IFERROR(VLOOKUP(tblRiskRegister32[[#This Row],[Asset Class]],tblVCDBIndex[],4,FALSE),"")</f>
        <v>2</v>
      </c>
      <c r="N109" s="24" t="str">
        <f>IFERROR(VLOOKUP(10*tblRiskRegister32[[#This Row],[Safeguard Maturity Score]]+tblRiskRegister32[[#This Row],[VCDB Index]],tblHITIndexWeightTable[],4,FALSE),"")</f>
        <v/>
      </c>
      <c r="O109" s="24">
        <f>VLOOKUP(tblRiskRegister32[[#This Row],[Asset Class]],tblInherentImpacts30[],2,FALSE)</f>
        <v>0</v>
      </c>
      <c r="P109" s="24">
        <f>VLOOKUP(tblRiskRegister32[[#This Row],[Asset Class]],tblInherentImpacts30[],3,FALSE)</f>
        <v>0</v>
      </c>
      <c r="Q109" s="24">
        <f>VLOOKUP(tblRiskRegister32[[#This Row],[Asset Class]],tblInherentImpacts30[],4,FALSE)</f>
        <v>0</v>
      </c>
      <c r="R109" s="24">
        <f>VLOOKUP(tblRiskRegister32[[#This Row],[Asset Class]],tblInherentImpacts30[],5,FALSE)</f>
        <v>0</v>
      </c>
      <c r="S109" s="24" t="str">
        <f>IFERROR(MAX(tblRiskRegister32[[#This Row],[Impact to Mission]:[Impact to Obligations]])*tblRiskRegister32[[#This Row],[Expectancy Score]],"")</f>
        <v/>
      </c>
      <c r="T109" s="24" t="str">
        <f>tblRiskRegister32[[#This Row],[Risk Score]]</f>
        <v/>
      </c>
      <c r="U109" s="86"/>
      <c r="V109" s="86">
        <v>14.4</v>
      </c>
      <c r="W109" s="15" t="s">
        <v>81</v>
      </c>
      <c r="X109" s="15" t="s">
        <v>405</v>
      </c>
      <c r="Y109" s="26"/>
      <c r="Z109" s="16"/>
      <c r="AA109" s="23" t="str">
        <f>IFERROR(VLOOKUP(10*tblRiskRegister32[[#This Row],[Risk Treatment Safeguard Maturity Score]]+tblRiskRegister32[[#This Row],[VCDB Index]],tblHITIndexWeightTable[],4,FALSE),"")</f>
        <v/>
      </c>
      <c r="AB109" s="23">
        <f>VLOOKUP(tblRiskRegister32[[#This Row],[Asset Class]],tblInherentImpacts30[],2,FALSE)</f>
        <v>0</v>
      </c>
      <c r="AC109" s="23">
        <f>VLOOKUP(tblRiskRegister32[[#This Row],[Asset Class]],tblInherentImpacts30[],3,FALSE)</f>
        <v>0</v>
      </c>
      <c r="AD109" s="23">
        <f>VLOOKUP(tblRiskRegister32[[#This Row],[Asset Class]],tblInherentImpacts30[],4,FALSE)</f>
        <v>0</v>
      </c>
      <c r="AE109" s="23">
        <f>VLOOKUP(tblRiskRegister32[[#This Row],[Asset Class]],tblInherentImpacts30[],5,FALSE)</f>
        <v>0</v>
      </c>
      <c r="AF109" s="23" t="str">
        <f>IFERROR(MAX(tblRiskRegister32[[#This Row],[Risk Treatment Safeguard Impact to Mission]:[Risk Treatment Safeguard Impact to Obligations]])*tblRiskRegister32[[#This Row],[Risk Treatment
Safeguard Expectancy Score]],"")</f>
        <v/>
      </c>
      <c r="AG109" s="23" t="str">
        <f>IF(tblRiskRegister32[[#This Row],[Risk Score]]&gt;=AcceptableRisk,IF(tblRiskRegister32[[#This Row],[Risk Treatment Safeguard Risk Score]]&lt;AcceptableRisk, IF(tblRiskRegister32[[#This Row],[Risk Treatment Safeguard Risk Score]]&lt;tblRiskRegister32[[#This Row],[Risk Score]],"Yes","No"),"No"),"Yes")</f>
        <v>No</v>
      </c>
      <c r="AH109" s="17"/>
      <c r="AI109" s="17"/>
      <c r="AJ109" s="18"/>
    </row>
    <row r="110" spans="2:36" ht="42">
      <c r="B110" s="220" t="s">
        <v>93</v>
      </c>
      <c r="C110" s="15"/>
      <c r="D110" s="86">
        <v>14.5</v>
      </c>
      <c r="E110" s="14" t="s">
        <v>82</v>
      </c>
      <c r="F110" s="13" t="s">
        <v>429</v>
      </c>
      <c r="G110" s="13" t="s">
        <v>429</v>
      </c>
      <c r="H110" s="13" t="s">
        <v>523</v>
      </c>
      <c r="I110" s="15"/>
      <c r="J110" s="15"/>
      <c r="K110" s="15"/>
      <c r="L110" s="16"/>
      <c r="M110" s="24">
        <f>IFERROR(VLOOKUP(tblRiskRegister32[[#This Row],[Asset Class]],tblVCDBIndex[],4,FALSE),"")</f>
        <v>2</v>
      </c>
      <c r="N110" s="24" t="str">
        <f>IFERROR(VLOOKUP(10*tblRiskRegister32[[#This Row],[Safeguard Maturity Score]]+tblRiskRegister32[[#This Row],[VCDB Index]],tblHITIndexWeightTable[],4,FALSE),"")</f>
        <v/>
      </c>
      <c r="O110" s="24">
        <f>VLOOKUP(tblRiskRegister32[[#This Row],[Asset Class]],tblInherentImpacts30[],2,FALSE)</f>
        <v>0</v>
      </c>
      <c r="P110" s="24">
        <f>VLOOKUP(tblRiskRegister32[[#This Row],[Asset Class]],tblInherentImpacts30[],3,FALSE)</f>
        <v>0</v>
      </c>
      <c r="Q110" s="24">
        <f>VLOOKUP(tblRiskRegister32[[#This Row],[Asset Class]],tblInherentImpacts30[],4,FALSE)</f>
        <v>0</v>
      </c>
      <c r="R110" s="24">
        <f>VLOOKUP(tblRiskRegister32[[#This Row],[Asset Class]],tblInherentImpacts30[],5,FALSE)</f>
        <v>0</v>
      </c>
      <c r="S110" s="24" t="str">
        <f>IFERROR(MAX(tblRiskRegister32[[#This Row],[Impact to Mission]:[Impact to Obligations]])*tblRiskRegister32[[#This Row],[Expectancy Score]],"")</f>
        <v/>
      </c>
      <c r="T110" s="24" t="str">
        <f>tblRiskRegister32[[#This Row],[Risk Score]]</f>
        <v/>
      </c>
      <c r="U110" s="86"/>
      <c r="V110" s="86">
        <v>14.5</v>
      </c>
      <c r="W110" s="15" t="s">
        <v>82</v>
      </c>
      <c r="X110" s="15" t="s">
        <v>406</v>
      </c>
      <c r="Y110" s="26"/>
      <c r="Z110" s="16"/>
      <c r="AA110" s="23" t="str">
        <f>IFERROR(VLOOKUP(10*tblRiskRegister32[[#This Row],[Risk Treatment Safeguard Maturity Score]]+tblRiskRegister32[[#This Row],[VCDB Index]],tblHITIndexWeightTable[],4,FALSE),"")</f>
        <v/>
      </c>
      <c r="AB110" s="23">
        <f>VLOOKUP(tblRiskRegister32[[#This Row],[Asset Class]],tblInherentImpacts30[],2,FALSE)</f>
        <v>0</v>
      </c>
      <c r="AC110" s="23">
        <f>VLOOKUP(tblRiskRegister32[[#This Row],[Asset Class]],tblInherentImpacts30[],3,FALSE)</f>
        <v>0</v>
      </c>
      <c r="AD110" s="23">
        <f>VLOOKUP(tblRiskRegister32[[#This Row],[Asset Class]],tblInherentImpacts30[],4,FALSE)</f>
        <v>0</v>
      </c>
      <c r="AE110" s="23">
        <f>VLOOKUP(tblRiskRegister32[[#This Row],[Asset Class]],tblInherentImpacts30[],5,FALSE)</f>
        <v>0</v>
      </c>
      <c r="AF110" s="23" t="str">
        <f>IFERROR(MAX(tblRiskRegister32[[#This Row],[Risk Treatment Safeguard Impact to Mission]:[Risk Treatment Safeguard Impact to Obligations]])*tblRiskRegister32[[#This Row],[Risk Treatment
Safeguard Expectancy Score]],"")</f>
        <v/>
      </c>
      <c r="AG110" s="23" t="str">
        <f>IF(tblRiskRegister32[[#This Row],[Risk Score]]&gt;=AcceptableRisk,IF(tblRiskRegister32[[#This Row],[Risk Treatment Safeguard Risk Score]]&lt;AcceptableRisk, IF(tblRiskRegister32[[#This Row],[Risk Treatment Safeguard Risk Score]]&lt;tblRiskRegister32[[#This Row],[Risk Score]],"Yes","No"),"No"),"Yes")</f>
        <v>No</v>
      </c>
      <c r="AH110" s="17"/>
      <c r="AI110" s="17"/>
      <c r="AJ110" s="18"/>
    </row>
    <row r="111" spans="2:36" ht="42">
      <c r="B111" s="220" t="s">
        <v>93</v>
      </c>
      <c r="C111" s="15"/>
      <c r="D111" s="86">
        <v>14.6</v>
      </c>
      <c r="E111" s="14" t="s">
        <v>83</v>
      </c>
      <c r="F111" s="13" t="s">
        <v>429</v>
      </c>
      <c r="G111" s="13" t="s">
        <v>429</v>
      </c>
      <c r="H111" s="13" t="s">
        <v>523</v>
      </c>
      <c r="I111" s="15"/>
      <c r="J111" s="15"/>
      <c r="K111" s="15"/>
      <c r="L111" s="16"/>
      <c r="M111" s="24">
        <f>IFERROR(VLOOKUP(tblRiskRegister32[[#This Row],[Asset Class]],tblVCDBIndex[],4,FALSE),"")</f>
        <v>2</v>
      </c>
      <c r="N111" s="24" t="str">
        <f>IFERROR(VLOOKUP(10*tblRiskRegister32[[#This Row],[Safeguard Maturity Score]]+tblRiskRegister32[[#This Row],[VCDB Index]],tblHITIndexWeightTable[],4,FALSE),"")</f>
        <v/>
      </c>
      <c r="O111" s="24">
        <f>VLOOKUP(tblRiskRegister32[[#This Row],[Asset Class]],tblInherentImpacts30[],2,FALSE)</f>
        <v>0</v>
      </c>
      <c r="P111" s="24">
        <f>VLOOKUP(tblRiskRegister32[[#This Row],[Asset Class]],tblInherentImpacts30[],3,FALSE)</f>
        <v>0</v>
      </c>
      <c r="Q111" s="24">
        <f>VLOOKUP(tblRiskRegister32[[#This Row],[Asset Class]],tblInherentImpacts30[],4,FALSE)</f>
        <v>0</v>
      </c>
      <c r="R111" s="24">
        <f>VLOOKUP(tblRiskRegister32[[#This Row],[Asset Class]],tblInherentImpacts30[],5,FALSE)</f>
        <v>0</v>
      </c>
      <c r="S111" s="24" t="str">
        <f>IFERROR(MAX(tblRiskRegister32[[#This Row],[Impact to Mission]:[Impact to Obligations]])*tblRiskRegister32[[#This Row],[Expectancy Score]],"")</f>
        <v/>
      </c>
      <c r="T111" s="24" t="str">
        <f>tblRiskRegister32[[#This Row],[Risk Score]]</f>
        <v/>
      </c>
      <c r="U111" s="86"/>
      <c r="V111" s="86">
        <v>14.6</v>
      </c>
      <c r="W111" s="15" t="s">
        <v>83</v>
      </c>
      <c r="X111" s="15" t="s">
        <v>407</v>
      </c>
      <c r="Y111" s="26"/>
      <c r="Z111" s="16"/>
      <c r="AA111" s="23" t="str">
        <f>IFERROR(VLOOKUP(10*tblRiskRegister32[[#This Row],[Risk Treatment Safeguard Maturity Score]]+tblRiskRegister32[[#This Row],[VCDB Index]],tblHITIndexWeightTable[],4,FALSE),"")</f>
        <v/>
      </c>
      <c r="AB111" s="23">
        <f>VLOOKUP(tblRiskRegister32[[#This Row],[Asset Class]],tblInherentImpacts30[],2,FALSE)</f>
        <v>0</v>
      </c>
      <c r="AC111" s="23">
        <f>VLOOKUP(tblRiskRegister32[[#This Row],[Asset Class]],tblInherentImpacts30[],3,FALSE)</f>
        <v>0</v>
      </c>
      <c r="AD111" s="23">
        <f>VLOOKUP(tblRiskRegister32[[#This Row],[Asset Class]],tblInherentImpacts30[],4,FALSE)</f>
        <v>0</v>
      </c>
      <c r="AE111" s="23">
        <f>VLOOKUP(tblRiskRegister32[[#This Row],[Asset Class]],tblInherentImpacts30[],5,FALSE)</f>
        <v>0</v>
      </c>
      <c r="AF111" s="23" t="str">
        <f>IFERROR(MAX(tblRiskRegister32[[#This Row],[Risk Treatment Safeguard Impact to Mission]:[Risk Treatment Safeguard Impact to Obligations]])*tblRiskRegister32[[#This Row],[Risk Treatment
Safeguard Expectancy Score]],"")</f>
        <v/>
      </c>
      <c r="AG111" s="23" t="str">
        <f>IF(tblRiskRegister32[[#This Row],[Risk Score]]&gt;=AcceptableRisk,IF(tblRiskRegister32[[#This Row],[Risk Treatment Safeguard Risk Score]]&lt;AcceptableRisk, IF(tblRiskRegister32[[#This Row],[Risk Treatment Safeguard Risk Score]]&lt;tblRiskRegister32[[#This Row],[Risk Score]],"Yes","No"),"No"),"Yes")</f>
        <v>No</v>
      </c>
      <c r="AH111" s="17"/>
      <c r="AI111" s="17"/>
      <c r="AJ111" s="18"/>
    </row>
    <row r="112" spans="2:36" ht="56">
      <c r="B112" s="220" t="s">
        <v>93</v>
      </c>
      <c r="C112" s="15"/>
      <c r="D112" s="86">
        <v>14.7</v>
      </c>
      <c r="E112" s="14" t="s">
        <v>84</v>
      </c>
      <c r="F112" s="13" t="s">
        <v>429</v>
      </c>
      <c r="G112" s="13" t="s">
        <v>429</v>
      </c>
      <c r="H112" s="13" t="s">
        <v>523</v>
      </c>
      <c r="I112" s="15"/>
      <c r="J112" s="15"/>
      <c r="K112" s="15"/>
      <c r="L112" s="16"/>
      <c r="M112" s="24">
        <f>IFERROR(VLOOKUP(tblRiskRegister32[[#This Row],[Asset Class]],tblVCDBIndex[],4,FALSE),"")</f>
        <v>2</v>
      </c>
      <c r="N112" s="24" t="str">
        <f>IFERROR(VLOOKUP(10*tblRiskRegister32[[#This Row],[Safeguard Maturity Score]]+tblRiskRegister32[[#This Row],[VCDB Index]],tblHITIndexWeightTable[],4,FALSE),"")</f>
        <v/>
      </c>
      <c r="O112" s="24">
        <f>VLOOKUP(tblRiskRegister32[[#This Row],[Asset Class]],tblInherentImpacts30[],2,FALSE)</f>
        <v>0</v>
      </c>
      <c r="P112" s="24">
        <f>VLOOKUP(tblRiskRegister32[[#This Row],[Asset Class]],tblInherentImpacts30[],3,FALSE)</f>
        <v>0</v>
      </c>
      <c r="Q112" s="24">
        <f>VLOOKUP(tblRiskRegister32[[#This Row],[Asset Class]],tblInherentImpacts30[],4,FALSE)</f>
        <v>0</v>
      </c>
      <c r="R112" s="24">
        <f>VLOOKUP(tblRiskRegister32[[#This Row],[Asset Class]],tblInherentImpacts30[],5,FALSE)</f>
        <v>0</v>
      </c>
      <c r="S112" s="24" t="str">
        <f>IFERROR(MAX(tblRiskRegister32[[#This Row],[Impact to Mission]:[Impact to Obligations]])*tblRiskRegister32[[#This Row],[Expectancy Score]],"")</f>
        <v/>
      </c>
      <c r="T112" s="24" t="str">
        <f>tblRiskRegister32[[#This Row],[Risk Score]]</f>
        <v/>
      </c>
      <c r="U112" s="86"/>
      <c r="V112" s="86">
        <v>14.7</v>
      </c>
      <c r="W112" s="15" t="s">
        <v>84</v>
      </c>
      <c r="X112" s="15" t="s">
        <v>408</v>
      </c>
      <c r="Y112" s="26"/>
      <c r="Z112" s="16"/>
      <c r="AA112" s="23" t="str">
        <f>IFERROR(VLOOKUP(10*tblRiskRegister32[[#This Row],[Risk Treatment Safeguard Maturity Score]]+tblRiskRegister32[[#This Row],[VCDB Index]],tblHITIndexWeightTable[],4,FALSE),"")</f>
        <v/>
      </c>
      <c r="AB112" s="23">
        <f>VLOOKUP(tblRiskRegister32[[#This Row],[Asset Class]],tblInherentImpacts30[],2,FALSE)</f>
        <v>0</v>
      </c>
      <c r="AC112" s="23">
        <f>VLOOKUP(tblRiskRegister32[[#This Row],[Asset Class]],tblInherentImpacts30[],3,FALSE)</f>
        <v>0</v>
      </c>
      <c r="AD112" s="23">
        <f>VLOOKUP(tblRiskRegister32[[#This Row],[Asset Class]],tblInherentImpacts30[],4,FALSE)</f>
        <v>0</v>
      </c>
      <c r="AE112" s="23">
        <f>VLOOKUP(tblRiskRegister32[[#This Row],[Asset Class]],tblInherentImpacts30[],5,FALSE)</f>
        <v>0</v>
      </c>
      <c r="AF112" s="23" t="str">
        <f>IFERROR(MAX(tblRiskRegister32[[#This Row],[Risk Treatment Safeguard Impact to Mission]:[Risk Treatment Safeguard Impact to Obligations]])*tblRiskRegister32[[#This Row],[Risk Treatment
Safeguard Expectancy Score]],"")</f>
        <v/>
      </c>
      <c r="AG112" s="23" t="str">
        <f>IF(tblRiskRegister32[[#This Row],[Risk Score]]&gt;=AcceptableRisk,IF(tblRiskRegister32[[#This Row],[Risk Treatment Safeguard Risk Score]]&lt;AcceptableRisk, IF(tblRiskRegister32[[#This Row],[Risk Treatment Safeguard Risk Score]]&lt;tblRiskRegister32[[#This Row],[Risk Score]],"Yes","No"),"No"),"Yes")</f>
        <v>No</v>
      </c>
      <c r="AH112" s="17"/>
      <c r="AI112" s="17"/>
      <c r="AJ112" s="18"/>
    </row>
    <row r="113" spans="2:36" ht="70">
      <c r="B113" s="220" t="s">
        <v>93</v>
      </c>
      <c r="C113" s="15"/>
      <c r="D113" s="86">
        <v>14.8</v>
      </c>
      <c r="E113" s="14" t="s">
        <v>85</v>
      </c>
      <c r="F113" s="13" t="s">
        <v>429</v>
      </c>
      <c r="G113" s="13" t="s">
        <v>429</v>
      </c>
      <c r="H113" s="13" t="s">
        <v>523</v>
      </c>
      <c r="I113" s="15"/>
      <c r="J113" s="15"/>
      <c r="K113" s="15"/>
      <c r="L113" s="16"/>
      <c r="M113" s="24">
        <f>IFERROR(VLOOKUP(tblRiskRegister32[[#This Row],[Asset Class]],tblVCDBIndex[],4,FALSE),"")</f>
        <v>2</v>
      </c>
      <c r="N113" s="24" t="str">
        <f>IFERROR(VLOOKUP(10*tblRiskRegister32[[#This Row],[Safeguard Maturity Score]]+tblRiskRegister32[[#This Row],[VCDB Index]],tblHITIndexWeightTable[],4,FALSE),"")</f>
        <v/>
      </c>
      <c r="O113" s="24">
        <f>VLOOKUP(tblRiskRegister32[[#This Row],[Asset Class]],tblInherentImpacts30[],2,FALSE)</f>
        <v>0</v>
      </c>
      <c r="P113" s="24">
        <f>VLOOKUP(tblRiskRegister32[[#This Row],[Asset Class]],tblInherentImpacts30[],3,FALSE)</f>
        <v>0</v>
      </c>
      <c r="Q113" s="24">
        <f>VLOOKUP(tblRiskRegister32[[#This Row],[Asset Class]],tblInherentImpacts30[],4,FALSE)</f>
        <v>0</v>
      </c>
      <c r="R113" s="24">
        <f>VLOOKUP(tblRiskRegister32[[#This Row],[Asset Class]],tblInherentImpacts30[],5,FALSE)</f>
        <v>0</v>
      </c>
      <c r="S113" s="24" t="str">
        <f>IFERROR(MAX(tblRiskRegister32[[#This Row],[Impact to Mission]:[Impact to Obligations]])*tblRiskRegister32[[#This Row],[Expectancy Score]],"")</f>
        <v/>
      </c>
      <c r="T113" s="24" t="str">
        <f>tblRiskRegister32[[#This Row],[Risk Score]]</f>
        <v/>
      </c>
      <c r="U113" s="86"/>
      <c r="V113" s="86">
        <v>14.8</v>
      </c>
      <c r="W113" s="15" t="s">
        <v>85</v>
      </c>
      <c r="X113" s="15" t="s">
        <v>409</v>
      </c>
      <c r="Y113" s="26"/>
      <c r="Z113" s="16"/>
      <c r="AA113" s="23" t="str">
        <f>IFERROR(VLOOKUP(10*tblRiskRegister32[[#This Row],[Risk Treatment Safeguard Maturity Score]]+tblRiskRegister32[[#This Row],[VCDB Index]],tblHITIndexWeightTable[],4,FALSE),"")</f>
        <v/>
      </c>
      <c r="AB113" s="23">
        <f>VLOOKUP(tblRiskRegister32[[#This Row],[Asset Class]],tblInherentImpacts30[],2,FALSE)</f>
        <v>0</v>
      </c>
      <c r="AC113" s="23">
        <f>VLOOKUP(tblRiskRegister32[[#This Row],[Asset Class]],tblInherentImpacts30[],3,FALSE)</f>
        <v>0</v>
      </c>
      <c r="AD113" s="23">
        <f>VLOOKUP(tblRiskRegister32[[#This Row],[Asset Class]],tblInherentImpacts30[],4,FALSE)</f>
        <v>0</v>
      </c>
      <c r="AE113" s="23">
        <f>VLOOKUP(tblRiskRegister32[[#This Row],[Asset Class]],tblInherentImpacts30[],5,FALSE)</f>
        <v>0</v>
      </c>
      <c r="AF113" s="23" t="str">
        <f>IFERROR(MAX(tblRiskRegister32[[#This Row],[Risk Treatment Safeguard Impact to Mission]:[Risk Treatment Safeguard Impact to Obligations]])*tblRiskRegister32[[#This Row],[Risk Treatment
Safeguard Expectancy Score]],"")</f>
        <v/>
      </c>
      <c r="AG113" s="23" t="str">
        <f>IF(tblRiskRegister32[[#This Row],[Risk Score]]&gt;=AcceptableRisk,IF(tblRiskRegister32[[#This Row],[Risk Treatment Safeguard Risk Score]]&lt;AcceptableRisk, IF(tblRiskRegister32[[#This Row],[Risk Treatment Safeguard Risk Score]]&lt;tblRiskRegister32[[#This Row],[Risk Score]],"Yes","No"),"No"),"Yes")</f>
        <v>No</v>
      </c>
      <c r="AH113" s="17"/>
      <c r="AI113" s="17"/>
      <c r="AJ113" s="18"/>
    </row>
    <row r="114" spans="2:36" ht="70">
      <c r="B114" s="220" t="s">
        <v>93</v>
      </c>
      <c r="C114" s="15"/>
      <c r="D114" s="86">
        <v>14.9</v>
      </c>
      <c r="E114" s="14" t="s">
        <v>195</v>
      </c>
      <c r="F114" s="13"/>
      <c r="G114" s="13" t="s">
        <v>429</v>
      </c>
      <c r="H114" s="13" t="s">
        <v>523</v>
      </c>
      <c r="I114" s="15"/>
      <c r="J114" s="15"/>
      <c r="K114" s="15"/>
      <c r="L114" s="16"/>
      <c r="M114" s="24">
        <f>IFERROR(VLOOKUP(tblRiskRegister32[[#This Row],[Asset Class]],tblVCDBIndex[],4,FALSE),"")</f>
        <v>2</v>
      </c>
      <c r="N114" s="24" t="str">
        <f>IFERROR(VLOOKUP(10*tblRiskRegister32[[#This Row],[Safeguard Maturity Score]]+tblRiskRegister32[[#This Row],[VCDB Index]],tblHITIndexWeightTable[],4,FALSE),"")</f>
        <v/>
      </c>
      <c r="O114" s="24">
        <f>VLOOKUP(tblRiskRegister32[[#This Row],[Asset Class]],tblInherentImpacts30[],2,FALSE)</f>
        <v>0</v>
      </c>
      <c r="P114" s="24">
        <f>VLOOKUP(tblRiskRegister32[[#This Row],[Asset Class]],tblInherentImpacts30[],3,FALSE)</f>
        <v>0</v>
      </c>
      <c r="Q114" s="24">
        <f>VLOOKUP(tblRiskRegister32[[#This Row],[Asset Class]],tblInherentImpacts30[],4,FALSE)</f>
        <v>0</v>
      </c>
      <c r="R114" s="24">
        <f>VLOOKUP(tblRiskRegister32[[#This Row],[Asset Class]],tblInherentImpacts30[],5,FALSE)</f>
        <v>0</v>
      </c>
      <c r="S114" s="24" t="str">
        <f>IFERROR(MAX(tblRiskRegister32[[#This Row],[Impact to Mission]:[Impact to Obligations]])*tblRiskRegister32[[#This Row],[Expectancy Score]],"")</f>
        <v/>
      </c>
      <c r="T114" s="24" t="str">
        <f>tblRiskRegister32[[#This Row],[Risk Score]]</f>
        <v/>
      </c>
      <c r="U114" s="86"/>
      <c r="V114" s="86">
        <v>14.9</v>
      </c>
      <c r="W114" s="15" t="s">
        <v>195</v>
      </c>
      <c r="X114" s="15" t="s">
        <v>410</v>
      </c>
      <c r="Y114" s="26"/>
      <c r="Z114" s="16"/>
      <c r="AA114" s="23" t="str">
        <f>IFERROR(VLOOKUP(10*tblRiskRegister32[[#This Row],[Risk Treatment Safeguard Maturity Score]]+tblRiskRegister32[[#This Row],[VCDB Index]],tblHITIndexWeightTable[],4,FALSE),"")</f>
        <v/>
      </c>
      <c r="AB114" s="23">
        <f>VLOOKUP(tblRiskRegister32[[#This Row],[Asset Class]],tblInherentImpacts30[],2,FALSE)</f>
        <v>0</v>
      </c>
      <c r="AC114" s="23">
        <f>VLOOKUP(tblRiskRegister32[[#This Row],[Asset Class]],tblInherentImpacts30[],3,FALSE)</f>
        <v>0</v>
      </c>
      <c r="AD114" s="23">
        <f>VLOOKUP(tblRiskRegister32[[#This Row],[Asset Class]],tblInherentImpacts30[],4,FALSE)</f>
        <v>0</v>
      </c>
      <c r="AE114" s="23">
        <f>VLOOKUP(tblRiskRegister32[[#This Row],[Asset Class]],tblInherentImpacts30[],5,FALSE)</f>
        <v>0</v>
      </c>
      <c r="AF114" s="23" t="str">
        <f>IFERROR(MAX(tblRiskRegister32[[#This Row],[Risk Treatment Safeguard Impact to Mission]:[Risk Treatment Safeguard Impact to Obligations]])*tblRiskRegister32[[#This Row],[Risk Treatment
Safeguard Expectancy Score]],"")</f>
        <v/>
      </c>
      <c r="AG114" s="23" t="str">
        <f>IF(tblRiskRegister32[[#This Row],[Risk Score]]&gt;=AcceptableRisk,IF(tblRiskRegister32[[#This Row],[Risk Treatment Safeguard Risk Score]]&lt;AcceptableRisk, IF(tblRiskRegister32[[#This Row],[Risk Treatment Safeguard Risk Score]]&lt;tblRiskRegister32[[#This Row],[Risk Score]],"Yes","No"),"No"),"Yes")</f>
        <v>No</v>
      </c>
      <c r="AH114" s="17"/>
      <c r="AI114" s="17"/>
      <c r="AJ114" s="18"/>
    </row>
    <row r="115" spans="2:36" ht="56">
      <c r="B115" s="220" t="s">
        <v>93</v>
      </c>
      <c r="C115" s="15"/>
      <c r="D115" s="86">
        <v>15.1</v>
      </c>
      <c r="E115" s="14" t="s">
        <v>86</v>
      </c>
      <c r="F115" s="13" t="s">
        <v>429</v>
      </c>
      <c r="G115" s="13" t="s">
        <v>429</v>
      </c>
      <c r="H115" s="13" t="s">
        <v>521</v>
      </c>
      <c r="I115" s="15"/>
      <c r="J115" s="15"/>
      <c r="K115" s="15"/>
      <c r="L115" s="16"/>
      <c r="M115" s="24">
        <f>IFERROR(VLOOKUP(tblRiskRegister32[[#This Row],[Asset Class]],tblVCDBIndex[],4,FALSE),"")</f>
        <v>2</v>
      </c>
      <c r="N115" s="24" t="str">
        <f>IFERROR(VLOOKUP(10*tblRiskRegister32[[#This Row],[Safeguard Maturity Score]]+tblRiskRegister32[[#This Row],[VCDB Index]],tblHITIndexWeightTable[],4,FALSE),"")</f>
        <v/>
      </c>
      <c r="O115" s="24">
        <f>VLOOKUP(tblRiskRegister32[[#This Row],[Asset Class]],tblInherentImpacts30[],2,FALSE)</f>
        <v>0</v>
      </c>
      <c r="P115" s="24">
        <f>VLOOKUP(tblRiskRegister32[[#This Row],[Asset Class]],tblInherentImpacts30[],3,FALSE)</f>
        <v>0</v>
      </c>
      <c r="Q115" s="24">
        <f>VLOOKUP(tblRiskRegister32[[#This Row],[Asset Class]],tblInherentImpacts30[],4,FALSE)</f>
        <v>0</v>
      </c>
      <c r="R115" s="24">
        <f>VLOOKUP(tblRiskRegister32[[#This Row],[Asset Class]],tblInherentImpacts30[],5,FALSE)</f>
        <v>0</v>
      </c>
      <c r="S115" s="24" t="str">
        <f>IFERROR(MAX(tblRiskRegister32[[#This Row],[Impact to Mission]:[Impact to Obligations]])*tblRiskRegister32[[#This Row],[Expectancy Score]],"")</f>
        <v/>
      </c>
      <c r="T115" s="24" t="str">
        <f>tblRiskRegister32[[#This Row],[Risk Score]]</f>
        <v/>
      </c>
      <c r="U115" s="86"/>
      <c r="V115" s="86">
        <v>15.1</v>
      </c>
      <c r="W115" s="15" t="s">
        <v>86</v>
      </c>
      <c r="X115" s="15" t="s">
        <v>411</v>
      </c>
      <c r="Y115" s="26"/>
      <c r="Z115" s="16"/>
      <c r="AA115" s="23" t="str">
        <f>IFERROR(VLOOKUP(10*tblRiskRegister32[[#This Row],[Risk Treatment Safeguard Maturity Score]]+tblRiskRegister32[[#This Row],[VCDB Index]],tblHITIndexWeightTable[],4,FALSE),"")</f>
        <v/>
      </c>
      <c r="AB115" s="23">
        <f>VLOOKUP(tblRiskRegister32[[#This Row],[Asset Class]],tblInherentImpacts30[],2,FALSE)</f>
        <v>0</v>
      </c>
      <c r="AC115" s="23">
        <f>VLOOKUP(tblRiskRegister32[[#This Row],[Asset Class]],tblInherentImpacts30[],3,FALSE)</f>
        <v>0</v>
      </c>
      <c r="AD115" s="23">
        <f>VLOOKUP(tblRiskRegister32[[#This Row],[Asset Class]],tblInherentImpacts30[],4,FALSE)</f>
        <v>0</v>
      </c>
      <c r="AE115" s="23">
        <f>VLOOKUP(tblRiskRegister32[[#This Row],[Asset Class]],tblInherentImpacts30[],5,FALSE)</f>
        <v>0</v>
      </c>
      <c r="AF115" s="23" t="str">
        <f>IFERROR(MAX(tblRiskRegister32[[#This Row],[Risk Treatment Safeguard Impact to Mission]:[Risk Treatment Safeguard Impact to Obligations]])*tblRiskRegister32[[#This Row],[Risk Treatment
Safeguard Expectancy Score]],"")</f>
        <v/>
      </c>
      <c r="AG115" s="23" t="str">
        <f>IF(tblRiskRegister32[[#This Row],[Risk Score]]&gt;=AcceptableRisk,IF(tblRiskRegister32[[#This Row],[Risk Treatment Safeguard Risk Score]]&lt;AcceptableRisk, IF(tblRiskRegister32[[#This Row],[Risk Treatment Safeguard Risk Score]]&lt;tblRiskRegister32[[#This Row],[Risk Score]],"Yes","No"),"No"),"Yes")</f>
        <v>No</v>
      </c>
      <c r="AH115" s="17"/>
      <c r="AI115" s="17"/>
      <c r="AJ115" s="18"/>
    </row>
    <row r="116" spans="2:36" ht="56">
      <c r="B116" s="220" t="s">
        <v>528</v>
      </c>
      <c r="C116" s="15"/>
      <c r="D116" s="86">
        <v>15.2</v>
      </c>
      <c r="E116" s="14" t="s">
        <v>196</v>
      </c>
      <c r="F116" s="13"/>
      <c r="G116" s="13" t="s">
        <v>429</v>
      </c>
      <c r="H116" s="13" t="s">
        <v>532</v>
      </c>
      <c r="I116" s="15"/>
      <c r="J116" s="15"/>
      <c r="K116" s="15"/>
      <c r="L116" s="16"/>
      <c r="M116" s="24">
        <f>IFERROR(VLOOKUP(tblRiskRegister32[[#This Row],[Asset Class]],tblVCDBIndex[],4,FALSE),"")</f>
        <v>2</v>
      </c>
      <c r="N116" s="24" t="str">
        <f>IFERROR(VLOOKUP(10*tblRiskRegister32[[#This Row],[Safeguard Maturity Score]]+tblRiskRegister32[[#This Row],[VCDB Index]],tblHITIndexWeightTable[],4,FALSE),"")</f>
        <v/>
      </c>
      <c r="O116" s="24">
        <f>VLOOKUP(tblRiskRegister32[[#This Row],[Asset Class]],tblInherentImpacts30[],2,FALSE)</f>
        <v>0</v>
      </c>
      <c r="P116" s="24">
        <f>VLOOKUP(tblRiskRegister32[[#This Row],[Asset Class]],tblInherentImpacts30[],3,FALSE)</f>
        <v>0</v>
      </c>
      <c r="Q116" s="24">
        <f>VLOOKUP(tblRiskRegister32[[#This Row],[Asset Class]],tblInherentImpacts30[],4,FALSE)</f>
        <v>0</v>
      </c>
      <c r="R116" s="24">
        <f>VLOOKUP(tblRiskRegister32[[#This Row],[Asset Class]],tblInherentImpacts30[],5,FALSE)</f>
        <v>0</v>
      </c>
      <c r="S116" s="24" t="str">
        <f>IFERROR(MAX(tblRiskRegister32[[#This Row],[Impact to Mission]:[Impact to Obligations]])*tblRiskRegister32[[#This Row],[Expectancy Score]],"")</f>
        <v/>
      </c>
      <c r="T116" s="24" t="str">
        <f>tblRiskRegister32[[#This Row],[Risk Score]]</f>
        <v/>
      </c>
      <c r="U116" s="86"/>
      <c r="V116" s="86">
        <v>15.2</v>
      </c>
      <c r="W116" s="15" t="s">
        <v>196</v>
      </c>
      <c r="X116" s="15" t="s">
        <v>412</v>
      </c>
      <c r="Y116" s="26"/>
      <c r="Z116" s="16"/>
      <c r="AA116" s="23" t="str">
        <f>IFERROR(VLOOKUP(10*tblRiskRegister32[[#This Row],[Risk Treatment Safeguard Maturity Score]]+tblRiskRegister32[[#This Row],[VCDB Index]],tblHITIndexWeightTable[],4,FALSE),"")</f>
        <v/>
      </c>
      <c r="AB116" s="23">
        <f>VLOOKUP(tblRiskRegister32[[#This Row],[Asset Class]],tblInherentImpacts30[],2,FALSE)</f>
        <v>0</v>
      </c>
      <c r="AC116" s="23">
        <f>VLOOKUP(tblRiskRegister32[[#This Row],[Asset Class]],tblInherentImpacts30[],3,FALSE)</f>
        <v>0</v>
      </c>
      <c r="AD116" s="23">
        <f>VLOOKUP(tblRiskRegister32[[#This Row],[Asset Class]],tblInherentImpacts30[],4,FALSE)</f>
        <v>0</v>
      </c>
      <c r="AE116" s="23">
        <f>VLOOKUP(tblRiskRegister32[[#This Row],[Asset Class]],tblInherentImpacts30[],5,FALSE)</f>
        <v>0</v>
      </c>
      <c r="AF116" s="23" t="str">
        <f>IFERROR(MAX(tblRiskRegister32[[#This Row],[Risk Treatment Safeguard Impact to Mission]:[Risk Treatment Safeguard Impact to Obligations]])*tblRiskRegister32[[#This Row],[Risk Treatment
Safeguard Expectancy Score]],"")</f>
        <v/>
      </c>
      <c r="AG116" s="23" t="str">
        <f>IF(tblRiskRegister32[[#This Row],[Risk Score]]&gt;=AcceptableRisk,IF(tblRiskRegister32[[#This Row],[Risk Treatment Safeguard Risk Score]]&lt;AcceptableRisk, IF(tblRiskRegister32[[#This Row],[Risk Treatment Safeguard Risk Score]]&lt;tblRiskRegister32[[#This Row],[Risk Score]],"Yes","No"),"No"),"Yes")</f>
        <v>No</v>
      </c>
      <c r="AH116" s="17"/>
      <c r="AI116" s="17"/>
      <c r="AJ116" s="18"/>
    </row>
    <row r="117" spans="2:36" ht="70">
      <c r="B117" s="220" t="s">
        <v>93</v>
      </c>
      <c r="C117" s="15"/>
      <c r="D117" s="86">
        <v>15.3</v>
      </c>
      <c r="E117" s="14" t="s">
        <v>197</v>
      </c>
      <c r="F117" s="13"/>
      <c r="G117" s="13" t="s">
        <v>429</v>
      </c>
      <c r="H117" s="13" t="s">
        <v>532</v>
      </c>
      <c r="I117" s="15"/>
      <c r="J117" s="15"/>
      <c r="K117" s="15"/>
      <c r="L117" s="16"/>
      <c r="M117" s="24">
        <f>IFERROR(VLOOKUP(tblRiskRegister32[[#This Row],[Asset Class]],tblVCDBIndex[],4,FALSE),"")</f>
        <v>2</v>
      </c>
      <c r="N117" s="24" t="str">
        <f>IFERROR(VLOOKUP(10*tblRiskRegister32[[#This Row],[Safeguard Maturity Score]]+tblRiskRegister32[[#This Row],[VCDB Index]],tblHITIndexWeightTable[],4,FALSE),"")</f>
        <v/>
      </c>
      <c r="O117" s="24">
        <f>VLOOKUP(tblRiskRegister32[[#This Row],[Asset Class]],tblInherentImpacts30[],2,FALSE)</f>
        <v>0</v>
      </c>
      <c r="P117" s="24">
        <f>VLOOKUP(tblRiskRegister32[[#This Row],[Asset Class]],tblInherentImpacts30[],3,FALSE)</f>
        <v>0</v>
      </c>
      <c r="Q117" s="24">
        <f>VLOOKUP(tblRiskRegister32[[#This Row],[Asset Class]],tblInherentImpacts30[],4,FALSE)</f>
        <v>0</v>
      </c>
      <c r="R117" s="24">
        <f>VLOOKUP(tblRiskRegister32[[#This Row],[Asset Class]],tblInherentImpacts30[],5,FALSE)</f>
        <v>0</v>
      </c>
      <c r="S117" s="24" t="str">
        <f>IFERROR(MAX(tblRiskRegister32[[#This Row],[Impact to Mission]:[Impact to Obligations]])*tblRiskRegister32[[#This Row],[Expectancy Score]],"")</f>
        <v/>
      </c>
      <c r="T117" s="24" t="str">
        <f>tblRiskRegister32[[#This Row],[Risk Score]]</f>
        <v/>
      </c>
      <c r="U117" s="86"/>
      <c r="V117" s="86">
        <v>15.3</v>
      </c>
      <c r="W117" s="15" t="s">
        <v>197</v>
      </c>
      <c r="X117" s="15" t="s">
        <v>413</v>
      </c>
      <c r="Y117" s="26"/>
      <c r="Z117" s="16"/>
      <c r="AA117" s="23" t="str">
        <f>IFERROR(VLOOKUP(10*tblRiskRegister32[[#This Row],[Risk Treatment Safeguard Maturity Score]]+tblRiskRegister32[[#This Row],[VCDB Index]],tblHITIndexWeightTable[],4,FALSE),"")</f>
        <v/>
      </c>
      <c r="AB117" s="23">
        <f>VLOOKUP(tblRiskRegister32[[#This Row],[Asset Class]],tblInherentImpacts30[],2,FALSE)</f>
        <v>0</v>
      </c>
      <c r="AC117" s="23">
        <f>VLOOKUP(tblRiskRegister32[[#This Row],[Asset Class]],tblInherentImpacts30[],3,FALSE)</f>
        <v>0</v>
      </c>
      <c r="AD117" s="23">
        <f>VLOOKUP(tblRiskRegister32[[#This Row],[Asset Class]],tblInherentImpacts30[],4,FALSE)</f>
        <v>0</v>
      </c>
      <c r="AE117" s="23">
        <f>VLOOKUP(tblRiskRegister32[[#This Row],[Asset Class]],tblInherentImpacts30[],5,FALSE)</f>
        <v>0</v>
      </c>
      <c r="AF117" s="23" t="str">
        <f>IFERROR(MAX(tblRiskRegister32[[#This Row],[Risk Treatment Safeguard Impact to Mission]:[Risk Treatment Safeguard Impact to Obligations]])*tblRiskRegister32[[#This Row],[Risk Treatment
Safeguard Expectancy Score]],"")</f>
        <v/>
      </c>
      <c r="AG117" s="23" t="str">
        <f>IF(tblRiskRegister32[[#This Row],[Risk Score]]&gt;=AcceptableRisk,IF(tblRiskRegister32[[#This Row],[Risk Treatment Safeguard Risk Score]]&lt;AcceptableRisk, IF(tblRiskRegister32[[#This Row],[Risk Treatment Safeguard Risk Score]]&lt;tblRiskRegister32[[#This Row],[Risk Score]],"Yes","No"),"No"),"Yes")</f>
        <v>No</v>
      </c>
      <c r="AH117" s="17"/>
      <c r="AI117" s="17"/>
      <c r="AJ117" s="18"/>
    </row>
    <row r="118" spans="2:36" ht="84">
      <c r="B118" s="220" t="s">
        <v>528</v>
      </c>
      <c r="C118" s="15"/>
      <c r="D118" s="86">
        <v>15.4</v>
      </c>
      <c r="E118" s="14" t="s">
        <v>198</v>
      </c>
      <c r="F118" s="13"/>
      <c r="G118" s="13" t="s">
        <v>429</v>
      </c>
      <c r="H118" s="13" t="s">
        <v>532</v>
      </c>
      <c r="I118" s="15"/>
      <c r="J118" s="15"/>
      <c r="K118" s="15"/>
      <c r="L118" s="16"/>
      <c r="M118" s="24">
        <f>IFERROR(VLOOKUP(tblRiskRegister32[[#This Row],[Asset Class]],tblVCDBIndex[],4,FALSE),"")</f>
        <v>2</v>
      </c>
      <c r="N118" s="24" t="str">
        <f>IFERROR(VLOOKUP(10*tblRiskRegister32[[#This Row],[Safeguard Maturity Score]]+tblRiskRegister32[[#This Row],[VCDB Index]],tblHITIndexWeightTable[],4,FALSE),"")</f>
        <v/>
      </c>
      <c r="O118" s="24">
        <f>VLOOKUP(tblRiskRegister32[[#This Row],[Asset Class]],tblInherentImpacts30[],2,FALSE)</f>
        <v>0</v>
      </c>
      <c r="P118" s="24">
        <f>VLOOKUP(tblRiskRegister32[[#This Row],[Asset Class]],tblInherentImpacts30[],3,FALSE)</f>
        <v>0</v>
      </c>
      <c r="Q118" s="24">
        <f>VLOOKUP(tblRiskRegister32[[#This Row],[Asset Class]],tblInherentImpacts30[],4,FALSE)</f>
        <v>0</v>
      </c>
      <c r="R118" s="24">
        <f>VLOOKUP(tblRiskRegister32[[#This Row],[Asset Class]],tblInherentImpacts30[],5,FALSE)</f>
        <v>0</v>
      </c>
      <c r="S118" s="24" t="str">
        <f>IFERROR(MAX(tblRiskRegister32[[#This Row],[Impact to Mission]:[Impact to Obligations]])*tblRiskRegister32[[#This Row],[Expectancy Score]],"")</f>
        <v/>
      </c>
      <c r="T118" s="24" t="str">
        <f>tblRiskRegister32[[#This Row],[Risk Score]]</f>
        <v/>
      </c>
      <c r="U118" s="86"/>
      <c r="V118" s="86">
        <v>15.4</v>
      </c>
      <c r="W118" s="15" t="s">
        <v>198</v>
      </c>
      <c r="X118" s="15" t="s">
        <v>414</v>
      </c>
      <c r="Y118" s="26"/>
      <c r="Z118" s="16"/>
      <c r="AA118" s="23" t="str">
        <f>IFERROR(VLOOKUP(10*tblRiskRegister32[[#This Row],[Risk Treatment Safeguard Maturity Score]]+tblRiskRegister32[[#This Row],[VCDB Index]],tblHITIndexWeightTable[],4,FALSE),"")</f>
        <v/>
      </c>
      <c r="AB118" s="23">
        <f>VLOOKUP(tblRiskRegister32[[#This Row],[Asset Class]],tblInherentImpacts30[],2,FALSE)</f>
        <v>0</v>
      </c>
      <c r="AC118" s="23">
        <f>VLOOKUP(tblRiskRegister32[[#This Row],[Asset Class]],tblInherentImpacts30[],3,FALSE)</f>
        <v>0</v>
      </c>
      <c r="AD118" s="23">
        <f>VLOOKUP(tblRiskRegister32[[#This Row],[Asset Class]],tblInherentImpacts30[],4,FALSE)</f>
        <v>0</v>
      </c>
      <c r="AE118" s="23">
        <f>VLOOKUP(tblRiskRegister32[[#This Row],[Asset Class]],tblInherentImpacts30[],5,FALSE)</f>
        <v>0</v>
      </c>
      <c r="AF118" s="23" t="str">
        <f>IFERROR(MAX(tblRiskRegister32[[#This Row],[Risk Treatment Safeguard Impact to Mission]:[Risk Treatment Safeguard Impact to Obligations]])*tblRiskRegister32[[#This Row],[Risk Treatment
Safeguard Expectancy Score]],"")</f>
        <v/>
      </c>
      <c r="AG118" s="23" t="str">
        <f>IF(tblRiskRegister32[[#This Row],[Risk Score]]&gt;=AcceptableRisk,IF(tblRiskRegister32[[#This Row],[Risk Treatment Safeguard Risk Score]]&lt;AcceptableRisk, IF(tblRiskRegister32[[#This Row],[Risk Treatment Safeguard Risk Score]]&lt;tblRiskRegister32[[#This Row],[Risk Score]],"Yes","No"),"No"),"Yes")</f>
        <v>No</v>
      </c>
      <c r="AH118" s="17"/>
      <c r="AI118" s="17"/>
      <c r="AJ118" s="18"/>
    </row>
    <row r="119" spans="2:36" ht="84">
      <c r="B119" s="220" t="s">
        <v>528</v>
      </c>
      <c r="C119" s="15"/>
      <c r="D119" s="86">
        <v>16.100000000000001</v>
      </c>
      <c r="E119" s="14" t="s">
        <v>165</v>
      </c>
      <c r="F119" s="13"/>
      <c r="G119" s="13" t="s">
        <v>429</v>
      </c>
      <c r="H119" s="13" t="s">
        <v>532</v>
      </c>
      <c r="I119" s="15"/>
      <c r="J119" s="15"/>
      <c r="K119" s="15"/>
      <c r="L119" s="16"/>
      <c r="M119" s="24">
        <f>IFERROR(VLOOKUP(tblRiskRegister32[[#This Row],[Asset Class]],tblVCDBIndex[],4,FALSE),"")</f>
        <v>2</v>
      </c>
      <c r="N119" s="24" t="str">
        <f>IFERROR(VLOOKUP(10*tblRiskRegister32[[#This Row],[Safeguard Maturity Score]]+tblRiskRegister32[[#This Row],[VCDB Index]],tblHITIndexWeightTable[],4,FALSE),"")</f>
        <v/>
      </c>
      <c r="O119" s="24">
        <f>VLOOKUP(tblRiskRegister32[[#This Row],[Asset Class]],tblInherentImpacts30[],2,FALSE)</f>
        <v>0</v>
      </c>
      <c r="P119" s="24">
        <f>VLOOKUP(tblRiskRegister32[[#This Row],[Asset Class]],tblInherentImpacts30[],3,FALSE)</f>
        <v>0</v>
      </c>
      <c r="Q119" s="24">
        <f>VLOOKUP(tblRiskRegister32[[#This Row],[Asset Class]],tblInherentImpacts30[],4,FALSE)</f>
        <v>0</v>
      </c>
      <c r="R119" s="24">
        <f>VLOOKUP(tblRiskRegister32[[#This Row],[Asset Class]],tblInherentImpacts30[],5,FALSE)</f>
        <v>0</v>
      </c>
      <c r="S119" s="24" t="str">
        <f>IFERROR(MAX(tblRiskRegister32[[#This Row],[Impact to Mission]:[Impact to Obligations]])*tblRiskRegister32[[#This Row],[Expectancy Score]],"")</f>
        <v/>
      </c>
      <c r="T119" s="24" t="str">
        <f>tblRiskRegister32[[#This Row],[Risk Score]]</f>
        <v/>
      </c>
      <c r="U119" s="86"/>
      <c r="V119" s="86">
        <v>16.100000000000001</v>
      </c>
      <c r="W119" s="15" t="s">
        <v>165</v>
      </c>
      <c r="X119" s="15" t="s">
        <v>415</v>
      </c>
      <c r="Y119" s="15"/>
      <c r="Z119" s="16"/>
      <c r="AA119" s="23" t="str">
        <f>IFERROR(VLOOKUP(10*tblRiskRegister32[[#This Row],[Risk Treatment Safeguard Maturity Score]]+tblRiskRegister32[[#This Row],[VCDB Index]],tblHITIndexWeightTable[],4,FALSE),"")</f>
        <v/>
      </c>
      <c r="AB119" s="23">
        <f>VLOOKUP(tblRiskRegister32[[#This Row],[Asset Class]],tblInherentImpacts30[],2,FALSE)</f>
        <v>0</v>
      </c>
      <c r="AC119" s="23">
        <f>VLOOKUP(tblRiskRegister32[[#This Row],[Asset Class]],tblInherentImpacts30[],3,FALSE)</f>
        <v>0</v>
      </c>
      <c r="AD119" s="23">
        <f>VLOOKUP(tblRiskRegister32[[#This Row],[Asset Class]],tblInherentImpacts30[],4,FALSE)</f>
        <v>0</v>
      </c>
      <c r="AE119" s="23">
        <f>VLOOKUP(tblRiskRegister32[[#This Row],[Asset Class]],tblInherentImpacts30[],5,FALSE)</f>
        <v>0</v>
      </c>
      <c r="AF119" s="23" t="str">
        <f>IFERROR(MAX(tblRiskRegister32[[#This Row],[Risk Treatment Safeguard Impact to Mission]:[Risk Treatment Safeguard Impact to Obligations]])*tblRiskRegister32[[#This Row],[Risk Treatment
Safeguard Expectancy Score]],"")</f>
        <v/>
      </c>
      <c r="AG119" s="23" t="str">
        <f>IF(tblRiskRegister32[[#This Row],[Risk Score]]&gt;=AcceptableRisk,IF(tblRiskRegister32[[#This Row],[Risk Treatment Safeguard Risk Score]]&lt;AcceptableRisk, IF(tblRiskRegister32[[#This Row],[Risk Treatment Safeguard Risk Score]]&lt;tblRiskRegister32[[#This Row],[Risk Score]],"Yes","No"),"No"),"Yes")</f>
        <v>No</v>
      </c>
      <c r="AH119" s="17"/>
      <c r="AI119" s="17"/>
      <c r="AJ119" s="18"/>
    </row>
    <row r="120" spans="2:36" ht="168">
      <c r="B120" s="220" t="s">
        <v>528</v>
      </c>
      <c r="C120" s="15"/>
      <c r="D120" s="86">
        <v>16.2</v>
      </c>
      <c r="E120" s="14" t="s">
        <v>166</v>
      </c>
      <c r="F120" s="13"/>
      <c r="G120" s="13" t="s">
        <v>429</v>
      </c>
      <c r="H120" s="13" t="s">
        <v>532</v>
      </c>
      <c r="I120" s="15"/>
      <c r="J120" s="15"/>
      <c r="K120" s="15"/>
      <c r="L120" s="16"/>
      <c r="M120" s="24">
        <f>IFERROR(VLOOKUP(tblRiskRegister32[[#This Row],[Asset Class]],tblVCDBIndex[],4,FALSE),"")</f>
        <v>2</v>
      </c>
      <c r="N120" s="24" t="str">
        <f>IFERROR(VLOOKUP(10*tblRiskRegister32[[#This Row],[Safeguard Maturity Score]]+tblRiskRegister32[[#This Row],[VCDB Index]],tblHITIndexWeightTable[],4,FALSE),"")</f>
        <v/>
      </c>
      <c r="O120" s="24">
        <f>VLOOKUP(tblRiskRegister32[[#This Row],[Asset Class]],tblInherentImpacts30[],2,FALSE)</f>
        <v>0</v>
      </c>
      <c r="P120" s="24">
        <f>VLOOKUP(tblRiskRegister32[[#This Row],[Asset Class]],tblInherentImpacts30[],3,FALSE)</f>
        <v>0</v>
      </c>
      <c r="Q120" s="24">
        <f>VLOOKUP(tblRiskRegister32[[#This Row],[Asset Class]],tblInherentImpacts30[],4,FALSE)</f>
        <v>0</v>
      </c>
      <c r="R120" s="24">
        <f>VLOOKUP(tblRiskRegister32[[#This Row],[Asset Class]],tblInherentImpacts30[],5,FALSE)</f>
        <v>0</v>
      </c>
      <c r="S120" s="24" t="str">
        <f>IFERROR(MAX(tblRiskRegister32[[#This Row],[Impact to Mission]:[Impact to Obligations]])*tblRiskRegister32[[#This Row],[Expectancy Score]],"")</f>
        <v/>
      </c>
      <c r="T120" s="24" t="str">
        <f>tblRiskRegister32[[#This Row],[Risk Score]]</f>
        <v/>
      </c>
      <c r="U120" s="86"/>
      <c r="V120" s="86">
        <v>16.2</v>
      </c>
      <c r="W120" s="15" t="s">
        <v>166</v>
      </c>
      <c r="X120" s="15" t="s">
        <v>559</v>
      </c>
      <c r="Y120" s="15"/>
      <c r="Z120" s="16"/>
      <c r="AA120" s="23" t="str">
        <f>IFERROR(VLOOKUP(10*tblRiskRegister32[[#This Row],[Risk Treatment Safeguard Maturity Score]]+tblRiskRegister32[[#This Row],[VCDB Index]],tblHITIndexWeightTable[],4,FALSE),"")</f>
        <v/>
      </c>
      <c r="AB120" s="23">
        <f>VLOOKUP(tblRiskRegister32[[#This Row],[Asset Class]],tblInherentImpacts30[],2,FALSE)</f>
        <v>0</v>
      </c>
      <c r="AC120" s="23">
        <f>VLOOKUP(tblRiskRegister32[[#This Row],[Asset Class]],tblInherentImpacts30[],3,FALSE)</f>
        <v>0</v>
      </c>
      <c r="AD120" s="23">
        <f>VLOOKUP(tblRiskRegister32[[#This Row],[Asset Class]],tblInherentImpacts30[],4,FALSE)</f>
        <v>0</v>
      </c>
      <c r="AE120" s="23">
        <f>VLOOKUP(tblRiskRegister32[[#This Row],[Asset Class]],tblInherentImpacts30[],5,FALSE)</f>
        <v>0</v>
      </c>
      <c r="AF120" s="23" t="str">
        <f>IFERROR(MAX(tblRiskRegister32[[#This Row],[Risk Treatment Safeguard Impact to Mission]:[Risk Treatment Safeguard Impact to Obligations]])*tblRiskRegister32[[#This Row],[Risk Treatment
Safeguard Expectancy Score]],"")</f>
        <v/>
      </c>
      <c r="AG120" s="23" t="str">
        <f>IF(tblRiskRegister32[[#This Row],[Risk Score]]&gt;=AcceptableRisk,IF(tblRiskRegister32[[#This Row],[Risk Treatment Safeguard Risk Score]]&lt;AcceptableRisk, IF(tblRiskRegister32[[#This Row],[Risk Treatment Safeguard Risk Score]]&lt;tblRiskRegister32[[#This Row],[Risk Score]],"Yes","No"),"No"),"Yes")</f>
        <v>No</v>
      </c>
      <c r="AH120" s="17"/>
      <c r="AI120" s="17"/>
      <c r="AJ120" s="18"/>
    </row>
    <row r="121" spans="2:36" ht="56">
      <c r="B121" s="220" t="s">
        <v>527</v>
      </c>
      <c r="C121" s="15"/>
      <c r="D121" s="86">
        <v>16.3</v>
      </c>
      <c r="E121" s="14" t="s">
        <v>167</v>
      </c>
      <c r="F121" s="13"/>
      <c r="G121" s="13" t="s">
        <v>429</v>
      </c>
      <c r="H121" s="13" t="s">
        <v>524</v>
      </c>
      <c r="I121" s="15"/>
      <c r="J121" s="15"/>
      <c r="K121" s="15"/>
      <c r="L121" s="16"/>
      <c r="M121" s="24">
        <f>IFERROR(VLOOKUP(tblRiskRegister32[[#This Row],[Asset Class]],tblVCDBIndex[],4,FALSE),"")</f>
        <v>2</v>
      </c>
      <c r="N121" s="24" t="str">
        <f>IFERROR(VLOOKUP(10*tblRiskRegister32[[#This Row],[Safeguard Maturity Score]]+tblRiskRegister32[[#This Row],[VCDB Index]],tblHITIndexWeightTable[],4,FALSE),"")</f>
        <v/>
      </c>
      <c r="O121" s="24">
        <f>VLOOKUP(tblRiskRegister32[[#This Row],[Asset Class]],tblInherentImpacts30[],2,FALSE)</f>
        <v>0</v>
      </c>
      <c r="P121" s="24">
        <f>VLOOKUP(tblRiskRegister32[[#This Row],[Asset Class]],tblInherentImpacts30[],3,FALSE)</f>
        <v>0</v>
      </c>
      <c r="Q121" s="24">
        <f>VLOOKUP(tblRiskRegister32[[#This Row],[Asset Class]],tblInherentImpacts30[],4,FALSE)</f>
        <v>0</v>
      </c>
      <c r="R121" s="24">
        <f>VLOOKUP(tblRiskRegister32[[#This Row],[Asset Class]],tblInherentImpacts30[],5,FALSE)</f>
        <v>0</v>
      </c>
      <c r="S121" s="24" t="str">
        <f>IFERROR(MAX(tblRiskRegister32[[#This Row],[Impact to Mission]:[Impact to Obligations]])*tblRiskRegister32[[#This Row],[Expectancy Score]],"")</f>
        <v/>
      </c>
      <c r="T121" s="24" t="str">
        <f>tblRiskRegister32[[#This Row],[Risk Score]]</f>
        <v/>
      </c>
      <c r="U121" s="86"/>
      <c r="V121" s="86">
        <v>16.3</v>
      </c>
      <c r="W121" s="15" t="s">
        <v>167</v>
      </c>
      <c r="X121" s="15" t="s">
        <v>416</v>
      </c>
      <c r="Y121" s="15"/>
      <c r="Z121" s="16"/>
      <c r="AA121" s="23" t="str">
        <f>IFERROR(VLOOKUP(10*tblRiskRegister32[[#This Row],[Risk Treatment Safeguard Maturity Score]]+tblRiskRegister32[[#This Row],[VCDB Index]],tblHITIndexWeightTable[],4,FALSE),"")</f>
        <v/>
      </c>
      <c r="AB121" s="23">
        <f>VLOOKUP(tblRiskRegister32[[#This Row],[Asset Class]],tblInherentImpacts30[],2,FALSE)</f>
        <v>0</v>
      </c>
      <c r="AC121" s="23">
        <f>VLOOKUP(tblRiskRegister32[[#This Row],[Asset Class]],tblInherentImpacts30[],3,FALSE)</f>
        <v>0</v>
      </c>
      <c r="AD121" s="23">
        <f>VLOOKUP(tblRiskRegister32[[#This Row],[Asset Class]],tblInherentImpacts30[],4,FALSE)</f>
        <v>0</v>
      </c>
      <c r="AE121" s="23">
        <f>VLOOKUP(tblRiskRegister32[[#This Row],[Asset Class]],tblInherentImpacts30[],5,FALSE)</f>
        <v>0</v>
      </c>
      <c r="AF121" s="23" t="str">
        <f>IFERROR(MAX(tblRiskRegister32[[#This Row],[Risk Treatment Safeguard Impact to Mission]:[Risk Treatment Safeguard Impact to Obligations]])*tblRiskRegister32[[#This Row],[Risk Treatment
Safeguard Expectancy Score]],"")</f>
        <v/>
      </c>
      <c r="AG121" s="23" t="str">
        <f>IF(tblRiskRegister32[[#This Row],[Risk Score]]&gt;=AcceptableRisk,IF(tblRiskRegister32[[#This Row],[Risk Treatment Safeguard Risk Score]]&lt;AcceptableRisk, IF(tblRiskRegister32[[#This Row],[Risk Treatment Safeguard Risk Score]]&lt;tblRiskRegister32[[#This Row],[Risk Score]],"Yes","No"),"No"),"Yes")</f>
        <v>No</v>
      </c>
      <c r="AH121" s="17"/>
      <c r="AI121" s="17"/>
      <c r="AJ121" s="18"/>
    </row>
    <row r="122" spans="2:36" ht="70">
      <c r="B122" s="220" t="s">
        <v>527</v>
      </c>
      <c r="C122" s="15"/>
      <c r="D122" s="86">
        <v>16.399999999999999</v>
      </c>
      <c r="E122" s="14" t="s">
        <v>231</v>
      </c>
      <c r="F122" s="13"/>
      <c r="G122" s="13" t="s">
        <v>429</v>
      </c>
      <c r="H122" s="13" t="s">
        <v>521</v>
      </c>
      <c r="I122" s="15"/>
      <c r="J122" s="15"/>
      <c r="K122" s="15"/>
      <c r="L122" s="16"/>
      <c r="M122" s="24">
        <f>IFERROR(VLOOKUP(tblRiskRegister32[[#This Row],[Asset Class]],tblVCDBIndex[],4,FALSE),"")</f>
        <v>2</v>
      </c>
      <c r="N122" s="24" t="str">
        <f>IFERROR(VLOOKUP(10*tblRiskRegister32[[#This Row],[Safeguard Maturity Score]]+tblRiskRegister32[[#This Row],[VCDB Index]],tblHITIndexWeightTable[],4,FALSE),"")</f>
        <v/>
      </c>
      <c r="O122" s="24">
        <f>VLOOKUP(tblRiskRegister32[[#This Row],[Asset Class]],tblInherentImpacts30[],2,FALSE)</f>
        <v>0</v>
      </c>
      <c r="P122" s="24">
        <f>VLOOKUP(tblRiskRegister32[[#This Row],[Asset Class]],tblInherentImpacts30[],3,FALSE)</f>
        <v>0</v>
      </c>
      <c r="Q122" s="24">
        <f>VLOOKUP(tblRiskRegister32[[#This Row],[Asset Class]],tblInherentImpacts30[],4,FALSE)</f>
        <v>0</v>
      </c>
      <c r="R122" s="24">
        <f>VLOOKUP(tblRiskRegister32[[#This Row],[Asset Class]],tblInherentImpacts30[],5,FALSE)</f>
        <v>0</v>
      </c>
      <c r="S122" s="24" t="str">
        <f>IFERROR(MAX(tblRiskRegister32[[#This Row],[Impact to Mission]:[Impact to Obligations]])*tblRiskRegister32[[#This Row],[Expectancy Score]],"")</f>
        <v/>
      </c>
      <c r="T122" s="24" t="str">
        <f>tblRiskRegister32[[#This Row],[Risk Score]]</f>
        <v/>
      </c>
      <c r="U122" s="86"/>
      <c r="V122" s="86">
        <v>16.399999999999999</v>
      </c>
      <c r="W122" s="15" t="s">
        <v>231</v>
      </c>
      <c r="X122" s="15" t="s">
        <v>417</v>
      </c>
      <c r="Y122" s="15"/>
      <c r="Z122" s="16"/>
      <c r="AA122" s="23" t="str">
        <f>IFERROR(VLOOKUP(10*tblRiskRegister32[[#This Row],[Risk Treatment Safeguard Maturity Score]]+tblRiskRegister32[[#This Row],[VCDB Index]],tblHITIndexWeightTable[],4,FALSE),"")</f>
        <v/>
      </c>
      <c r="AB122" s="23">
        <f>VLOOKUP(tblRiskRegister32[[#This Row],[Asset Class]],tblInherentImpacts30[],2,FALSE)</f>
        <v>0</v>
      </c>
      <c r="AC122" s="23">
        <f>VLOOKUP(tblRiskRegister32[[#This Row],[Asset Class]],tblInherentImpacts30[],3,FALSE)</f>
        <v>0</v>
      </c>
      <c r="AD122" s="23">
        <f>VLOOKUP(tblRiskRegister32[[#This Row],[Asset Class]],tblInherentImpacts30[],4,FALSE)</f>
        <v>0</v>
      </c>
      <c r="AE122" s="23">
        <f>VLOOKUP(tblRiskRegister32[[#This Row],[Asset Class]],tblInherentImpacts30[],5,FALSE)</f>
        <v>0</v>
      </c>
      <c r="AF122" s="23" t="str">
        <f>IFERROR(MAX(tblRiskRegister32[[#This Row],[Risk Treatment Safeguard Impact to Mission]:[Risk Treatment Safeguard Impact to Obligations]])*tblRiskRegister32[[#This Row],[Risk Treatment
Safeguard Expectancy Score]],"")</f>
        <v/>
      </c>
      <c r="AG122" s="23" t="str">
        <f>IF(tblRiskRegister32[[#This Row],[Risk Score]]&gt;=AcceptableRisk,IF(tblRiskRegister32[[#This Row],[Risk Treatment Safeguard Risk Score]]&lt;AcceptableRisk, IF(tblRiskRegister32[[#This Row],[Risk Treatment Safeguard Risk Score]]&lt;tblRiskRegister32[[#This Row],[Risk Score]],"Yes","No"),"No"),"Yes")</f>
        <v>No</v>
      </c>
      <c r="AH122" s="17"/>
      <c r="AI122" s="17"/>
      <c r="AJ122" s="18"/>
    </row>
    <row r="123" spans="2:36" ht="56">
      <c r="B123" s="220" t="s">
        <v>527</v>
      </c>
      <c r="C123" s="15"/>
      <c r="D123" s="86">
        <v>16.5</v>
      </c>
      <c r="E123" s="14" t="s">
        <v>168</v>
      </c>
      <c r="F123" s="13"/>
      <c r="G123" s="13" t="s">
        <v>429</v>
      </c>
      <c r="H123" s="13" t="s">
        <v>523</v>
      </c>
      <c r="I123" s="15"/>
      <c r="J123" s="15"/>
      <c r="K123" s="15"/>
      <c r="L123" s="16"/>
      <c r="M123" s="24">
        <f>IFERROR(VLOOKUP(tblRiskRegister32[[#This Row],[Asset Class]],tblVCDBIndex[],4,FALSE),"")</f>
        <v>2</v>
      </c>
      <c r="N123" s="24" t="str">
        <f>IFERROR(VLOOKUP(10*tblRiskRegister32[[#This Row],[Safeguard Maturity Score]]+tblRiskRegister32[[#This Row],[VCDB Index]],tblHITIndexWeightTable[],4,FALSE),"")</f>
        <v/>
      </c>
      <c r="O123" s="24">
        <f>VLOOKUP(tblRiskRegister32[[#This Row],[Asset Class]],tblInherentImpacts30[],2,FALSE)</f>
        <v>0</v>
      </c>
      <c r="P123" s="24">
        <f>VLOOKUP(tblRiskRegister32[[#This Row],[Asset Class]],tblInherentImpacts30[],3,FALSE)</f>
        <v>0</v>
      </c>
      <c r="Q123" s="24">
        <f>VLOOKUP(tblRiskRegister32[[#This Row],[Asset Class]],tblInherentImpacts30[],4,FALSE)</f>
        <v>0</v>
      </c>
      <c r="R123" s="24">
        <f>VLOOKUP(tblRiskRegister32[[#This Row],[Asset Class]],tblInherentImpacts30[],5,FALSE)</f>
        <v>0</v>
      </c>
      <c r="S123" s="24" t="str">
        <f>IFERROR(MAX(tblRiskRegister32[[#This Row],[Impact to Mission]:[Impact to Obligations]])*tblRiskRegister32[[#This Row],[Expectancy Score]],"")</f>
        <v/>
      </c>
      <c r="T123" s="24" t="str">
        <f>tblRiskRegister32[[#This Row],[Risk Score]]</f>
        <v/>
      </c>
      <c r="U123" s="86"/>
      <c r="V123" s="86">
        <v>16.5</v>
      </c>
      <c r="W123" s="15" t="s">
        <v>168</v>
      </c>
      <c r="X123" s="15" t="s">
        <v>418</v>
      </c>
      <c r="Y123" s="15"/>
      <c r="Z123" s="16"/>
      <c r="AA123" s="23" t="str">
        <f>IFERROR(VLOOKUP(10*tblRiskRegister32[[#This Row],[Risk Treatment Safeguard Maturity Score]]+tblRiskRegister32[[#This Row],[VCDB Index]],tblHITIndexWeightTable[],4,FALSE),"")</f>
        <v/>
      </c>
      <c r="AB123" s="23">
        <f>VLOOKUP(tblRiskRegister32[[#This Row],[Asset Class]],tblInherentImpacts30[],2,FALSE)</f>
        <v>0</v>
      </c>
      <c r="AC123" s="23">
        <f>VLOOKUP(tblRiskRegister32[[#This Row],[Asset Class]],tblInherentImpacts30[],3,FALSE)</f>
        <v>0</v>
      </c>
      <c r="AD123" s="23">
        <f>VLOOKUP(tblRiskRegister32[[#This Row],[Asset Class]],tblInherentImpacts30[],4,FALSE)</f>
        <v>0</v>
      </c>
      <c r="AE123" s="23">
        <f>VLOOKUP(tblRiskRegister32[[#This Row],[Asset Class]],tblInherentImpacts30[],5,FALSE)</f>
        <v>0</v>
      </c>
      <c r="AF123" s="23" t="str">
        <f>IFERROR(MAX(tblRiskRegister32[[#This Row],[Risk Treatment Safeguard Impact to Mission]:[Risk Treatment Safeguard Impact to Obligations]])*tblRiskRegister32[[#This Row],[Risk Treatment
Safeguard Expectancy Score]],"")</f>
        <v/>
      </c>
      <c r="AG123" s="23" t="str">
        <f>IF(tblRiskRegister32[[#This Row],[Risk Score]]&gt;=AcceptableRisk,IF(tblRiskRegister32[[#This Row],[Risk Treatment Safeguard Risk Score]]&lt;AcceptableRisk, IF(tblRiskRegister32[[#This Row],[Risk Treatment Safeguard Risk Score]]&lt;tblRiskRegister32[[#This Row],[Risk Score]],"Yes","No"),"No"),"Yes")</f>
        <v>No</v>
      </c>
      <c r="AH123" s="17"/>
      <c r="AI123" s="17"/>
      <c r="AJ123" s="18"/>
    </row>
    <row r="124" spans="2:36" ht="84">
      <c r="B124" s="220" t="s">
        <v>528</v>
      </c>
      <c r="C124" s="15"/>
      <c r="D124" s="86">
        <v>16.600000000000001</v>
      </c>
      <c r="E124" s="14" t="s">
        <v>169</v>
      </c>
      <c r="F124" s="13"/>
      <c r="G124" s="13" t="s">
        <v>429</v>
      </c>
      <c r="H124" s="13" t="s">
        <v>532</v>
      </c>
      <c r="I124" s="15"/>
      <c r="J124" s="15"/>
      <c r="K124" s="15"/>
      <c r="L124" s="16"/>
      <c r="M124" s="24">
        <f>IFERROR(VLOOKUP(tblRiskRegister32[[#This Row],[Asset Class]],tblVCDBIndex[],4,FALSE),"")</f>
        <v>2</v>
      </c>
      <c r="N124" s="24" t="str">
        <f>IFERROR(VLOOKUP(10*tblRiskRegister32[[#This Row],[Safeguard Maturity Score]]+tblRiskRegister32[[#This Row],[VCDB Index]],tblHITIndexWeightTable[],4,FALSE),"")</f>
        <v/>
      </c>
      <c r="O124" s="24">
        <f>VLOOKUP(tblRiskRegister32[[#This Row],[Asset Class]],tblInherentImpacts30[],2,FALSE)</f>
        <v>0</v>
      </c>
      <c r="P124" s="24">
        <f>VLOOKUP(tblRiskRegister32[[#This Row],[Asset Class]],tblInherentImpacts30[],3,FALSE)</f>
        <v>0</v>
      </c>
      <c r="Q124" s="24">
        <f>VLOOKUP(tblRiskRegister32[[#This Row],[Asset Class]],tblInherentImpacts30[],4,FALSE)</f>
        <v>0</v>
      </c>
      <c r="R124" s="24">
        <f>VLOOKUP(tblRiskRegister32[[#This Row],[Asset Class]],tblInherentImpacts30[],5,FALSE)</f>
        <v>0</v>
      </c>
      <c r="S124" s="24" t="str">
        <f>IFERROR(MAX(tblRiskRegister32[[#This Row],[Impact to Mission]:[Impact to Obligations]])*tblRiskRegister32[[#This Row],[Expectancy Score]],"")</f>
        <v/>
      </c>
      <c r="T124" s="24" t="str">
        <f>tblRiskRegister32[[#This Row],[Risk Score]]</f>
        <v/>
      </c>
      <c r="U124" s="86"/>
      <c r="V124" s="86">
        <v>16.600000000000001</v>
      </c>
      <c r="W124" s="15" t="s">
        <v>169</v>
      </c>
      <c r="X124" s="15" t="s">
        <v>419</v>
      </c>
      <c r="Y124" s="15"/>
      <c r="Z124" s="16"/>
      <c r="AA124" s="23" t="str">
        <f>IFERROR(VLOOKUP(10*tblRiskRegister32[[#This Row],[Risk Treatment Safeguard Maturity Score]]+tblRiskRegister32[[#This Row],[VCDB Index]],tblHITIndexWeightTable[],4,FALSE),"")</f>
        <v/>
      </c>
      <c r="AB124" s="23">
        <f>VLOOKUP(tblRiskRegister32[[#This Row],[Asset Class]],tblInherentImpacts30[],2,FALSE)</f>
        <v>0</v>
      </c>
      <c r="AC124" s="23">
        <f>VLOOKUP(tblRiskRegister32[[#This Row],[Asset Class]],tblInherentImpacts30[],3,FALSE)</f>
        <v>0</v>
      </c>
      <c r="AD124" s="23">
        <f>VLOOKUP(tblRiskRegister32[[#This Row],[Asset Class]],tblInherentImpacts30[],4,FALSE)</f>
        <v>0</v>
      </c>
      <c r="AE124" s="23">
        <f>VLOOKUP(tblRiskRegister32[[#This Row],[Asset Class]],tblInherentImpacts30[],5,FALSE)</f>
        <v>0</v>
      </c>
      <c r="AF124" s="23" t="str">
        <f>IFERROR(MAX(tblRiskRegister32[[#This Row],[Risk Treatment Safeguard Impact to Mission]:[Risk Treatment Safeguard Impact to Obligations]])*tblRiskRegister32[[#This Row],[Risk Treatment
Safeguard Expectancy Score]],"")</f>
        <v/>
      </c>
      <c r="AG124" s="23" t="str">
        <f>IF(tblRiskRegister32[[#This Row],[Risk Score]]&gt;=AcceptableRisk,IF(tblRiskRegister32[[#This Row],[Risk Treatment Safeguard Risk Score]]&lt;AcceptableRisk, IF(tblRiskRegister32[[#This Row],[Risk Treatment Safeguard Risk Score]]&lt;tblRiskRegister32[[#This Row],[Risk Score]],"Yes","No"),"No"),"Yes")</f>
        <v>No</v>
      </c>
      <c r="AH124" s="17"/>
      <c r="AI124" s="17"/>
      <c r="AJ124" s="18"/>
    </row>
    <row r="125" spans="2:36" ht="70">
      <c r="B125" s="220" t="s">
        <v>527</v>
      </c>
      <c r="C125" s="15"/>
      <c r="D125" s="86">
        <v>16.7</v>
      </c>
      <c r="E125" s="14" t="s">
        <v>170</v>
      </c>
      <c r="F125" s="13"/>
      <c r="G125" s="13" t="s">
        <v>429</v>
      </c>
      <c r="H125" s="13" t="s">
        <v>523</v>
      </c>
      <c r="I125" s="15"/>
      <c r="J125" s="15"/>
      <c r="K125" s="15"/>
      <c r="L125" s="16"/>
      <c r="M125" s="24">
        <f>IFERROR(VLOOKUP(tblRiskRegister32[[#This Row],[Asset Class]],tblVCDBIndex[],4,FALSE),"")</f>
        <v>2</v>
      </c>
      <c r="N125" s="24" t="str">
        <f>IFERROR(VLOOKUP(10*tblRiskRegister32[[#This Row],[Safeguard Maturity Score]]+tblRiskRegister32[[#This Row],[VCDB Index]],tblHITIndexWeightTable[],4,FALSE),"")</f>
        <v/>
      </c>
      <c r="O125" s="24">
        <f>VLOOKUP(tblRiskRegister32[[#This Row],[Asset Class]],tblInherentImpacts30[],2,FALSE)</f>
        <v>0</v>
      </c>
      <c r="P125" s="24">
        <f>VLOOKUP(tblRiskRegister32[[#This Row],[Asset Class]],tblInherentImpacts30[],3,FALSE)</f>
        <v>0</v>
      </c>
      <c r="Q125" s="24">
        <f>VLOOKUP(tblRiskRegister32[[#This Row],[Asset Class]],tblInherentImpacts30[],4,FALSE)</f>
        <v>0</v>
      </c>
      <c r="R125" s="24">
        <f>VLOOKUP(tblRiskRegister32[[#This Row],[Asset Class]],tblInherentImpacts30[],5,FALSE)</f>
        <v>0</v>
      </c>
      <c r="S125" s="24" t="str">
        <f>IFERROR(MAX(tblRiskRegister32[[#This Row],[Impact to Mission]:[Impact to Obligations]])*tblRiskRegister32[[#This Row],[Expectancy Score]],"")</f>
        <v/>
      </c>
      <c r="T125" s="24" t="str">
        <f>tblRiskRegister32[[#This Row],[Risk Score]]</f>
        <v/>
      </c>
      <c r="U125" s="86"/>
      <c r="V125" s="86">
        <v>16.7</v>
      </c>
      <c r="W125" s="15" t="s">
        <v>170</v>
      </c>
      <c r="X125" s="15" t="s">
        <v>420</v>
      </c>
      <c r="Y125" s="15"/>
      <c r="Z125" s="16"/>
      <c r="AA125" s="23" t="str">
        <f>IFERROR(VLOOKUP(10*tblRiskRegister32[[#This Row],[Risk Treatment Safeguard Maturity Score]]+tblRiskRegister32[[#This Row],[VCDB Index]],tblHITIndexWeightTable[],4,FALSE),"")</f>
        <v/>
      </c>
      <c r="AB125" s="23">
        <f>VLOOKUP(tblRiskRegister32[[#This Row],[Asset Class]],tblInherentImpacts30[],2,FALSE)</f>
        <v>0</v>
      </c>
      <c r="AC125" s="23">
        <f>VLOOKUP(tblRiskRegister32[[#This Row],[Asset Class]],tblInherentImpacts30[],3,FALSE)</f>
        <v>0</v>
      </c>
      <c r="AD125" s="23">
        <f>VLOOKUP(tblRiskRegister32[[#This Row],[Asset Class]],tblInherentImpacts30[],4,FALSE)</f>
        <v>0</v>
      </c>
      <c r="AE125" s="23">
        <f>VLOOKUP(tblRiskRegister32[[#This Row],[Asset Class]],tblInherentImpacts30[],5,FALSE)</f>
        <v>0</v>
      </c>
      <c r="AF125" s="23" t="str">
        <f>IFERROR(MAX(tblRiskRegister32[[#This Row],[Risk Treatment Safeguard Impact to Mission]:[Risk Treatment Safeguard Impact to Obligations]])*tblRiskRegister32[[#This Row],[Risk Treatment
Safeguard Expectancy Score]],"")</f>
        <v/>
      </c>
      <c r="AG125" s="23" t="str">
        <f>IF(tblRiskRegister32[[#This Row],[Risk Score]]&gt;=AcceptableRisk,IF(tblRiskRegister32[[#This Row],[Risk Treatment Safeguard Risk Score]]&lt;AcceptableRisk, IF(tblRiskRegister32[[#This Row],[Risk Treatment Safeguard Risk Score]]&lt;tblRiskRegister32[[#This Row],[Risk Score]],"Yes","No"),"No"),"Yes")</f>
        <v>No</v>
      </c>
      <c r="AH125" s="17"/>
      <c r="AI125" s="17"/>
      <c r="AJ125" s="18"/>
    </row>
    <row r="126" spans="2:36" ht="28">
      <c r="B126" s="220" t="s">
        <v>92</v>
      </c>
      <c r="C126" s="15"/>
      <c r="D126" s="86">
        <v>16.8</v>
      </c>
      <c r="E126" s="14" t="s">
        <v>171</v>
      </c>
      <c r="F126" s="13"/>
      <c r="G126" s="13" t="s">
        <v>429</v>
      </c>
      <c r="H126" s="13" t="s">
        <v>523</v>
      </c>
      <c r="I126" s="15"/>
      <c r="J126" s="15"/>
      <c r="K126" s="15"/>
      <c r="L126" s="16"/>
      <c r="M126" s="24">
        <f>IFERROR(VLOOKUP(tblRiskRegister32[[#This Row],[Asset Class]],tblVCDBIndex[],4,FALSE),"")</f>
        <v>1</v>
      </c>
      <c r="N126" s="24" t="str">
        <f>IFERROR(VLOOKUP(10*tblRiskRegister32[[#This Row],[Safeguard Maturity Score]]+tblRiskRegister32[[#This Row],[VCDB Index]],tblHITIndexWeightTable[],4,FALSE),"")</f>
        <v/>
      </c>
      <c r="O126" s="24">
        <f>VLOOKUP(tblRiskRegister32[[#This Row],[Asset Class]],tblInherentImpacts30[],2,FALSE)</f>
        <v>0</v>
      </c>
      <c r="P126" s="24">
        <f>VLOOKUP(tblRiskRegister32[[#This Row],[Asset Class]],tblInherentImpacts30[],3,FALSE)</f>
        <v>0</v>
      </c>
      <c r="Q126" s="24">
        <f>VLOOKUP(tblRiskRegister32[[#This Row],[Asset Class]],tblInherentImpacts30[],4,FALSE)</f>
        <v>0</v>
      </c>
      <c r="R126" s="24">
        <f>VLOOKUP(tblRiskRegister32[[#This Row],[Asset Class]],tblInherentImpacts30[],5,FALSE)</f>
        <v>0</v>
      </c>
      <c r="S126" s="24" t="str">
        <f>IFERROR(MAX(tblRiskRegister32[[#This Row],[Impact to Mission]:[Impact to Obligations]])*tblRiskRegister32[[#This Row],[Expectancy Score]],"")</f>
        <v/>
      </c>
      <c r="T126" s="24" t="str">
        <f>tblRiskRegister32[[#This Row],[Risk Score]]</f>
        <v/>
      </c>
      <c r="U126" s="86"/>
      <c r="V126" s="86">
        <v>16.8</v>
      </c>
      <c r="W126" s="15" t="s">
        <v>171</v>
      </c>
      <c r="X126" s="15" t="s">
        <v>421</v>
      </c>
      <c r="Y126" s="15"/>
      <c r="Z126" s="16"/>
      <c r="AA126" s="23" t="str">
        <f>IFERROR(VLOOKUP(10*tblRiskRegister32[[#This Row],[Risk Treatment Safeguard Maturity Score]]+tblRiskRegister32[[#This Row],[VCDB Index]],tblHITIndexWeightTable[],4,FALSE),"")</f>
        <v/>
      </c>
      <c r="AB126" s="23">
        <f>VLOOKUP(tblRiskRegister32[[#This Row],[Asset Class]],tblInherentImpacts30[],2,FALSE)</f>
        <v>0</v>
      </c>
      <c r="AC126" s="23">
        <f>VLOOKUP(tblRiskRegister32[[#This Row],[Asset Class]],tblInherentImpacts30[],3,FALSE)</f>
        <v>0</v>
      </c>
      <c r="AD126" s="23">
        <f>VLOOKUP(tblRiskRegister32[[#This Row],[Asset Class]],tblInherentImpacts30[],4,FALSE)</f>
        <v>0</v>
      </c>
      <c r="AE126" s="23">
        <f>VLOOKUP(tblRiskRegister32[[#This Row],[Asset Class]],tblInherentImpacts30[],5,FALSE)</f>
        <v>0</v>
      </c>
      <c r="AF126" s="23" t="str">
        <f>IFERROR(MAX(tblRiskRegister32[[#This Row],[Risk Treatment Safeguard Impact to Mission]:[Risk Treatment Safeguard Impact to Obligations]])*tblRiskRegister32[[#This Row],[Risk Treatment
Safeguard Expectancy Score]],"")</f>
        <v/>
      </c>
      <c r="AG126" s="23" t="str">
        <f>IF(tblRiskRegister32[[#This Row],[Risk Score]]&gt;=AcceptableRisk,IF(tblRiskRegister32[[#This Row],[Risk Treatment Safeguard Risk Score]]&lt;AcceptableRisk, IF(tblRiskRegister32[[#This Row],[Risk Treatment Safeguard Risk Score]]&lt;tblRiskRegister32[[#This Row],[Risk Score]],"Yes","No"),"No"),"Yes")</f>
        <v>No</v>
      </c>
      <c r="AH126" s="17"/>
      <c r="AI126" s="17"/>
      <c r="AJ126" s="18"/>
    </row>
    <row r="127" spans="2:36" ht="70">
      <c r="B127" s="220" t="s">
        <v>93</v>
      </c>
      <c r="C127" s="15"/>
      <c r="D127" s="86">
        <v>16.899999999999999</v>
      </c>
      <c r="E127" s="14" t="s">
        <v>172</v>
      </c>
      <c r="F127" s="13"/>
      <c r="G127" s="13" t="s">
        <v>429</v>
      </c>
      <c r="H127" s="13" t="s">
        <v>523</v>
      </c>
      <c r="I127" s="15"/>
      <c r="J127" s="15"/>
      <c r="K127" s="15"/>
      <c r="L127" s="16"/>
      <c r="M127" s="24">
        <f>IFERROR(VLOOKUP(tblRiskRegister32[[#This Row],[Asset Class]],tblVCDBIndex[],4,FALSE),"")</f>
        <v>2</v>
      </c>
      <c r="N127" s="24" t="str">
        <f>IFERROR(VLOOKUP(10*tblRiskRegister32[[#This Row],[Safeguard Maturity Score]]+tblRiskRegister32[[#This Row],[VCDB Index]],tblHITIndexWeightTable[],4,FALSE),"")</f>
        <v/>
      </c>
      <c r="O127" s="24">
        <f>VLOOKUP(tblRiskRegister32[[#This Row],[Asset Class]],tblInherentImpacts30[],2,FALSE)</f>
        <v>0</v>
      </c>
      <c r="P127" s="24">
        <f>VLOOKUP(tblRiskRegister32[[#This Row],[Asset Class]],tblInherentImpacts30[],3,FALSE)</f>
        <v>0</v>
      </c>
      <c r="Q127" s="24">
        <f>VLOOKUP(tblRiskRegister32[[#This Row],[Asset Class]],tblInherentImpacts30[],4,FALSE)</f>
        <v>0</v>
      </c>
      <c r="R127" s="24">
        <f>VLOOKUP(tblRiskRegister32[[#This Row],[Asset Class]],tblInherentImpacts30[],5,FALSE)</f>
        <v>0</v>
      </c>
      <c r="S127" s="24" t="str">
        <f>IFERROR(MAX(tblRiskRegister32[[#This Row],[Impact to Mission]:[Impact to Obligations]])*tblRiskRegister32[[#This Row],[Expectancy Score]],"")</f>
        <v/>
      </c>
      <c r="T127" s="24" t="str">
        <f>tblRiskRegister32[[#This Row],[Risk Score]]</f>
        <v/>
      </c>
      <c r="U127" s="86"/>
      <c r="V127" s="86">
        <v>16.899999999999999</v>
      </c>
      <c r="W127" s="15" t="s">
        <v>172</v>
      </c>
      <c r="X127" s="15" t="s">
        <v>422</v>
      </c>
      <c r="Y127" s="15"/>
      <c r="Z127" s="16"/>
      <c r="AA127" s="23" t="str">
        <f>IFERROR(VLOOKUP(10*tblRiskRegister32[[#This Row],[Risk Treatment Safeguard Maturity Score]]+tblRiskRegister32[[#This Row],[VCDB Index]],tblHITIndexWeightTable[],4,FALSE),"")</f>
        <v/>
      </c>
      <c r="AB127" s="23">
        <f>VLOOKUP(tblRiskRegister32[[#This Row],[Asset Class]],tblInherentImpacts30[],2,FALSE)</f>
        <v>0</v>
      </c>
      <c r="AC127" s="23">
        <f>VLOOKUP(tblRiskRegister32[[#This Row],[Asset Class]],tblInherentImpacts30[],3,FALSE)</f>
        <v>0</v>
      </c>
      <c r="AD127" s="23">
        <f>VLOOKUP(tblRiskRegister32[[#This Row],[Asset Class]],tblInherentImpacts30[],4,FALSE)</f>
        <v>0</v>
      </c>
      <c r="AE127" s="23">
        <f>VLOOKUP(tblRiskRegister32[[#This Row],[Asset Class]],tblInherentImpacts30[],5,FALSE)</f>
        <v>0</v>
      </c>
      <c r="AF127" s="23" t="str">
        <f>IFERROR(MAX(tblRiskRegister32[[#This Row],[Risk Treatment Safeguard Impact to Mission]:[Risk Treatment Safeguard Impact to Obligations]])*tblRiskRegister32[[#This Row],[Risk Treatment
Safeguard Expectancy Score]],"")</f>
        <v/>
      </c>
      <c r="AG127" s="23" t="str">
        <f>IF(tblRiskRegister32[[#This Row],[Risk Score]]&gt;=AcceptableRisk,IF(tblRiskRegister32[[#This Row],[Risk Treatment Safeguard Risk Score]]&lt;AcceptableRisk, IF(tblRiskRegister32[[#This Row],[Risk Treatment Safeguard Risk Score]]&lt;tblRiskRegister32[[#This Row],[Risk Score]],"Yes","No"),"No"),"Yes")</f>
        <v>No</v>
      </c>
      <c r="AH127" s="17"/>
      <c r="AI127" s="17"/>
      <c r="AJ127" s="18"/>
    </row>
    <row r="128" spans="2:36" ht="112">
      <c r="B128" s="220" t="s">
        <v>527</v>
      </c>
      <c r="C128" s="15"/>
      <c r="D128" s="219">
        <v>16.100000000000001</v>
      </c>
      <c r="E128" s="14" t="s">
        <v>173</v>
      </c>
      <c r="F128" s="13"/>
      <c r="G128" s="13" t="s">
        <v>429</v>
      </c>
      <c r="H128" s="13" t="s">
        <v>523</v>
      </c>
      <c r="I128" s="15"/>
      <c r="J128" s="15"/>
      <c r="K128" s="15"/>
      <c r="L128" s="16"/>
      <c r="M128" s="24">
        <f>IFERROR(VLOOKUP(tblRiskRegister32[[#This Row],[Asset Class]],tblVCDBIndex[],4,FALSE),"")</f>
        <v>2</v>
      </c>
      <c r="N128" s="24" t="str">
        <f>IFERROR(VLOOKUP(10*tblRiskRegister32[[#This Row],[Safeguard Maturity Score]]+tblRiskRegister32[[#This Row],[VCDB Index]],tblHITIndexWeightTable[],4,FALSE),"")</f>
        <v/>
      </c>
      <c r="O128" s="24">
        <f>VLOOKUP(tblRiskRegister32[[#This Row],[Asset Class]],tblInherentImpacts30[],2,FALSE)</f>
        <v>0</v>
      </c>
      <c r="P128" s="24">
        <f>VLOOKUP(tblRiskRegister32[[#This Row],[Asset Class]],tblInherentImpacts30[],3,FALSE)</f>
        <v>0</v>
      </c>
      <c r="Q128" s="24">
        <f>VLOOKUP(tblRiskRegister32[[#This Row],[Asset Class]],tblInherentImpacts30[],4,FALSE)</f>
        <v>0</v>
      </c>
      <c r="R128" s="24">
        <f>VLOOKUP(tblRiskRegister32[[#This Row],[Asset Class]],tblInherentImpacts30[],5,FALSE)</f>
        <v>0</v>
      </c>
      <c r="S128" s="24" t="str">
        <f>IFERROR(MAX(tblRiskRegister32[[#This Row],[Impact to Mission]:[Impact to Obligations]])*tblRiskRegister32[[#This Row],[Expectancy Score]],"")</f>
        <v/>
      </c>
      <c r="T128" s="24" t="str">
        <f>tblRiskRegister32[[#This Row],[Risk Score]]</f>
        <v/>
      </c>
      <c r="U128" s="86"/>
      <c r="V128" s="219">
        <v>16.100000000000001</v>
      </c>
      <c r="W128" s="15" t="s">
        <v>173</v>
      </c>
      <c r="X128" s="15" t="s">
        <v>423</v>
      </c>
      <c r="Y128" s="15"/>
      <c r="Z128" s="16"/>
      <c r="AA128" s="23" t="str">
        <f>IFERROR(VLOOKUP(10*tblRiskRegister32[[#This Row],[Risk Treatment Safeguard Maturity Score]]+tblRiskRegister32[[#This Row],[VCDB Index]],tblHITIndexWeightTable[],4,FALSE),"")</f>
        <v/>
      </c>
      <c r="AB128" s="23">
        <f>VLOOKUP(tblRiskRegister32[[#This Row],[Asset Class]],tblInherentImpacts30[],2,FALSE)</f>
        <v>0</v>
      </c>
      <c r="AC128" s="23">
        <f>VLOOKUP(tblRiskRegister32[[#This Row],[Asset Class]],tblInherentImpacts30[],3,FALSE)</f>
        <v>0</v>
      </c>
      <c r="AD128" s="23">
        <f>VLOOKUP(tblRiskRegister32[[#This Row],[Asset Class]],tblInherentImpacts30[],4,FALSE)</f>
        <v>0</v>
      </c>
      <c r="AE128" s="23">
        <f>VLOOKUP(tblRiskRegister32[[#This Row],[Asset Class]],tblInherentImpacts30[],5,FALSE)</f>
        <v>0</v>
      </c>
      <c r="AF128" s="23" t="str">
        <f>IFERROR(MAX(tblRiskRegister32[[#This Row],[Risk Treatment Safeguard Impact to Mission]:[Risk Treatment Safeguard Impact to Obligations]])*tblRiskRegister32[[#This Row],[Risk Treatment
Safeguard Expectancy Score]],"")</f>
        <v/>
      </c>
      <c r="AG128" s="23" t="str">
        <f>IF(tblRiskRegister32[[#This Row],[Risk Score]]&gt;=AcceptableRisk,IF(tblRiskRegister32[[#This Row],[Risk Treatment Safeguard Risk Score]]&lt;AcceptableRisk, IF(tblRiskRegister32[[#This Row],[Risk Treatment Safeguard Risk Score]]&lt;tblRiskRegister32[[#This Row],[Risk Score]],"Yes","No"),"No"),"Yes")</f>
        <v>No</v>
      </c>
      <c r="AH128" s="17"/>
      <c r="AI128" s="17"/>
      <c r="AJ128" s="18"/>
    </row>
    <row r="129" spans="2:36" ht="112">
      <c r="B129" s="220" t="s">
        <v>527</v>
      </c>
      <c r="C129" s="15"/>
      <c r="D129" s="86">
        <v>16.11</v>
      </c>
      <c r="E129" s="14" t="s">
        <v>174</v>
      </c>
      <c r="F129" s="13"/>
      <c r="G129" s="13" t="s">
        <v>429</v>
      </c>
      <c r="H129" s="13" t="s">
        <v>523</v>
      </c>
      <c r="I129" s="15"/>
      <c r="J129" s="15"/>
      <c r="K129" s="15"/>
      <c r="L129" s="16"/>
      <c r="M129" s="24">
        <f>IFERROR(VLOOKUP(tblRiskRegister32[[#This Row],[Asset Class]],tblVCDBIndex[],4,FALSE),"")</f>
        <v>2</v>
      </c>
      <c r="N129" s="24" t="str">
        <f>IFERROR(VLOOKUP(10*tblRiskRegister32[[#This Row],[Safeguard Maturity Score]]+tblRiskRegister32[[#This Row],[VCDB Index]],tblHITIndexWeightTable[],4,FALSE),"")</f>
        <v/>
      </c>
      <c r="O129" s="24">
        <f>VLOOKUP(tblRiskRegister32[[#This Row],[Asset Class]],tblInherentImpacts30[],2,FALSE)</f>
        <v>0</v>
      </c>
      <c r="P129" s="24">
        <f>VLOOKUP(tblRiskRegister32[[#This Row],[Asset Class]],tblInherentImpacts30[],3,FALSE)</f>
        <v>0</v>
      </c>
      <c r="Q129" s="24">
        <f>VLOOKUP(tblRiskRegister32[[#This Row],[Asset Class]],tblInherentImpacts30[],4,FALSE)</f>
        <v>0</v>
      </c>
      <c r="R129" s="24">
        <f>VLOOKUP(tblRiskRegister32[[#This Row],[Asset Class]],tblInherentImpacts30[],5,FALSE)</f>
        <v>0</v>
      </c>
      <c r="S129" s="24" t="str">
        <f>IFERROR(MAX(tblRiskRegister32[[#This Row],[Impact to Mission]:[Impact to Obligations]])*tblRiskRegister32[[#This Row],[Expectancy Score]],"")</f>
        <v/>
      </c>
      <c r="T129" s="24" t="str">
        <f>tblRiskRegister32[[#This Row],[Risk Score]]</f>
        <v/>
      </c>
      <c r="U129" s="86"/>
      <c r="V129" s="86">
        <v>16.11</v>
      </c>
      <c r="W129" s="15" t="s">
        <v>174</v>
      </c>
      <c r="X129" s="15" t="s">
        <v>560</v>
      </c>
      <c r="Y129" s="15"/>
      <c r="Z129" s="16"/>
      <c r="AA129" s="23" t="str">
        <f>IFERROR(VLOOKUP(10*tblRiskRegister32[[#This Row],[Risk Treatment Safeguard Maturity Score]]+tblRiskRegister32[[#This Row],[VCDB Index]],tblHITIndexWeightTable[],4,FALSE),"")</f>
        <v/>
      </c>
      <c r="AB129" s="23">
        <f>VLOOKUP(tblRiskRegister32[[#This Row],[Asset Class]],tblInherentImpacts30[],2,FALSE)</f>
        <v>0</v>
      </c>
      <c r="AC129" s="23">
        <f>VLOOKUP(tblRiskRegister32[[#This Row],[Asset Class]],tblInherentImpacts30[],3,FALSE)</f>
        <v>0</v>
      </c>
      <c r="AD129" s="23">
        <f>VLOOKUP(tblRiskRegister32[[#This Row],[Asset Class]],tblInherentImpacts30[],4,FALSE)</f>
        <v>0</v>
      </c>
      <c r="AE129" s="23">
        <f>VLOOKUP(tblRiskRegister32[[#This Row],[Asset Class]],tblInherentImpacts30[],5,FALSE)</f>
        <v>0</v>
      </c>
      <c r="AF129" s="23" t="str">
        <f>IFERROR(MAX(tblRiskRegister32[[#This Row],[Risk Treatment Safeguard Impact to Mission]:[Risk Treatment Safeguard Impact to Obligations]])*tblRiskRegister32[[#This Row],[Risk Treatment
Safeguard Expectancy Score]],"")</f>
        <v/>
      </c>
      <c r="AG129" s="23" t="str">
        <f>IF(tblRiskRegister32[[#This Row],[Risk Score]]&gt;=AcceptableRisk,IF(tblRiskRegister32[[#This Row],[Risk Treatment Safeguard Risk Score]]&lt;AcceptableRisk, IF(tblRiskRegister32[[#This Row],[Risk Treatment Safeguard Risk Score]]&lt;tblRiskRegister32[[#This Row],[Risk Score]],"Yes","No"),"No"),"Yes")</f>
        <v>No</v>
      </c>
      <c r="AH129" s="17"/>
      <c r="AI129" s="17"/>
      <c r="AJ129" s="18"/>
    </row>
    <row r="130" spans="2:36" ht="98">
      <c r="B130" s="220" t="s">
        <v>93</v>
      </c>
      <c r="C130" s="15"/>
      <c r="D130" s="86">
        <v>17.100000000000001</v>
      </c>
      <c r="E130" s="14" t="s">
        <v>87</v>
      </c>
      <c r="F130" s="13" t="s">
        <v>429</v>
      </c>
      <c r="G130" s="13" t="s">
        <v>429</v>
      </c>
      <c r="H130" s="13" t="s">
        <v>522</v>
      </c>
      <c r="I130" s="15"/>
      <c r="J130" s="15"/>
      <c r="K130" s="15"/>
      <c r="L130" s="16"/>
      <c r="M130" s="24">
        <f>IFERROR(VLOOKUP(tblRiskRegister32[[#This Row],[Asset Class]],tblVCDBIndex[],4,FALSE),"")</f>
        <v>2</v>
      </c>
      <c r="N130" s="24" t="str">
        <f>IFERROR(VLOOKUP(10*tblRiskRegister32[[#This Row],[Safeguard Maturity Score]]+tblRiskRegister32[[#This Row],[VCDB Index]],tblHITIndexWeightTable[],4,FALSE),"")</f>
        <v/>
      </c>
      <c r="O130" s="24">
        <f>VLOOKUP(tblRiskRegister32[[#This Row],[Asset Class]],tblInherentImpacts30[],2,FALSE)</f>
        <v>0</v>
      </c>
      <c r="P130" s="24">
        <f>VLOOKUP(tblRiskRegister32[[#This Row],[Asset Class]],tblInherentImpacts30[],3,FALSE)</f>
        <v>0</v>
      </c>
      <c r="Q130" s="24">
        <f>VLOOKUP(tblRiskRegister32[[#This Row],[Asset Class]],tblInherentImpacts30[],4,FALSE)</f>
        <v>0</v>
      </c>
      <c r="R130" s="24">
        <f>VLOOKUP(tblRiskRegister32[[#This Row],[Asset Class]],tblInherentImpacts30[],5,FALSE)</f>
        <v>0</v>
      </c>
      <c r="S130" s="24" t="str">
        <f>IFERROR(MAX(tblRiskRegister32[[#This Row],[Impact to Mission]:[Impact to Obligations]])*tblRiskRegister32[[#This Row],[Expectancy Score]],"")</f>
        <v/>
      </c>
      <c r="T130" s="24" t="str">
        <f>tblRiskRegister32[[#This Row],[Risk Score]]</f>
        <v/>
      </c>
      <c r="U130" s="86"/>
      <c r="V130" s="86">
        <v>17.100000000000001</v>
      </c>
      <c r="W130" s="15" t="s">
        <v>87</v>
      </c>
      <c r="X130" s="15" t="s">
        <v>561</v>
      </c>
      <c r="Y130" s="26"/>
      <c r="Z130" s="16"/>
      <c r="AA130" s="23" t="str">
        <f>IFERROR(VLOOKUP(10*tblRiskRegister32[[#This Row],[Risk Treatment Safeguard Maturity Score]]+tblRiskRegister32[[#This Row],[VCDB Index]],tblHITIndexWeightTable[],4,FALSE),"")</f>
        <v/>
      </c>
      <c r="AB130" s="23">
        <f>VLOOKUP(tblRiskRegister32[[#This Row],[Asset Class]],tblInherentImpacts30[],2,FALSE)</f>
        <v>0</v>
      </c>
      <c r="AC130" s="23">
        <f>VLOOKUP(tblRiskRegister32[[#This Row],[Asset Class]],tblInherentImpacts30[],3,FALSE)</f>
        <v>0</v>
      </c>
      <c r="AD130" s="23">
        <f>VLOOKUP(tblRiskRegister32[[#This Row],[Asset Class]],tblInherentImpacts30[],4,FALSE)</f>
        <v>0</v>
      </c>
      <c r="AE130" s="23">
        <f>VLOOKUP(tblRiskRegister32[[#This Row],[Asset Class]],tblInherentImpacts30[],5,FALSE)</f>
        <v>0</v>
      </c>
      <c r="AF130" s="23" t="str">
        <f>IFERROR(MAX(tblRiskRegister32[[#This Row],[Risk Treatment Safeguard Impact to Mission]:[Risk Treatment Safeguard Impact to Obligations]])*tblRiskRegister32[[#This Row],[Risk Treatment
Safeguard Expectancy Score]],"")</f>
        <v/>
      </c>
      <c r="AG130" s="23" t="str">
        <f>IF(tblRiskRegister32[[#This Row],[Risk Score]]&gt;=AcceptableRisk,IF(tblRiskRegister32[[#This Row],[Risk Treatment Safeguard Risk Score]]&lt;AcceptableRisk, IF(tblRiskRegister32[[#This Row],[Risk Treatment Safeguard Risk Score]]&lt;tblRiskRegister32[[#This Row],[Risk Score]],"Yes","No"),"No"),"Yes")</f>
        <v>No</v>
      </c>
      <c r="AH130" s="17"/>
      <c r="AI130" s="17"/>
      <c r="AJ130" s="18"/>
    </row>
    <row r="131" spans="2:36" ht="70">
      <c r="B131" s="220" t="s">
        <v>528</v>
      </c>
      <c r="C131" s="15"/>
      <c r="D131" s="86">
        <v>17.2</v>
      </c>
      <c r="E131" s="14" t="s">
        <v>88</v>
      </c>
      <c r="F131" s="13" t="s">
        <v>429</v>
      </c>
      <c r="G131" s="13" t="s">
        <v>429</v>
      </c>
      <c r="H131" s="13" t="s">
        <v>532</v>
      </c>
      <c r="I131" s="15"/>
      <c r="J131" s="15"/>
      <c r="K131" s="15"/>
      <c r="L131" s="16"/>
      <c r="M131" s="24">
        <f>IFERROR(VLOOKUP(tblRiskRegister32[[#This Row],[Asset Class]],tblVCDBIndex[],4,FALSE),"")</f>
        <v>2</v>
      </c>
      <c r="N131" s="24" t="str">
        <f>IFERROR(VLOOKUP(10*tblRiskRegister32[[#This Row],[Safeguard Maturity Score]]+tblRiskRegister32[[#This Row],[VCDB Index]],tblHITIndexWeightTable[],4,FALSE),"")</f>
        <v/>
      </c>
      <c r="O131" s="24">
        <f>VLOOKUP(tblRiskRegister32[[#This Row],[Asset Class]],tblInherentImpacts30[],2,FALSE)</f>
        <v>0</v>
      </c>
      <c r="P131" s="24">
        <f>VLOOKUP(tblRiskRegister32[[#This Row],[Asset Class]],tblInherentImpacts30[],3,FALSE)</f>
        <v>0</v>
      </c>
      <c r="Q131" s="24">
        <f>VLOOKUP(tblRiskRegister32[[#This Row],[Asset Class]],tblInherentImpacts30[],4,FALSE)</f>
        <v>0</v>
      </c>
      <c r="R131" s="24">
        <f>VLOOKUP(tblRiskRegister32[[#This Row],[Asset Class]],tblInherentImpacts30[],5,FALSE)</f>
        <v>0</v>
      </c>
      <c r="S131" s="24" t="str">
        <f>IFERROR(MAX(tblRiskRegister32[[#This Row],[Impact to Mission]:[Impact to Obligations]])*tblRiskRegister32[[#This Row],[Expectancy Score]],"")</f>
        <v/>
      </c>
      <c r="T131" s="24" t="str">
        <f>tblRiskRegister32[[#This Row],[Risk Score]]</f>
        <v/>
      </c>
      <c r="U131" s="86"/>
      <c r="V131" s="86">
        <v>17.2</v>
      </c>
      <c r="W131" s="15" t="s">
        <v>88</v>
      </c>
      <c r="X131" s="15" t="s">
        <v>562</v>
      </c>
      <c r="Y131" s="26"/>
      <c r="Z131" s="16"/>
      <c r="AA131" s="23" t="str">
        <f>IFERROR(VLOOKUP(10*tblRiskRegister32[[#This Row],[Risk Treatment Safeguard Maturity Score]]+tblRiskRegister32[[#This Row],[VCDB Index]],tblHITIndexWeightTable[],4,FALSE),"")</f>
        <v/>
      </c>
      <c r="AB131" s="23">
        <f>VLOOKUP(tblRiskRegister32[[#This Row],[Asset Class]],tblInherentImpacts30[],2,FALSE)</f>
        <v>0</v>
      </c>
      <c r="AC131" s="23">
        <f>VLOOKUP(tblRiskRegister32[[#This Row],[Asset Class]],tblInherentImpacts30[],3,FALSE)</f>
        <v>0</v>
      </c>
      <c r="AD131" s="23">
        <f>VLOOKUP(tblRiskRegister32[[#This Row],[Asset Class]],tblInherentImpacts30[],4,FALSE)</f>
        <v>0</v>
      </c>
      <c r="AE131" s="23">
        <f>VLOOKUP(tblRiskRegister32[[#This Row],[Asset Class]],tblInherentImpacts30[],5,FALSE)</f>
        <v>0</v>
      </c>
      <c r="AF131" s="23" t="str">
        <f>IFERROR(MAX(tblRiskRegister32[[#This Row],[Risk Treatment Safeguard Impact to Mission]:[Risk Treatment Safeguard Impact to Obligations]])*tblRiskRegister32[[#This Row],[Risk Treatment
Safeguard Expectancy Score]],"")</f>
        <v/>
      </c>
      <c r="AG131" s="23" t="str">
        <f>IF(tblRiskRegister32[[#This Row],[Risk Score]]&gt;=AcceptableRisk,IF(tblRiskRegister32[[#This Row],[Risk Treatment Safeguard Risk Score]]&lt;AcceptableRisk, IF(tblRiskRegister32[[#This Row],[Risk Treatment Safeguard Risk Score]]&lt;tblRiskRegister32[[#This Row],[Risk Score]],"Yes","No"),"No"),"Yes")</f>
        <v>No</v>
      </c>
      <c r="AH131" s="17"/>
      <c r="AI131" s="17"/>
      <c r="AJ131" s="18"/>
    </row>
    <row r="132" spans="2:36" ht="70">
      <c r="B132" s="220" t="s">
        <v>528</v>
      </c>
      <c r="C132" s="15"/>
      <c r="D132" s="86">
        <v>17.3</v>
      </c>
      <c r="E132" s="14" t="s">
        <v>89</v>
      </c>
      <c r="F132" s="13" t="s">
        <v>429</v>
      </c>
      <c r="G132" s="13" t="s">
        <v>429</v>
      </c>
      <c r="H132" s="13" t="s">
        <v>532</v>
      </c>
      <c r="I132" s="15"/>
      <c r="J132" s="15"/>
      <c r="K132" s="15"/>
      <c r="L132" s="16"/>
      <c r="M132" s="24">
        <f>IFERROR(VLOOKUP(tblRiskRegister32[[#This Row],[Asset Class]],tblVCDBIndex[],4,FALSE),"")</f>
        <v>2</v>
      </c>
      <c r="N132" s="24" t="str">
        <f>IFERROR(VLOOKUP(10*tblRiskRegister32[[#This Row],[Safeguard Maturity Score]]+tblRiskRegister32[[#This Row],[VCDB Index]],tblHITIndexWeightTable[],4,FALSE),"")</f>
        <v/>
      </c>
      <c r="O132" s="24">
        <f>VLOOKUP(tblRiskRegister32[[#This Row],[Asset Class]],tblInherentImpacts30[],2,FALSE)</f>
        <v>0</v>
      </c>
      <c r="P132" s="24">
        <f>VLOOKUP(tblRiskRegister32[[#This Row],[Asset Class]],tblInherentImpacts30[],3,FALSE)</f>
        <v>0</v>
      </c>
      <c r="Q132" s="24">
        <f>VLOOKUP(tblRiskRegister32[[#This Row],[Asset Class]],tblInherentImpacts30[],4,FALSE)</f>
        <v>0</v>
      </c>
      <c r="R132" s="24">
        <f>VLOOKUP(tblRiskRegister32[[#This Row],[Asset Class]],tblInherentImpacts30[],5,FALSE)</f>
        <v>0</v>
      </c>
      <c r="S132" s="24" t="str">
        <f>IFERROR(MAX(tblRiskRegister32[[#This Row],[Impact to Mission]:[Impact to Obligations]])*tblRiskRegister32[[#This Row],[Expectancy Score]],"")</f>
        <v/>
      </c>
      <c r="T132" s="24" t="str">
        <f>tblRiskRegister32[[#This Row],[Risk Score]]</f>
        <v/>
      </c>
      <c r="U132" s="86"/>
      <c r="V132" s="86">
        <v>17.3</v>
      </c>
      <c r="W132" s="15" t="s">
        <v>89</v>
      </c>
      <c r="X132" s="15" t="s">
        <v>563</v>
      </c>
      <c r="Y132" s="26"/>
      <c r="Z132" s="16"/>
      <c r="AA132" s="23" t="str">
        <f>IFERROR(VLOOKUP(10*tblRiskRegister32[[#This Row],[Risk Treatment Safeguard Maturity Score]]+tblRiskRegister32[[#This Row],[VCDB Index]],tblHITIndexWeightTable[],4,FALSE),"")</f>
        <v/>
      </c>
      <c r="AB132" s="23">
        <f>VLOOKUP(tblRiskRegister32[[#This Row],[Asset Class]],tblInherentImpacts30[],2,FALSE)</f>
        <v>0</v>
      </c>
      <c r="AC132" s="23">
        <f>VLOOKUP(tblRiskRegister32[[#This Row],[Asset Class]],tblInherentImpacts30[],3,FALSE)</f>
        <v>0</v>
      </c>
      <c r="AD132" s="23">
        <f>VLOOKUP(tblRiskRegister32[[#This Row],[Asset Class]],tblInherentImpacts30[],4,FALSE)</f>
        <v>0</v>
      </c>
      <c r="AE132" s="23">
        <f>VLOOKUP(tblRiskRegister32[[#This Row],[Asset Class]],tblInherentImpacts30[],5,FALSE)</f>
        <v>0</v>
      </c>
      <c r="AF132" s="23" t="str">
        <f>IFERROR(MAX(tblRiskRegister32[[#This Row],[Risk Treatment Safeguard Impact to Mission]:[Risk Treatment Safeguard Impact to Obligations]])*tblRiskRegister32[[#This Row],[Risk Treatment
Safeguard Expectancy Score]],"")</f>
        <v/>
      </c>
      <c r="AG132" s="23" t="str">
        <f>IF(tblRiskRegister32[[#This Row],[Risk Score]]&gt;=AcceptableRisk,IF(tblRiskRegister32[[#This Row],[Risk Treatment Safeguard Risk Score]]&lt;AcceptableRisk, IF(tblRiskRegister32[[#This Row],[Risk Treatment Safeguard Risk Score]]&lt;tblRiskRegister32[[#This Row],[Risk Score]],"Yes","No"),"No"),"Yes")</f>
        <v>No</v>
      </c>
      <c r="AH132" s="17"/>
      <c r="AI132" s="17"/>
      <c r="AJ132" s="18"/>
    </row>
    <row r="133" spans="2:36" ht="56">
      <c r="B133" s="220" t="s">
        <v>528</v>
      </c>
      <c r="C133" s="15"/>
      <c r="D133" s="86">
        <v>17.399999999999999</v>
      </c>
      <c r="E133" s="14" t="s">
        <v>199</v>
      </c>
      <c r="F133" s="13"/>
      <c r="G133" s="13" t="s">
        <v>429</v>
      </c>
      <c r="H133" s="13" t="s">
        <v>532</v>
      </c>
      <c r="I133" s="15"/>
      <c r="J133" s="15"/>
      <c r="K133" s="15"/>
      <c r="L133" s="16"/>
      <c r="M133" s="24">
        <f>IFERROR(VLOOKUP(tblRiskRegister32[[#This Row],[Asset Class]],tblVCDBIndex[],4,FALSE),"")</f>
        <v>2</v>
      </c>
      <c r="N133" s="24" t="str">
        <f>IFERROR(VLOOKUP(10*tblRiskRegister32[[#This Row],[Safeguard Maturity Score]]+tblRiskRegister32[[#This Row],[VCDB Index]],tblHITIndexWeightTable[],4,FALSE),"")</f>
        <v/>
      </c>
      <c r="O133" s="24">
        <f>VLOOKUP(tblRiskRegister32[[#This Row],[Asset Class]],tblInherentImpacts30[],2,FALSE)</f>
        <v>0</v>
      </c>
      <c r="P133" s="24">
        <f>VLOOKUP(tblRiskRegister32[[#This Row],[Asset Class]],tblInherentImpacts30[],3,FALSE)</f>
        <v>0</v>
      </c>
      <c r="Q133" s="24">
        <f>VLOOKUP(tblRiskRegister32[[#This Row],[Asset Class]],tblInherentImpacts30[],4,FALSE)</f>
        <v>0</v>
      </c>
      <c r="R133" s="24">
        <f>VLOOKUP(tblRiskRegister32[[#This Row],[Asset Class]],tblInherentImpacts30[],5,FALSE)</f>
        <v>0</v>
      </c>
      <c r="S133" s="24" t="str">
        <f>IFERROR(MAX(tblRiskRegister32[[#This Row],[Impact to Mission]:[Impact to Obligations]])*tblRiskRegister32[[#This Row],[Expectancy Score]],"")</f>
        <v/>
      </c>
      <c r="T133" s="24" t="str">
        <f>tblRiskRegister32[[#This Row],[Risk Score]]</f>
        <v/>
      </c>
      <c r="U133" s="86"/>
      <c r="V133" s="86">
        <v>17.399999999999999</v>
      </c>
      <c r="W133" s="15" t="s">
        <v>199</v>
      </c>
      <c r="X133" s="15" t="s">
        <v>564</v>
      </c>
      <c r="Y133" s="26"/>
      <c r="Z133" s="16"/>
      <c r="AA133" s="23" t="str">
        <f>IFERROR(VLOOKUP(10*tblRiskRegister32[[#This Row],[Risk Treatment Safeguard Maturity Score]]+tblRiskRegister32[[#This Row],[VCDB Index]],tblHITIndexWeightTable[],4,FALSE),"")</f>
        <v/>
      </c>
      <c r="AB133" s="23">
        <f>VLOOKUP(tblRiskRegister32[[#This Row],[Asset Class]],tblInherentImpacts30[],2,FALSE)</f>
        <v>0</v>
      </c>
      <c r="AC133" s="23">
        <f>VLOOKUP(tblRiskRegister32[[#This Row],[Asset Class]],tblInherentImpacts30[],3,FALSE)</f>
        <v>0</v>
      </c>
      <c r="AD133" s="23">
        <f>VLOOKUP(tblRiskRegister32[[#This Row],[Asset Class]],tblInherentImpacts30[],4,FALSE)</f>
        <v>0</v>
      </c>
      <c r="AE133" s="23">
        <f>VLOOKUP(tblRiskRegister32[[#This Row],[Asset Class]],tblInherentImpacts30[],5,FALSE)</f>
        <v>0</v>
      </c>
      <c r="AF133" s="23" t="str">
        <f>IFERROR(MAX(tblRiskRegister32[[#This Row],[Risk Treatment Safeguard Impact to Mission]:[Risk Treatment Safeguard Impact to Obligations]])*tblRiskRegister32[[#This Row],[Risk Treatment
Safeguard Expectancy Score]],"")</f>
        <v/>
      </c>
      <c r="AG133" s="23" t="str">
        <f>IF(tblRiskRegister32[[#This Row],[Risk Score]]&gt;=AcceptableRisk,IF(tblRiskRegister32[[#This Row],[Risk Treatment Safeguard Risk Score]]&lt;AcceptableRisk, IF(tblRiskRegister32[[#This Row],[Risk Treatment Safeguard Risk Score]]&lt;tblRiskRegister32[[#This Row],[Risk Score]],"Yes","No"),"No"),"Yes")</f>
        <v>No</v>
      </c>
      <c r="AH133" s="17"/>
      <c r="AI133" s="17"/>
      <c r="AJ133" s="18"/>
    </row>
    <row r="134" spans="2:36" ht="56">
      <c r="B134" s="220" t="s">
        <v>93</v>
      </c>
      <c r="C134" s="15"/>
      <c r="D134" s="86">
        <v>17.5</v>
      </c>
      <c r="E134" s="14" t="s">
        <v>200</v>
      </c>
      <c r="F134" s="13"/>
      <c r="G134" s="13" t="s">
        <v>429</v>
      </c>
      <c r="H134" s="13" t="s">
        <v>522</v>
      </c>
      <c r="I134" s="15"/>
      <c r="J134" s="15"/>
      <c r="K134" s="15"/>
      <c r="L134" s="16"/>
      <c r="M134" s="24">
        <f>IFERROR(VLOOKUP(tblRiskRegister32[[#This Row],[Asset Class]],tblVCDBIndex[],4,FALSE),"")</f>
        <v>2</v>
      </c>
      <c r="N134" s="24" t="str">
        <f>IFERROR(VLOOKUP(10*tblRiskRegister32[[#This Row],[Safeguard Maturity Score]]+tblRiskRegister32[[#This Row],[VCDB Index]],tblHITIndexWeightTable[],4,FALSE),"")</f>
        <v/>
      </c>
      <c r="O134" s="24">
        <f>VLOOKUP(tblRiskRegister32[[#This Row],[Asset Class]],tblInherentImpacts30[],2,FALSE)</f>
        <v>0</v>
      </c>
      <c r="P134" s="24">
        <f>VLOOKUP(tblRiskRegister32[[#This Row],[Asset Class]],tblInherentImpacts30[],3,FALSE)</f>
        <v>0</v>
      </c>
      <c r="Q134" s="24">
        <f>VLOOKUP(tblRiskRegister32[[#This Row],[Asset Class]],tblInherentImpacts30[],4,FALSE)</f>
        <v>0</v>
      </c>
      <c r="R134" s="24">
        <f>VLOOKUP(tblRiskRegister32[[#This Row],[Asset Class]],tblInherentImpacts30[],5,FALSE)</f>
        <v>0</v>
      </c>
      <c r="S134" s="24" t="str">
        <f>IFERROR(MAX(tblRiskRegister32[[#This Row],[Impact to Mission]:[Impact to Obligations]])*tblRiskRegister32[[#This Row],[Expectancy Score]],"")</f>
        <v/>
      </c>
      <c r="T134" s="24" t="str">
        <f>tblRiskRegister32[[#This Row],[Risk Score]]</f>
        <v/>
      </c>
      <c r="U134" s="86"/>
      <c r="V134" s="86">
        <v>17.5</v>
      </c>
      <c r="W134" s="15" t="s">
        <v>200</v>
      </c>
      <c r="X134" s="15" t="s">
        <v>565</v>
      </c>
      <c r="Y134" s="26"/>
      <c r="Z134" s="16"/>
      <c r="AA134" s="23" t="str">
        <f>IFERROR(VLOOKUP(10*tblRiskRegister32[[#This Row],[Risk Treatment Safeguard Maturity Score]]+tblRiskRegister32[[#This Row],[VCDB Index]],tblHITIndexWeightTable[],4,FALSE),"")</f>
        <v/>
      </c>
      <c r="AB134" s="23">
        <f>VLOOKUP(tblRiskRegister32[[#This Row],[Asset Class]],tblInherentImpacts30[],2,FALSE)</f>
        <v>0</v>
      </c>
      <c r="AC134" s="23">
        <f>VLOOKUP(tblRiskRegister32[[#This Row],[Asset Class]],tblInherentImpacts30[],3,FALSE)</f>
        <v>0</v>
      </c>
      <c r="AD134" s="23">
        <f>VLOOKUP(tblRiskRegister32[[#This Row],[Asset Class]],tblInherentImpacts30[],4,FALSE)</f>
        <v>0</v>
      </c>
      <c r="AE134" s="23">
        <f>VLOOKUP(tblRiskRegister32[[#This Row],[Asset Class]],tblInherentImpacts30[],5,FALSE)</f>
        <v>0</v>
      </c>
      <c r="AF134" s="23" t="str">
        <f>IFERROR(MAX(tblRiskRegister32[[#This Row],[Risk Treatment Safeguard Impact to Mission]:[Risk Treatment Safeguard Impact to Obligations]])*tblRiskRegister32[[#This Row],[Risk Treatment
Safeguard Expectancy Score]],"")</f>
        <v/>
      </c>
      <c r="AG134" s="23" t="str">
        <f>IF(tblRiskRegister32[[#This Row],[Risk Score]]&gt;=AcceptableRisk,IF(tblRiskRegister32[[#This Row],[Risk Treatment Safeguard Risk Score]]&lt;AcceptableRisk, IF(tblRiskRegister32[[#This Row],[Risk Treatment Safeguard Risk Score]]&lt;tblRiskRegister32[[#This Row],[Risk Score]],"Yes","No"),"No"),"Yes")</f>
        <v>No</v>
      </c>
      <c r="AH134" s="17"/>
      <c r="AI134" s="17"/>
      <c r="AJ134" s="18"/>
    </row>
    <row r="135" spans="2:36" ht="70">
      <c r="B135" s="220" t="s">
        <v>93</v>
      </c>
      <c r="C135" s="15"/>
      <c r="D135" s="86">
        <v>17.600000000000001</v>
      </c>
      <c r="E135" s="14" t="s">
        <v>201</v>
      </c>
      <c r="F135" s="13"/>
      <c r="G135" s="13" t="s">
        <v>429</v>
      </c>
      <c r="H135" s="13" t="s">
        <v>522</v>
      </c>
      <c r="I135" s="15"/>
      <c r="J135" s="15"/>
      <c r="K135" s="15"/>
      <c r="L135" s="16"/>
      <c r="M135" s="24">
        <f>IFERROR(VLOOKUP(tblRiskRegister32[[#This Row],[Asset Class]],tblVCDBIndex[],4,FALSE),"")</f>
        <v>2</v>
      </c>
      <c r="N135" s="24" t="str">
        <f>IFERROR(VLOOKUP(10*tblRiskRegister32[[#This Row],[Safeguard Maturity Score]]+tblRiskRegister32[[#This Row],[VCDB Index]],tblHITIndexWeightTable[],4,FALSE),"")</f>
        <v/>
      </c>
      <c r="O135" s="24">
        <f>VLOOKUP(tblRiskRegister32[[#This Row],[Asset Class]],tblInherentImpacts30[],2,FALSE)</f>
        <v>0</v>
      </c>
      <c r="P135" s="24">
        <f>VLOOKUP(tblRiskRegister32[[#This Row],[Asset Class]],tblInherentImpacts30[],3,FALSE)</f>
        <v>0</v>
      </c>
      <c r="Q135" s="24">
        <f>VLOOKUP(tblRiskRegister32[[#This Row],[Asset Class]],tblInherentImpacts30[],4,FALSE)</f>
        <v>0</v>
      </c>
      <c r="R135" s="24">
        <f>VLOOKUP(tblRiskRegister32[[#This Row],[Asset Class]],tblInherentImpacts30[],5,FALSE)</f>
        <v>0</v>
      </c>
      <c r="S135" s="24" t="str">
        <f>IFERROR(MAX(tblRiskRegister32[[#This Row],[Impact to Mission]:[Impact to Obligations]])*tblRiskRegister32[[#This Row],[Expectancy Score]],"")</f>
        <v/>
      </c>
      <c r="T135" s="24" t="str">
        <f>tblRiskRegister32[[#This Row],[Risk Score]]</f>
        <v/>
      </c>
      <c r="U135" s="86"/>
      <c r="V135" s="86">
        <v>17.600000000000001</v>
      </c>
      <c r="W135" s="15" t="s">
        <v>201</v>
      </c>
      <c r="X135" s="15" t="s">
        <v>566</v>
      </c>
      <c r="Y135" s="26"/>
      <c r="Z135" s="16"/>
      <c r="AA135" s="23" t="str">
        <f>IFERROR(VLOOKUP(10*tblRiskRegister32[[#This Row],[Risk Treatment Safeguard Maturity Score]]+tblRiskRegister32[[#This Row],[VCDB Index]],tblHITIndexWeightTable[],4,FALSE),"")</f>
        <v/>
      </c>
      <c r="AB135" s="23">
        <f>VLOOKUP(tblRiskRegister32[[#This Row],[Asset Class]],tblInherentImpacts30[],2,FALSE)</f>
        <v>0</v>
      </c>
      <c r="AC135" s="23">
        <f>VLOOKUP(tblRiskRegister32[[#This Row],[Asset Class]],tblInherentImpacts30[],3,FALSE)</f>
        <v>0</v>
      </c>
      <c r="AD135" s="23">
        <f>VLOOKUP(tblRiskRegister32[[#This Row],[Asset Class]],tblInherentImpacts30[],4,FALSE)</f>
        <v>0</v>
      </c>
      <c r="AE135" s="23">
        <f>VLOOKUP(tblRiskRegister32[[#This Row],[Asset Class]],tblInherentImpacts30[],5,FALSE)</f>
        <v>0</v>
      </c>
      <c r="AF135" s="23" t="str">
        <f>IFERROR(MAX(tblRiskRegister32[[#This Row],[Risk Treatment Safeguard Impact to Mission]:[Risk Treatment Safeguard Impact to Obligations]])*tblRiskRegister32[[#This Row],[Risk Treatment
Safeguard Expectancy Score]],"")</f>
        <v/>
      </c>
      <c r="AG135" s="23" t="str">
        <f>IF(tblRiskRegister32[[#This Row],[Risk Score]]&gt;=AcceptableRisk,IF(tblRiskRegister32[[#This Row],[Risk Treatment Safeguard Risk Score]]&lt;AcceptableRisk, IF(tblRiskRegister32[[#This Row],[Risk Treatment Safeguard Risk Score]]&lt;tblRiskRegister32[[#This Row],[Risk Score]],"Yes","No"),"No"),"Yes")</f>
        <v>No</v>
      </c>
      <c r="AH135" s="17"/>
      <c r="AI135" s="17"/>
      <c r="AJ135" s="18"/>
    </row>
    <row r="136" spans="2:36" ht="56">
      <c r="B136" s="220" t="s">
        <v>93</v>
      </c>
      <c r="C136" s="15"/>
      <c r="D136" s="86">
        <v>17.7</v>
      </c>
      <c r="E136" s="14" t="s">
        <v>202</v>
      </c>
      <c r="F136" s="13"/>
      <c r="G136" s="13" t="s">
        <v>429</v>
      </c>
      <c r="H136" s="13" t="s">
        <v>525</v>
      </c>
      <c r="I136" s="15"/>
      <c r="J136" s="15"/>
      <c r="K136" s="15"/>
      <c r="L136" s="16"/>
      <c r="M136" s="24">
        <f>IFERROR(VLOOKUP(tblRiskRegister32[[#This Row],[Asset Class]],tblVCDBIndex[],4,FALSE),"")</f>
        <v>2</v>
      </c>
      <c r="N136" s="24" t="str">
        <f>IFERROR(VLOOKUP(10*tblRiskRegister32[[#This Row],[Safeguard Maturity Score]]+tblRiskRegister32[[#This Row],[VCDB Index]],tblHITIndexWeightTable[],4,FALSE),"")</f>
        <v/>
      </c>
      <c r="O136" s="24">
        <f>VLOOKUP(tblRiskRegister32[[#This Row],[Asset Class]],tblInherentImpacts30[],2,FALSE)</f>
        <v>0</v>
      </c>
      <c r="P136" s="24">
        <f>VLOOKUP(tblRiskRegister32[[#This Row],[Asset Class]],tblInherentImpacts30[],3,FALSE)</f>
        <v>0</v>
      </c>
      <c r="Q136" s="24">
        <f>VLOOKUP(tblRiskRegister32[[#This Row],[Asset Class]],tblInherentImpacts30[],4,FALSE)</f>
        <v>0</v>
      </c>
      <c r="R136" s="24">
        <f>VLOOKUP(tblRiskRegister32[[#This Row],[Asset Class]],tblInherentImpacts30[],5,FALSE)</f>
        <v>0</v>
      </c>
      <c r="S136" s="24" t="str">
        <f>IFERROR(MAX(tblRiskRegister32[[#This Row],[Impact to Mission]:[Impact to Obligations]])*tblRiskRegister32[[#This Row],[Expectancy Score]],"")</f>
        <v/>
      </c>
      <c r="T136" s="24" t="str">
        <f>tblRiskRegister32[[#This Row],[Risk Score]]</f>
        <v/>
      </c>
      <c r="U136" s="86"/>
      <c r="V136" s="86">
        <v>17.7</v>
      </c>
      <c r="W136" s="15" t="s">
        <v>202</v>
      </c>
      <c r="X136" s="15" t="s">
        <v>424</v>
      </c>
      <c r="Y136" s="26"/>
      <c r="Z136" s="16"/>
      <c r="AA136" s="23" t="str">
        <f>IFERROR(VLOOKUP(10*tblRiskRegister32[[#This Row],[Risk Treatment Safeguard Maturity Score]]+tblRiskRegister32[[#This Row],[VCDB Index]],tblHITIndexWeightTable[],4,FALSE),"")</f>
        <v/>
      </c>
      <c r="AB136" s="23">
        <f>VLOOKUP(tblRiskRegister32[[#This Row],[Asset Class]],tblInherentImpacts30[],2,FALSE)</f>
        <v>0</v>
      </c>
      <c r="AC136" s="23">
        <f>VLOOKUP(tblRiskRegister32[[#This Row],[Asset Class]],tblInherentImpacts30[],3,FALSE)</f>
        <v>0</v>
      </c>
      <c r="AD136" s="23">
        <f>VLOOKUP(tblRiskRegister32[[#This Row],[Asset Class]],tblInherentImpacts30[],4,FALSE)</f>
        <v>0</v>
      </c>
      <c r="AE136" s="23">
        <f>VLOOKUP(tblRiskRegister32[[#This Row],[Asset Class]],tblInherentImpacts30[],5,FALSE)</f>
        <v>0</v>
      </c>
      <c r="AF136" s="23" t="str">
        <f>IFERROR(MAX(tblRiskRegister32[[#This Row],[Risk Treatment Safeguard Impact to Mission]:[Risk Treatment Safeguard Impact to Obligations]])*tblRiskRegister32[[#This Row],[Risk Treatment
Safeguard Expectancy Score]],"")</f>
        <v/>
      </c>
      <c r="AG136" s="23" t="str">
        <f>IF(tblRiskRegister32[[#This Row],[Risk Score]]&gt;=AcceptableRisk,IF(tblRiskRegister32[[#This Row],[Risk Treatment Safeguard Risk Score]]&lt;AcceptableRisk, IF(tblRiskRegister32[[#This Row],[Risk Treatment Safeguard Risk Score]]&lt;tblRiskRegister32[[#This Row],[Risk Score]],"Yes","No"),"No"),"Yes")</f>
        <v>No</v>
      </c>
      <c r="AH136" s="17"/>
      <c r="AI136" s="17"/>
      <c r="AJ136" s="18"/>
    </row>
    <row r="137" spans="2:36" ht="28">
      <c r="B137" s="220" t="s">
        <v>93</v>
      </c>
      <c r="C137" s="15"/>
      <c r="D137" s="86">
        <v>17.8</v>
      </c>
      <c r="E137" s="14" t="s">
        <v>203</v>
      </c>
      <c r="F137" s="13"/>
      <c r="G137" s="13" t="s">
        <v>429</v>
      </c>
      <c r="H137" s="13" t="s">
        <v>525</v>
      </c>
      <c r="I137" s="15"/>
      <c r="J137" s="15"/>
      <c r="K137" s="15"/>
      <c r="L137" s="16"/>
      <c r="M137" s="24">
        <f>IFERROR(VLOOKUP(tblRiskRegister32[[#This Row],[Asset Class]],tblVCDBIndex[],4,FALSE),"")</f>
        <v>2</v>
      </c>
      <c r="N137" s="24" t="str">
        <f>IFERROR(VLOOKUP(10*tblRiskRegister32[[#This Row],[Safeguard Maturity Score]]+tblRiskRegister32[[#This Row],[VCDB Index]],tblHITIndexWeightTable[],4,FALSE),"")</f>
        <v/>
      </c>
      <c r="O137" s="24">
        <f>VLOOKUP(tblRiskRegister32[[#This Row],[Asset Class]],tblInherentImpacts30[],2,FALSE)</f>
        <v>0</v>
      </c>
      <c r="P137" s="24">
        <f>VLOOKUP(tblRiskRegister32[[#This Row],[Asset Class]],tblInherentImpacts30[],3,FALSE)</f>
        <v>0</v>
      </c>
      <c r="Q137" s="24">
        <f>VLOOKUP(tblRiskRegister32[[#This Row],[Asset Class]],tblInherentImpacts30[],4,FALSE)</f>
        <v>0</v>
      </c>
      <c r="R137" s="24">
        <f>VLOOKUP(tblRiskRegister32[[#This Row],[Asset Class]],tblInherentImpacts30[],5,FALSE)</f>
        <v>0</v>
      </c>
      <c r="S137" s="24" t="str">
        <f>IFERROR(MAX(tblRiskRegister32[[#This Row],[Impact to Mission]:[Impact to Obligations]])*tblRiskRegister32[[#This Row],[Expectancy Score]],"")</f>
        <v/>
      </c>
      <c r="T137" s="24" t="str">
        <f>tblRiskRegister32[[#This Row],[Risk Score]]</f>
        <v/>
      </c>
      <c r="U137" s="86"/>
      <c r="V137" s="86">
        <v>17.8</v>
      </c>
      <c r="W137" s="15" t="s">
        <v>203</v>
      </c>
      <c r="X137" s="15" t="s">
        <v>425</v>
      </c>
      <c r="Y137" s="26"/>
      <c r="Z137" s="16"/>
      <c r="AA137" s="23" t="str">
        <f>IFERROR(VLOOKUP(10*tblRiskRegister32[[#This Row],[Risk Treatment Safeguard Maturity Score]]+tblRiskRegister32[[#This Row],[VCDB Index]],tblHITIndexWeightTable[],4,FALSE),"")</f>
        <v/>
      </c>
      <c r="AB137" s="23">
        <f>VLOOKUP(tblRiskRegister32[[#This Row],[Asset Class]],tblInherentImpacts30[],2,FALSE)</f>
        <v>0</v>
      </c>
      <c r="AC137" s="23">
        <f>VLOOKUP(tblRiskRegister32[[#This Row],[Asset Class]],tblInherentImpacts30[],3,FALSE)</f>
        <v>0</v>
      </c>
      <c r="AD137" s="23">
        <f>VLOOKUP(tblRiskRegister32[[#This Row],[Asset Class]],tblInherentImpacts30[],4,FALSE)</f>
        <v>0</v>
      </c>
      <c r="AE137" s="23">
        <f>VLOOKUP(tblRiskRegister32[[#This Row],[Asset Class]],tblInherentImpacts30[],5,FALSE)</f>
        <v>0</v>
      </c>
      <c r="AF137" s="23" t="str">
        <f>IFERROR(MAX(tblRiskRegister32[[#This Row],[Risk Treatment Safeguard Impact to Mission]:[Risk Treatment Safeguard Impact to Obligations]])*tblRiskRegister32[[#This Row],[Risk Treatment
Safeguard Expectancy Score]],"")</f>
        <v/>
      </c>
      <c r="AG137" s="23" t="str">
        <f>IF(tblRiskRegister32[[#This Row],[Risk Score]]&gt;=AcceptableRisk,IF(tblRiskRegister32[[#This Row],[Risk Treatment Safeguard Risk Score]]&lt;AcceptableRisk, IF(tblRiskRegister32[[#This Row],[Risk Treatment Safeguard Risk Score]]&lt;tblRiskRegister32[[#This Row],[Risk Score]],"Yes","No"),"No"),"Yes")</f>
        <v>No</v>
      </c>
      <c r="AH137" s="17"/>
      <c r="AI137" s="17"/>
      <c r="AJ137" s="18"/>
    </row>
    <row r="138" spans="2:36" ht="98">
      <c r="B138" s="220" t="s">
        <v>528</v>
      </c>
      <c r="C138" s="15"/>
      <c r="D138" s="86">
        <v>18.100000000000001</v>
      </c>
      <c r="E138" s="14" t="s">
        <v>204</v>
      </c>
      <c r="F138" s="13"/>
      <c r="G138" s="13" t="s">
        <v>429</v>
      </c>
      <c r="H138" s="13" t="s">
        <v>532</v>
      </c>
      <c r="I138" s="15"/>
      <c r="J138" s="15"/>
      <c r="K138" s="15"/>
      <c r="L138" s="16"/>
      <c r="M138" s="24">
        <f>IFERROR(VLOOKUP(tblRiskRegister32[[#This Row],[Asset Class]],tblVCDBIndex[],4,FALSE),"")</f>
        <v>2</v>
      </c>
      <c r="N138" s="24" t="str">
        <f>IFERROR(VLOOKUP(10*tblRiskRegister32[[#This Row],[Safeguard Maturity Score]]+tblRiskRegister32[[#This Row],[VCDB Index]],tblHITIndexWeightTable[],4,FALSE),"")</f>
        <v/>
      </c>
      <c r="O138" s="24">
        <f>VLOOKUP(tblRiskRegister32[[#This Row],[Asset Class]],tblInherentImpacts30[],2,FALSE)</f>
        <v>0</v>
      </c>
      <c r="P138" s="24">
        <f>VLOOKUP(tblRiskRegister32[[#This Row],[Asset Class]],tblInherentImpacts30[],3,FALSE)</f>
        <v>0</v>
      </c>
      <c r="Q138" s="24">
        <f>VLOOKUP(tblRiskRegister32[[#This Row],[Asset Class]],tblInherentImpacts30[],4,FALSE)</f>
        <v>0</v>
      </c>
      <c r="R138" s="24">
        <f>VLOOKUP(tblRiskRegister32[[#This Row],[Asset Class]],tblInherentImpacts30[],5,FALSE)</f>
        <v>0</v>
      </c>
      <c r="S138" s="24" t="str">
        <f>IFERROR(MAX(tblRiskRegister32[[#This Row],[Impact to Mission]:[Impact to Obligations]])*tblRiskRegister32[[#This Row],[Expectancy Score]],"")</f>
        <v/>
      </c>
      <c r="T138" s="24" t="str">
        <f>tblRiskRegister32[[#This Row],[Risk Score]]</f>
        <v/>
      </c>
      <c r="U138" s="86"/>
      <c r="V138" s="86">
        <v>18.100000000000001</v>
      </c>
      <c r="W138" s="15" t="s">
        <v>204</v>
      </c>
      <c r="X138" s="15" t="s">
        <v>567</v>
      </c>
      <c r="Y138" s="26"/>
      <c r="Z138" s="16"/>
      <c r="AA138" s="23" t="str">
        <f>IFERROR(VLOOKUP(10*tblRiskRegister32[[#This Row],[Risk Treatment Safeguard Maturity Score]]+tblRiskRegister32[[#This Row],[VCDB Index]],tblHITIndexWeightTable[],4,FALSE),"")</f>
        <v/>
      </c>
      <c r="AB138" s="23">
        <f>VLOOKUP(tblRiskRegister32[[#This Row],[Asset Class]],tblInherentImpacts30[],2,FALSE)</f>
        <v>0</v>
      </c>
      <c r="AC138" s="23">
        <f>VLOOKUP(tblRiskRegister32[[#This Row],[Asset Class]],tblInherentImpacts30[],3,FALSE)</f>
        <v>0</v>
      </c>
      <c r="AD138" s="23">
        <f>VLOOKUP(tblRiskRegister32[[#This Row],[Asset Class]],tblInherentImpacts30[],4,FALSE)</f>
        <v>0</v>
      </c>
      <c r="AE138" s="23">
        <f>VLOOKUP(tblRiskRegister32[[#This Row],[Asset Class]],tblInherentImpacts30[],5,FALSE)</f>
        <v>0</v>
      </c>
      <c r="AF138" s="23" t="str">
        <f>IFERROR(MAX(tblRiskRegister32[[#This Row],[Risk Treatment Safeguard Impact to Mission]:[Risk Treatment Safeguard Impact to Obligations]])*tblRiskRegister32[[#This Row],[Risk Treatment
Safeguard Expectancy Score]],"")</f>
        <v/>
      </c>
      <c r="AG138" s="23" t="str">
        <f>IF(tblRiskRegister32[[#This Row],[Risk Score]]&gt;=AcceptableRisk,IF(tblRiskRegister32[[#This Row],[Risk Treatment Safeguard Risk Score]]&lt;AcceptableRisk, IF(tblRiskRegister32[[#This Row],[Risk Treatment Safeguard Risk Score]]&lt;tblRiskRegister32[[#This Row],[Risk Score]],"Yes","No"),"No"),"Yes")</f>
        <v>No</v>
      </c>
      <c r="AH138" s="17"/>
      <c r="AI138" s="17"/>
      <c r="AJ138" s="18"/>
    </row>
    <row r="139" spans="2:36" ht="70">
      <c r="B139" s="220" t="s">
        <v>92</v>
      </c>
      <c r="C139" s="15"/>
      <c r="D139" s="86">
        <v>18.2</v>
      </c>
      <c r="E139" s="14" t="s">
        <v>225</v>
      </c>
      <c r="F139" s="13"/>
      <c r="G139" s="13" t="s">
        <v>429</v>
      </c>
      <c r="H139" s="13" t="s">
        <v>524</v>
      </c>
      <c r="I139" s="15"/>
      <c r="J139" s="15"/>
      <c r="K139" s="15"/>
      <c r="L139" s="16"/>
      <c r="M139" s="24">
        <f>IFERROR(VLOOKUP(tblRiskRegister32[[#This Row],[Asset Class]],tblVCDBIndex[],4,FALSE),"")</f>
        <v>1</v>
      </c>
      <c r="N139" s="24" t="str">
        <f>IFERROR(VLOOKUP(10*tblRiskRegister32[[#This Row],[Safeguard Maturity Score]]+tblRiskRegister32[[#This Row],[VCDB Index]],tblHITIndexWeightTable[],4,FALSE),"")</f>
        <v/>
      </c>
      <c r="O139" s="24">
        <f>VLOOKUP(tblRiskRegister32[[#This Row],[Asset Class]],tblInherentImpacts30[],2,FALSE)</f>
        <v>0</v>
      </c>
      <c r="P139" s="24">
        <f>VLOOKUP(tblRiskRegister32[[#This Row],[Asset Class]],tblInherentImpacts30[],3,FALSE)</f>
        <v>0</v>
      </c>
      <c r="Q139" s="24">
        <f>VLOOKUP(tblRiskRegister32[[#This Row],[Asset Class]],tblInherentImpacts30[],4,FALSE)</f>
        <v>0</v>
      </c>
      <c r="R139" s="24">
        <f>VLOOKUP(tblRiskRegister32[[#This Row],[Asset Class]],tblInherentImpacts30[],5,FALSE)</f>
        <v>0</v>
      </c>
      <c r="S139" s="24" t="str">
        <f>IFERROR(MAX(tblRiskRegister32[[#This Row],[Impact to Mission]:[Impact to Obligations]])*tblRiskRegister32[[#This Row],[Expectancy Score]],"")</f>
        <v/>
      </c>
      <c r="T139" s="24" t="str">
        <f>tblRiskRegister32[[#This Row],[Risk Score]]</f>
        <v/>
      </c>
      <c r="U139" s="86"/>
      <c r="V139" s="86">
        <v>18.2</v>
      </c>
      <c r="W139" s="15" t="s">
        <v>225</v>
      </c>
      <c r="X139" s="15" t="s">
        <v>426</v>
      </c>
      <c r="Y139" s="26"/>
      <c r="Z139" s="16"/>
      <c r="AA139" s="23" t="str">
        <f>IFERROR(VLOOKUP(10*tblRiskRegister32[[#This Row],[Risk Treatment Safeguard Maturity Score]]+tblRiskRegister32[[#This Row],[VCDB Index]],tblHITIndexWeightTable[],4,FALSE),"")</f>
        <v/>
      </c>
      <c r="AB139" s="23">
        <f>VLOOKUP(tblRiskRegister32[[#This Row],[Asset Class]],tblInherentImpacts30[],2,FALSE)</f>
        <v>0</v>
      </c>
      <c r="AC139" s="23">
        <f>VLOOKUP(tblRiskRegister32[[#This Row],[Asset Class]],tblInherentImpacts30[],3,FALSE)</f>
        <v>0</v>
      </c>
      <c r="AD139" s="23">
        <f>VLOOKUP(tblRiskRegister32[[#This Row],[Asset Class]],tblInherentImpacts30[],4,FALSE)</f>
        <v>0</v>
      </c>
      <c r="AE139" s="23">
        <f>VLOOKUP(tblRiskRegister32[[#This Row],[Asset Class]],tblInherentImpacts30[],5,FALSE)</f>
        <v>0</v>
      </c>
      <c r="AF139" s="23" t="str">
        <f>IFERROR(MAX(tblRiskRegister32[[#This Row],[Risk Treatment Safeguard Impact to Mission]:[Risk Treatment Safeguard Impact to Obligations]])*tblRiskRegister32[[#This Row],[Risk Treatment
Safeguard Expectancy Score]],"")</f>
        <v/>
      </c>
      <c r="AG139" s="23" t="str">
        <f>IF(tblRiskRegister32[[#This Row],[Risk Score]]&gt;=AcceptableRisk,IF(tblRiskRegister32[[#This Row],[Risk Treatment Safeguard Risk Score]]&lt;AcceptableRisk, IF(tblRiskRegister32[[#This Row],[Risk Treatment Safeguard Risk Score]]&lt;tblRiskRegister32[[#This Row],[Risk Score]],"Yes","No"),"No"),"Yes")</f>
        <v>No</v>
      </c>
      <c r="AH139" s="17"/>
      <c r="AI139" s="17"/>
      <c r="AJ139" s="18"/>
    </row>
    <row r="140" spans="2:36" ht="42">
      <c r="B140" s="220" t="s">
        <v>92</v>
      </c>
      <c r="C140" s="15"/>
      <c r="D140" s="86">
        <v>18.3</v>
      </c>
      <c r="E140" s="14" t="s">
        <v>226</v>
      </c>
      <c r="F140" s="13"/>
      <c r="G140" s="13" t="s">
        <v>429</v>
      </c>
      <c r="H140" s="13" t="s">
        <v>523</v>
      </c>
      <c r="I140" s="15"/>
      <c r="J140" s="15"/>
      <c r="K140" s="15"/>
      <c r="L140" s="16"/>
      <c r="M140" s="24">
        <f>IFERROR(VLOOKUP(tblRiskRegister32[[#This Row],[Asset Class]],tblVCDBIndex[],4,FALSE),"")</f>
        <v>1</v>
      </c>
      <c r="N140" s="24" t="str">
        <f>IFERROR(VLOOKUP(10*tblRiskRegister32[[#This Row],[Safeguard Maturity Score]]+tblRiskRegister32[[#This Row],[VCDB Index]],tblHITIndexWeightTable[],4,FALSE),"")</f>
        <v/>
      </c>
      <c r="O140" s="24">
        <f>VLOOKUP(tblRiskRegister32[[#This Row],[Asset Class]],tblInherentImpacts30[],2,FALSE)</f>
        <v>0</v>
      </c>
      <c r="P140" s="24">
        <f>VLOOKUP(tblRiskRegister32[[#This Row],[Asset Class]],tblInherentImpacts30[],3,FALSE)</f>
        <v>0</v>
      </c>
      <c r="Q140" s="24">
        <f>VLOOKUP(tblRiskRegister32[[#This Row],[Asset Class]],tblInherentImpacts30[],4,FALSE)</f>
        <v>0</v>
      </c>
      <c r="R140" s="24">
        <f>VLOOKUP(tblRiskRegister32[[#This Row],[Asset Class]],tblInherentImpacts30[],5,FALSE)</f>
        <v>0</v>
      </c>
      <c r="S140" s="24" t="str">
        <f>IFERROR(MAX(tblRiskRegister32[[#This Row],[Impact to Mission]:[Impact to Obligations]])*tblRiskRegister32[[#This Row],[Expectancy Score]],"")</f>
        <v/>
      </c>
      <c r="T140" s="24" t="str">
        <f>tblRiskRegister32[[#This Row],[Risk Score]]</f>
        <v/>
      </c>
      <c r="U140" s="86"/>
      <c r="V140" s="86">
        <v>18.3</v>
      </c>
      <c r="W140" s="15" t="s">
        <v>226</v>
      </c>
      <c r="X140" s="15" t="s">
        <v>568</v>
      </c>
      <c r="Y140" s="26"/>
      <c r="Z140" s="16"/>
      <c r="AA140" s="23" t="str">
        <f>IFERROR(VLOOKUP(10*tblRiskRegister32[[#This Row],[Risk Treatment Safeguard Maturity Score]]+tblRiskRegister32[[#This Row],[VCDB Index]],tblHITIndexWeightTable[],4,FALSE),"")</f>
        <v/>
      </c>
      <c r="AB140" s="23">
        <f>VLOOKUP(tblRiskRegister32[[#This Row],[Asset Class]],tblInherentImpacts30[],2,FALSE)</f>
        <v>0</v>
      </c>
      <c r="AC140" s="23">
        <f>VLOOKUP(tblRiskRegister32[[#This Row],[Asset Class]],tblInherentImpacts30[],3,FALSE)</f>
        <v>0</v>
      </c>
      <c r="AD140" s="23">
        <f>VLOOKUP(tblRiskRegister32[[#This Row],[Asset Class]],tblInherentImpacts30[],4,FALSE)</f>
        <v>0</v>
      </c>
      <c r="AE140" s="23">
        <f>VLOOKUP(tblRiskRegister32[[#This Row],[Asset Class]],tblInherentImpacts30[],5,FALSE)</f>
        <v>0</v>
      </c>
      <c r="AF140" s="23" t="str">
        <f>IFERROR(MAX(tblRiskRegister32[[#This Row],[Risk Treatment Safeguard Impact to Mission]:[Risk Treatment Safeguard Impact to Obligations]])*tblRiskRegister32[[#This Row],[Risk Treatment
Safeguard Expectancy Score]],"")</f>
        <v/>
      </c>
      <c r="AG140" s="23" t="str">
        <f>IF(tblRiskRegister32[[#This Row],[Risk Score]]&gt;=AcceptableRisk,IF(tblRiskRegister32[[#This Row],[Risk Treatment Safeguard Risk Score]]&lt;AcceptableRisk, IF(tblRiskRegister32[[#This Row],[Risk Treatment Safeguard Risk Score]]&lt;tblRiskRegister32[[#This Row],[Risk Score]],"Yes","No"),"No"),"Yes")</f>
        <v>No</v>
      </c>
      <c r="AH140" s="17"/>
      <c r="AI140" s="17"/>
      <c r="AJ140" s="18"/>
    </row>
  </sheetData>
  <sheetProtection sheet="1" formatCells="0" formatColumns="0" formatRows="0" insertRows="0" sort="0" autoFilter="0" pivotTables="0"/>
  <mergeCells count="7">
    <mergeCell ref="AL8:AN8"/>
    <mergeCell ref="B2:B4"/>
    <mergeCell ref="D2:E2"/>
    <mergeCell ref="D3:E3"/>
    <mergeCell ref="D4:E4"/>
    <mergeCell ref="C8:T8"/>
    <mergeCell ref="V8:AJ8"/>
  </mergeCells>
  <phoneticPr fontId="30" type="noConversion"/>
  <conditionalFormatting sqref="T11:T140">
    <cfRule type="iconSet" priority="10">
      <iconSet showValue="0" reverse="1">
        <cfvo type="percent" val="0"/>
        <cfvo type="num" val="AcceptableRisk"/>
        <cfvo type="num" val="15"/>
      </iconSet>
    </cfRule>
  </conditionalFormatting>
  <dataValidations count="5">
    <dataValidation type="list" allowBlank="1" showInputMessage="1" showErrorMessage="1" sqref="U11:U64 U65:U140" xr:uid="{9E6E66ED-08E3-4354-9676-F8FD026E4D65}">
      <formula1>"Accept,Reduce"</formula1>
    </dataValidation>
    <dataValidation type="list" allowBlank="1" showInputMessage="1" showErrorMessage="1" sqref="AI11:AI64 AI65:AI140" xr:uid="{73C997AE-F49E-40F2-A4E8-3DEAB8D0614E}">
      <formula1>"Q1, Q2, Q3, Q4"</formula1>
    </dataValidation>
    <dataValidation type="list" allowBlank="1" showInputMessage="1" showErrorMessage="1" sqref="AJ11:AJ64 AJ65:AJ140" xr:uid="{2254A6F9-A2C3-4091-8C2E-2AAEA95BFA9B}">
      <formula1>"2021,2022,2023,2024,2025,2026,2027,2028,2029,2030,2031"</formula1>
    </dataValidation>
    <dataValidation type="list" allowBlank="1" showInputMessage="1" showErrorMessage="1" sqref="L11:L64 Z11:Z64 Z65:Z140 L65:L140" xr:uid="{3E7C67A2-A01D-41EC-ADC5-49D6B399FC67}">
      <formula1>Maturity_Score</formula1>
    </dataValidation>
    <dataValidation type="list" allowBlank="1" showInputMessage="1" showErrorMessage="1" sqref="B11:B64 B65:B140" xr:uid="{895CEE24-69D4-4931-A7D1-6160488844E3}">
      <formula1>Asset_Classes</formula1>
    </dataValidation>
  </dataValidations>
  <pageMargins left="0.7" right="0.7" top="0.75" bottom="0.75" header="0.3" footer="0.3"/>
  <pageSetup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6A260-A880-418F-AD10-26A9E6DE92D4}">
  <sheetPr codeName="Sheet6">
    <tabColor rgb="FF0086BF"/>
  </sheetPr>
  <dimension ref="B2:K47"/>
  <sheetViews>
    <sheetView showGridLines="0" workbookViewId="0">
      <selection activeCell="B2" sqref="B2:B7"/>
    </sheetView>
  </sheetViews>
  <sheetFormatPr baseColWidth="10" defaultColWidth="9.1640625" defaultRowHeight="16"/>
  <cols>
    <col min="1" max="1" width="9.1640625" style="2"/>
    <col min="2" max="2" width="22" style="191" customWidth="1"/>
    <col min="3" max="3" width="28.83203125" style="21" customWidth="1"/>
    <col min="4" max="4" width="76.5" style="11" customWidth="1"/>
    <col min="5" max="5" width="9.1640625" style="2"/>
    <col min="6" max="6" width="20.5" style="2" bestFit="1" customWidth="1"/>
    <col min="7" max="10" width="31.5" style="2" customWidth="1"/>
    <col min="11" max="11" width="16.5" style="2" customWidth="1"/>
    <col min="12" max="16384" width="9.1640625" style="2"/>
  </cols>
  <sheetData>
    <row r="2" spans="2:11" ht="17">
      <c r="B2" s="283" t="s">
        <v>117</v>
      </c>
      <c r="C2" s="217" t="s">
        <v>123</v>
      </c>
      <c r="D2" s="218" t="s">
        <v>118</v>
      </c>
      <c r="F2" s="281" t="s">
        <v>19</v>
      </c>
      <c r="G2" s="282"/>
      <c r="H2" s="282"/>
      <c r="I2" s="282"/>
      <c r="J2" s="282"/>
    </row>
    <row r="3" spans="2:11" ht="28">
      <c r="B3" s="283"/>
      <c r="C3" s="27"/>
      <c r="D3" s="35" t="s">
        <v>258</v>
      </c>
      <c r="F3" s="138" t="s">
        <v>5</v>
      </c>
      <c r="G3" s="139" t="s">
        <v>6</v>
      </c>
      <c r="H3" s="139" t="s">
        <v>96</v>
      </c>
      <c r="I3" s="140" t="s">
        <v>97</v>
      </c>
      <c r="J3" s="141" t="s">
        <v>23</v>
      </c>
    </row>
    <row r="4" spans="2:11" ht="28">
      <c r="B4" s="283"/>
      <c r="C4" s="30"/>
      <c r="D4" s="35" t="s">
        <v>259</v>
      </c>
      <c r="F4" s="142" t="s">
        <v>4</v>
      </c>
      <c r="G4" s="33" t="s">
        <v>115</v>
      </c>
      <c r="H4" s="33" t="s">
        <v>115</v>
      </c>
      <c r="I4" s="41" t="s">
        <v>116</v>
      </c>
      <c r="J4" s="33" t="s">
        <v>115</v>
      </c>
    </row>
    <row r="5" spans="2:11" ht="12.75" customHeight="1">
      <c r="B5" s="283"/>
      <c r="C5" s="29"/>
      <c r="D5" s="35" t="s">
        <v>119</v>
      </c>
      <c r="F5" s="145" t="s">
        <v>131</v>
      </c>
      <c r="G5" s="33" t="s">
        <v>493</v>
      </c>
      <c r="H5" s="33" t="s">
        <v>493</v>
      </c>
      <c r="I5" s="41" t="s">
        <v>116</v>
      </c>
      <c r="J5" s="33" t="s">
        <v>493</v>
      </c>
    </row>
    <row r="6" spans="2:11" ht="14">
      <c r="B6" s="283"/>
      <c r="C6" s="25"/>
      <c r="D6" s="35" t="s">
        <v>120</v>
      </c>
      <c r="F6" s="145" t="s">
        <v>132</v>
      </c>
      <c r="G6" s="33" t="s">
        <v>493</v>
      </c>
      <c r="H6" s="33" t="s">
        <v>493</v>
      </c>
      <c r="I6" s="41" t="s">
        <v>116</v>
      </c>
      <c r="J6" s="33" t="s">
        <v>493</v>
      </c>
    </row>
    <row r="7" spans="2:11" ht="28">
      <c r="B7" s="283"/>
      <c r="C7" s="194"/>
      <c r="D7" s="35" t="s">
        <v>499</v>
      </c>
      <c r="F7" s="145" t="s">
        <v>133</v>
      </c>
      <c r="G7" s="33" t="s">
        <v>493</v>
      </c>
      <c r="H7" s="33" t="s">
        <v>493</v>
      </c>
      <c r="I7" s="41" t="s">
        <v>116</v>
      </c>
      <c r="J7" s="33" t="s">
        <v>493</v>
      </c>
    </row>
    <row r="8" spans="2:11">
      <c r="C8" s="32"/>
      <c r="F8" s="145" t="s">
        <v>134</v>
      </c>
      <c r="G8" s="33" t="s">
        <v>493</v>
      </c>
      <c r="H8" s="33" t="s">
        <v>493</v>
      </c>
      <c r="I8" s="41" t="s">
        <v>116</v>
      </c>
      <c r="J8" s="33" t="s">
        <v>493</v>
      </c>
    </row>
    <row r="9" spans="2:11" ht="18" thickBot="1">
      <c r="B9" s="193" t="s">
        <v>26</v>
      </c>
      <c r="C9" s="192" t="s">
        <v>260</v>
      </c>
      <c r="D9" s="192" t="s">
        <v>118</v>
      </c>
      <c r="F9" s="146" t="s">
        <v>135</v>
      </c>
      <c r="G9" s="33" t="s">
        <v>493</v>
      </c>
      <c r="H9" s="33" t="s">
        <v>493</v>
      </c>
      <c r="I9" s="147" t="str">
        <f>IF(ISBLANK('1. Impact Criteria Survey '!H56),"",'1. Impact Criteria Survey '!H56)</f>
        <v/>
      </c>
      <c r="J9" s="33" t="s">
        <v>493</v>
      </c>
    </row>
    <row r="10" spans="2:11" ht="12.75" customHeight="1">
      <c r="B10" s="286" t="s">
        <v>114</v>
      </c>
      <c r="C10" s="214" t="s">
        <v>22</v>
      </c>
      <c r="D10" s="71" t="s">
        <v>263</v>
      </c>
    </row>
    <row r="11" spans="2:11" ht="26.25" customHeight="1">
      <c r="B11" s="287"/>
      <c r="C11" s="211" t="s">
        <v>257</v>
      </c>
      <c r="D11" s="195" t="s">
        <v>497</v>
      </c>
      <c r="F11" s="281" t="s">
        <v>27</v>
      </c>
      <c r="G11" s="282"/>
      <c r="H11" s="282"/>
      <c r="I11" s="282"/>
      <c r="J11" s="282"/>
    </row>
    <row r="12" spans="2:11" ht="15">
      <c r="B12" s="287"/>
      <c r="C12" s="215" t="s">
        <v>109</v>
      </c>
      <c r="D12" s="74" t="s">
        <v>261</v>
      </c>
      <c r="F12" s="138" t="s">
        <v>22</v>
      </c>
      <c r="G12" s="139" t="s">
        <v>17</v>
      </c>
      <c r="H12" s="139" t="s">
        <v>98</v>
      </c>
      <c r="I12" s="140" t="s">
        <v>156</v>
      </c>
      <c r="J12" s="141" t="s">
        <v>18</v>
      </c>
    </row>
    <row r="13" spans="2:11" ht="12.75" customHeight="1">
      <c r="B13" s="287"/>
      <c r="C13" s="215" t="s">
        <v>110</v>
      </c>
      <c r="D13" s="74" t="s">
        <v>262</v>
      </c>
      <c r="F13" s="155" t="s">
        <v>527</v>
      </c>
      <c r="G13" s="33" t="s">
        <v>115</v>
      </c>
      <c r="H13" s="33" t="s">
        <v>115</v>
      </c>
      <c r="I13" s="246" t="s">
        <v>116</v>
      </c>
      <c r="J13" s="33" t="s">
        <v>115</v>
      </c>
    </row>
    <row r="14" spans="2:11" ht="12.75" customHeight="1">
      <c r="B14" s="287"/>
      <c r="C14" s="215" t="s">
        <v>427</v>
      </c>
      <c r="D14" s="195" t="s">
        <v>494</v>
      </c>
      <c r="F14" s="145" t="s">
        <v>90</v>
      </c>
      <c r="G14" s="33" t="s">
        <v>115</v>
      </c>
      <c r="H14" s="33" t="s">
        <v>115</v>
      </c>
      <c r="I14" s="246" t="s">
        <v>116</v>
      </c>
      <c r="J14" s="33" t="s">
        <v>115</v>
      </c>
    </row>
    <row r="15" spans="2:11" ht="12.75" customHeight="1">
      <c r="B15" s="287"/>
      <c r="C15" s="215" t="s">
        <v>428</v>
      </c>
      <c r="D15" s="195" t="s">
        <v>494</v>
      </c>
      <c r="F15" s="155" t="s">
        <v>91</v>
      </c>
      <c r="G15" s="33" t="s">
        <v>115</v>
      </c>
      <c r="H15" s="33" t="s">
        <v>115</v>
      </c>
      <c r="I15" s="246" t="s">
        <v>116</v>
      </c>
      <c r="J15" s="33" t="s">
        <v>115</v>
      </c>
      <c r="K15" s="32"/>
    </row>
    <row r="16" spans="2:11" ht="28">
      <c r="B16" s="287"/>
      <c r="C16" s="215" t="s">
        <v>519</v>
      </c>
      <c r="D16" s="195" t="s">
        <v>520</v>
      </c>
      <c r="F16" s="145" t="s">
        <v>92</v>
      </c>
      <c r="G16" s="33" t="s">
        <v>115</v>
      </c>
      <c r="H16" s="33" t="s">
        <v>115</v>
      </c>
      <c r="I16" s="246" t="s">
        <v>116</v>
      </c>
      <c r="J16" s="33" t="s">
        <v>115</v>
      </c>
      <c r="K16" s="32"/>
    </row>
    <row r="17" spans="2:11" ht="28">
      <c r="B17" s="287"/>
      <c r="C17" s="212" t="s">
        <v>444</v>
      </c>
      <c r="D17" s="74" t="s">
        <v>495</v>
      </c>
      <c r="F17" s="155" t="s">
        <v>93</v>
      </c>
      <c r="G17" s="33" t="s">
        <v>115</v>
      </c>
      <c r="H17" s="33" t="s">
        <v>115</v>
      </c>
      <c r="I17" s="246" t="s">
        <v>116</v>
      </c>
      <c r="J17" s="33" t="s">
        <v>115</v>
      </c>
      <c r="K17" s="32"/>
    </row>
    <row r="18" spans="2:11" ht="12.75" customHeight="1">
      <c r="B18" s="287"/>
      <c r="C18" s="211" t="s">
        <v>463</v>
      </c>
      <c r="D18" s="195" t="s">
        <v>516</v>
      </c>
      <c r="F18" s="146" t="s">
        <v>528</v>
      </c>
      <c r="G18" s="33" t="s">
        <v>115</v>
      </c>
      <c r="H18" s="33" t="s">
        <v>115</v>
      </c>
      <c r="I18" s="246" t="s">
        <v>116</v>
      </c>
      <c r="J18" s="33" t="s">
        <v>115</v>
      </c>
      <c r="K18" s="32"/>
    </row>
    <row r="19" spans="2:11" ht="26.25" customHeight="1">
      <c r="B19" s="287"/>
      <c r="C19" s="212" t="s">
        <v>438</v>
      </c>
      <c r="D19" s="195" t="s">
        <v>498</v>
      </c>
      <c r="K19" s="32"/>
    </row>
    <row r="20" spans="2:11" ht="28">
      <c r="B20" s="287"/>
      <c r="C20" s="212" t="s">
        <v>124</v>
      </c>
      <c r="D20" s="74" t="s">
        <v>264</v>
      </c>
      <c r="F20" s="284" t="s">
        <v>489</v>
      </c>
      <c r="G20" s="285"/>
      <c r="K20" s="32"/>
    </row>
    <row r="21" spans="2:11" ht="28">
      <c r="B21" s="287"/>
      <c r="C21" s="215" t="s">
        <v>20</v>
      </c>
      <c r="D21" s="74" t="s">
        <v>265</v>
      </c>
      <c r="F21" s="202" t="s">
        <v>486</v>
      </c>
      <c r="G21" s="174" t="s">
        <v>491</v>
      </c>
      <c r="K21" s="32"/>
    </row>
    <row r="22" spans="2:11" ht="42">
      <c r="B22" s="287"/>
      <c r="C22" s="215" t="s">
        <v>436</v>
      </c>
      <c r="D22" s="74" t="s">
        <v>508</v>
      </c>
      <c r="F22" s="203" t="s">
        <v>487</v>
      </c>
      <c r="G22" s="122" t="s">
        <v>492</v>
      </c>
    </row>
    <row r="23" spans="2:11" ht="28">
      <c r="B23" s="287"/>
      <c r="C23" s="215" t="s">
        <v>0</v>
      </c>
      <c r="D23" s="74" t="s">
        <v>266</v>
      </c>
      <c r="F23" s="204" t="s">
        <v>488</v>
      </c>
      <c r="G23" s="122" t="s">
        <v>490</v>
      </c>
    </row>
    <row r="24" spans="2:11" ht="14">
      <c r="B24" s="287"/>
      <c r="C24" s="215" t="s">
        <v>99</v>
      </c>
      <c r="D24" s="74" t="s">
        <v>267</v>
      </c>
    </row>
    <row r="25" spans="2:11" ht="14">
      <c r="B25" s="287"/>
      <c r="C25" s="215" t="s">
        <v>101</v>
      </c>
      <c r="D25" s="74" t="s">
        <v>496</v>
      </c>
    </row>
    <row r="26" spans="2:11" ht="12.75" customHeight="1">
      <c r="B26" s="287"/>
      <c r="C26" s="215" t="s">
        <v>1</v>
      </c>
      <c r="D26" s="74" t="s">
        <v>268</v>
      </c>
    </row>
    <row r="27" spans="2:11" ht="13.5" customHeight="1">
      <c r="B27" s="287"/>
      <c r="C27" s="215" t="s">
        <v>2</v>
      </c>
      <c r="D27" s="74" t="s">
        <v>440</v>
      </c>
    </row>
    <row r="28" spans="2:11" ht="13.5" customHeight="1" thickBot="1">
      <c r="B28" s="288"/>
      <c r="C28" s="216" t="s">
        <v>3</v>
      </c>
      <c r="D28" s="196" t="s">
        <v>509</v>
      </c>
    </row>
    <row r="29" spans="2:11" ht="12.75" customHeight="1">
      <c r="B29" s="286" t="s">
        <v>112</v>
      </c>
      <c r="C29" s="209" t="s">
        <v>128</v>
      </c>
      <c r="D29" s="71" t="s">
        <v>269</v>
      </c>
    </row>
    <row r="30" spans="2:11" ht="12.75" customHeight="1">
      <c r="B30" s="287"/>
      <c r="C30" s="210" t="s">
        <v>28</v>
      </c>
      <c r="D30" s="74" t="s">
        <v>261</v>
      </c>
    </row>
    <row r="31" spans="2:11" ht="28">
      <c r="B31" s="287"/>
      <c r="C31" s="210" t="s">
        <v>32</v>
      </c>
      <c r="D31" s="74" t="s">
        <v>262</v>
      </c>
    </row>
    <row r="32" spans="2:11" ht="28">
      <c r="B32" s="287"/>
      <c r="C32" s="210" t="s">
        <v>33</v>
      </c>
      <c r="D32" s="74" t="s">
        <v>270</v>
      </c>
    </row>
    <row r="33" spans="2:4" ht="14">
      <c r="B33" s="287"/>
      <c r="C33" s="211" t="s">
        <v>111</v>
      </c>
      <c r="D33" s="74" t="s">
        <v>271</v>
      </c>
    </row>
    <row r="34" spans="2:4" ht="28">
      <c r="B34" s="287"/>
      <c r="C34" s="212" t="s">
        <v>125</v>
      </c>
      <c r="D34" s="74" t="s">
        <v>272</v>
      </c>
    </row>
    <row r="35" spans="2:4" ht="28">
      <c r="B35" s="287"/>
      <c r="C35" s="210" t="s">
        <v>439</v>
      </c>
      <c r="D35" s="74" t="s">
        <v>273</v>
      </c>
    </row>
    <row r="36" spans="2:4" ht="28">
      <c r="B36" s="287"/>
      <c r="C36" s="210" t="s">
        <v>34</v>
      </c>
      <c r="D36" s="74" t="s">
        <v>266</v>
      </c>
    </row>
    <row r="37" spans="2:4" ht="28">
      <c r="B37" s="287"/>
      <c r="C37" s="210" t="s">
        <v>100</v>
      </c>
      <c r="D37" s="74" t="s">
        <v>267</v>
      </c>
    </row>
    <row r="38" spans="2:4" ht="28">
      <c r="B38" s="287"/>
      <c r="C38" s="210" t="s">
        <v>430</v>
      </c>
      <c r="D38" s="74" t="s">
        <v>496</v>
      </c>
    </row>
    <row r="39" spans="2:4" ht="28">
      <c r="B39" s="287"/>
      <c r="C39" s="210" t="s">
        <v>35</v>
      </c>
      <c r="D39" s="74" t="s">
        <v>268</v>
      </c>
    </row>
    <row r="40" spans="2:4" ht="28">
      <c r="B40" s="287"/>
      <c r="C40" s="210" t="s">
        <v>37</v>
      </c>
      <c r="D40" s="74" t="s">
        <v>441</v>
      </c>
    </row>
    <row r="41" spans="2:4" ht="12.75" customHeight="1">
      <c r="B41" s="287"/>
      <c r="C41" s="210" t="s">
        <v>113</v>
      </c>
      <c r="D41" s="74" t="s">
        <v>274</v>
      </c>
    </row>
    <row r="42" spans="2:4" ht="14">
      <c r="B42" s="287"/>
      <c r="C42" s="211" t="s">
        <v>36</v>
      </c>
      <c r="D42" s="74" t="s">
        <v>275</v>
      </c>
    </row>
    <row r="43" spans="2:4" ht="13.5" customHeight="1">
      <c r="B43" s="287"/>
      <c r="C43" s="211" t="s">
        <v>105</v>
      </c>
      <c r="D43" s="74" t="s">
        <v>276</v>
      </c>
    </row>
    <row r="44" spans="2:4" ht="13.5" customHeight="1" thickBot="1">
      <c r="B44" s="288"/>
      <c r="C44" s="213" t="s">
        <v>29</v>
      </c>
      <c r="D44" s="196" t="s">
        <v>277</v>
      </c>
    </row>
    <row r="45" spans="2:4" ht="31.5" customHeight="1">
      <c r="B45" s="286" t="s">
        <v>431</v>
      </c>
      <c r="C45" s="206" t="s">
        <v>101</v>
      </c>
      <c r="D45" s="197" t="s">
        <v>500</v>
      </c>
    </row>
    <row r="46" spans="2:4" ht="13.5" customHeight="1">
      <c r="B46" s="287"/>
      <c r="C46" s="207" t="s">
        <v>30</v>
      </c>
      <c r="D46" s="195" t="s">
        <v>501</v>
      </c>
    </row>
    <row r="47" spans="2:4" ht="27" customHeight="1" thickBot="1">
      <c r="B47" s="288"/>
      <c r="C47" s="208" t="s">
        <v>31</v>
      </c>
      <c r="D47" s="198" t="s">
        <v>502</v>
      </c>
    </row>
  </sheetData>
  <sheetProtection sheet="1" objects="1" scenarios="1"/>
  <mergeCells count="7">
    <mergeCell ref="F2:J2"/>
    <mergeCell ref="F11:J11"/>
    <mergeCell ref="B2:B7"/>
    <mergeCell ref="F20:G20"/>
    <mergeCell ref="B45:B47"/>
    <mergeCell ref="B29:B44"/>
    <mergeCell ref="B10:B28"/>
  </mergeCells>
  <pageMargins left="0.7" right="0.7" top="0.75" bottom="0.75" header="0.3" footer="0.3"/>
  <pageSetup orientation="portrait" r:id="rId1"/>
  <ignoredErrors>
    <ignoredError sqref="G4:G9 H4:H9 J4:J9" calculatedColumn="1"/>
  </ignoredErrors>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1100-E161-4811-8D8E-DF07EF73F8B4}">
  <sheetPr codeName="Sheet7">
    <tabColor rgb="FF0086BF"/>
  </sheetPr>
  <dimension ref="B2:H85"/>
  <sheetViews>
    <sheetView showGridLines="0" zoomScale="104" workbookViewId="0">
      <selection activeCell="E75" sqref="E75"/>
    </sheetView>
  </sheetViews>
  <sheetFormatPr baseColWidth="10" defaultColWidth="9.1640625" defaultRowHeight="13"/>
  <cols>
    <col min="1" max="1" width="9.1640625" style="2"/>
    <col min="2" max="2" width="35" style="2" bestFit="1" customWidth="1"/>
    <col min="3" max="3" width="56.6640625" style="11" customWidth="1"/>
    <col min="4" max="4" width="50.5" style="2" customWidth="1"/>
    <col min="5" max="5" width="34.5" style="2" customWidth="1"/>
    <col min="6" max="6" width="15.5" style="2" bestFit="1" customWidth="1"/>
    <col min="7" max="7" width="17.5" style="2" bestFit="1" customWidth="1"/>
    <col min="8" max="8" width="18.5" style="2" bestFit="1" customWidth="1"/>
    <col min="9" max="16384" width="9.1640625" style="2"/>
  </cols>
  <sheetData>
    <row r="2" spans="2:5" ht="10.5" customHeight="1">
      <c r="B2" s="20"/>
      <c r="C2" s="199"/>
      <c r="D2" s="20"/>
      <c r="E2" s="20"/>
    </row>
    <row r="4" spans="2:5" ht="14">
      <c r="B4" s="31" t="s">
        <v>433</v>
      </c>
      <c r="C4" s="35" t="s">
        <v>434</v>
      </c>
    </row>
    <row r="6" spans="2:5">
      <c r="B6" s="6" t="s">
        <v>433</v>
      </c>
    </row>
    <row r="7" spans="2:5">
      <c r="B7" s="8" t="s">
        <v>527</v>
      </c>
    </row>
    <row r="8" spans="2:5">
      <c r="B8" s="8" t="s">
        <v>90</v>
      </c>
    </row>
    <row r="9" spans="2:5">
      <c r="B9" s="8" t="s">
        <v>91</v>
      </c>
    </row>
    <row r="10" spans="2:5">
      <c r="B10" s="8" t="s">
        <v>92</v>
      </c>
    </row>
    <row r="11" spans="2:5">
      <c r="B11" s="8" t="s">
        <v>93</v>
      </c>
    </row>
    <row r="12" spans="2:5">
      <c r="B12" s="8" t="s">
        <v>528</v>
      </c>
    </row>
    <row r="14" spans="2:5" ht="10.5" customHeight="1">
      <c r="B14" s="20"/>
      <c r="C14" s="199"/>
      <c r="D14" s="20"/>
      <c r="E14" s="20"/>
    </row>
    <row r="16" spans="2:5" ht="28">
      <c r="B16" s="31" t="s">
        <v>127</v>
      </c>
      <c r="C16" s="35" t="s">
        <v>126</v>
      </c>
    </row>
    <row r="18" spans="2:5" ht="14">
      <c r="B18" s="6" t="s">
        <v>127</v>
      </c>
      <c r="C18" s="21" t="s">
        <v>4</v>
      </c>
    </row>
    <row r="19" spans="2:5" ht="14">
      <c r="B19" s="6">
        <v>1</v>
      </c>
      <c r="C19" s="7" t="s">
        <v>106</v>
      </c>
    </row>
    <row r="20" spans="2:5" ht="28">
      <c r="B20" s="6">
        <v>2</v>
      </c>
      <c r="C20" s="7" t="s">
        <v>107</v>
      </c>
    </row>
    <row r="21" spans="2:5" ht="14">
      <c r="B21" s="6">
        <v>3</v>
      </c>
      <c r="C21" s="7" t="s">
        <v>108</v>
      </c>
    </row>
    <row r="22" spans="2:5" ht="14">
      <c r="B22" s="6">
        <v>4</v>
      </c>
      <c r="C22" s="7" t="s">
        <v>129</v>
      </c>
    </row>
    <row r="23" spans="2:5" ht="28">
      <c r="B23" s="6">
        <v>5</v>
      </c>
      <c r="C23" s="7" t="s">
        <v>130</v>
      </c>
    </row>
    <row r="24" spans="2:5">
      <c r="B24" s="6"/>
      <c r="C24" s="7"/>
    </row>
    <row r="25" spans="2:5" ht="10.5" customHeight="1">
      <c r="B25" s="20"/>
      <c r="C25" s="199"/>
      <c r="D25" s="20"/>
      <c r="E25" s="20"/>
    </row>
    <row r="26" spans="2:5">
      <c r="B26" s="6"/>
      <c r="C26" s="7"/>
    </row>
    <row r="27" spans="2:5" ht="28">
      <c r="B27" s="31" t="s">
        <v>435</v>
      </c>
      <c r="C27" s="35" t="s">
        <v>443</v>
      </c>
    </row>
    <row r="29" spans="2:5" ht="14">
      <c r="B29" s="6" t="s">
        <v>442</v>
      </c>
      <c r="C29" s="21" t="s">
        <v>437</v>
      </c>
      <c r="D29" s="6" t="s">
        <v>232</v>
      </c>
    </row>
    <row r="30" spans="2:5" ht="14">
      <c r="B30" s="6">
        <v>1</v>
      </c>
      <c r="C30" s="7" t="s">
        <v>233</v>
      </c>
      <c r="D30" s="7" t="s">
        <v>472</v>
      </c>
    </row>
    <row r="31" spans="2:5" ht="28">
      <c r="B31" s="6">
        <v>2</v>
      </c>
      <c r="C31" s="7" t="s">
        <v>234</v>
      </c>
      <c r="D31" s="7" t="s">
        <v>473</v>
      </c>
    </row>
    <row r="32" spans="2:5" ht="28">
      <c r="B32" s="6">
        <v>3</v>
      </c>
      <c r="C32" s="7" t="s">
        <v>235</v>
      </c>
      <c r="D32" s="7" t="s">
        <v>474</v>
      </c>
    </row>
    <row r="33" spans="2:8" ht="14">
      <c r="B33" s="6">
        <v>4</v>
      </c>
      <c r="C33" s="7" t="s">
        <v>236</v>
      </c>
      <c r="D33" s="7" t="s">
        <v>475</v>
      </c>
    </row>
    <row r="34" spans="2:8" ht="14">
      <c r="B34" s="6">
        <v>5</v>
      </c>
      <c r="C34" s="7" t="s">
        <v>237</v>
      </c>
      <c r="D34" s="7" t="s">
        <v>476</v>
      </c>
    </row>
    <row r="36" spans="2:8" ht="10.5" customHeight="1">
      <c r="B36" s="20"/>
      <c r="C36" s="199"/>
      <c r="D36" s="20"/>
      <c r="E36" s="20"/>
    </row>
    <row r="38" spans="2:8" ht="14">
      <c r="B38" s="200" t="s">
        <v>8</v>
      </c>
      <c r="C38" s="201" t="s">
        <v>121</v>
      </c>
    </row>
    <row r="40" spans="2:8" ht="14">
      <c r="B40" s="21" t="s">
        <v>7</v>
      </c>
      <c r="C40" s="21" t="s">
        <v>8</v>
      </c>
    </row>
    <row r="41" spans="2:8" ht="38.75" customHeight="1">
      <c r="B41" s="7" t="str">
        <f>IF(AcceptableRisk&gt;0, "&lt; " &amp; AcceptableRisk, "Complete the Risk Acceptance Criteria table in Enterprise Parameters")</f>
        <v>Complete the Risk Acceptance Criteria table in Enterprise Parameters</v>
      </c>
      <c r="C41" s="7" t="str">
        <f>IF(AcceptableRisk&gt;0, "All scores lower than '" &amp; AcceptableRisk &amp; "' may be automatically accepted. All other risks must be reduced.","Complete the Risk Acceptance Criteria table in Enterprise parameters.")</f>
        <v>Complete the Risk Acceptance Criteria table in Enterprise parameters.</v>
      </c>
      <c r="H41" s="205"/>
    </row>
    <row r="43" spans="2:8" ht="10.5" customHeight="1">
      <c r="B43" s="20"/>
      <c r="C43" s="199"/>
      <c r="D43" s="20"/>
      <c r="E43" s="20"/>
    </row>
    <row r="45" spans="2:8" ht="14">
      <c r="B45" s="31" t="s">
        <v>20</v>
      </c>
      <c r="C45" s="35" t="s">
        <v>122</v>
      </c>
    </row>
    <row r="47" spans="2:8">
      <c r="B47" s="110" t="s">
        <v>102</v>
      </c>
      <c r="C47" s="117">
        <v>10262</v>
      </c>
      <c r="D47" s="110" t="s">
        <v>103</v>
      </c>
      <c r="E47" s="111">
        <v>45365</v>
      </c>
    </row>
    <row r="48" spans="2:8" ht="14">
      <c r="B48" s="6" t="s">
        <v>22</v>
      </c>
      <c r="C48" s="21" t="s">
        <v>9</v>
      </c>
      <c r="D48" s="6" t="s">
        <v>10</v>
      </c>
      <c r="E48" s="6" t="s">
        <v>12</v>
      </c>
    </row>
    <row r="49" spans="2:5" ht="15">
      <c r="B49" t="s">
        <v>91</v>
      </c>
      <c r="C49" s="21">
        <v>7628</v>
      </c>
      <c r="D49" s="112">
        <f>tblVCDBIndex[[#This Row],[Sum of Threat Count / Industry]]/$C$47</f>
        <v>0.74332488793607487</v>
      </c>
      <c r="E49" s="6">
        <f>IF(tblVCDBIndex[[#This Row],[Percentage]]&lt;0.2,1,IF(tblVCDBIndex[[#This Row],[Percentage]]&lt;0.4,2,IF(tblVCDBIndex[[#This Row],[Percentage]]&lt;0.6,3,IF(tblVCDBIndex[[#This Row],[Percentage]]&lt;0.8,4,5))))</f>
        <v>4</v>
      </c>
    </row>
    <row r="50" spans="2:5" ht="15">
      <c r="B50" t="s">
        <v>527</v>
      </c>
      <c r="C50" s="21">
        <v>2549</v>
      </c>
      <c r="D50" s="112">
        <f>tblVCDBIndex[[#This Row],[Sum of Threat Count / Industry]]/$C$47</f>
        <v>0.2483921262911713</v>
      </c>
      <c r="E50" s="6">
        <f>IF(tblVCDBIndex[[#This Row],[Percentage]]&lt;0.2,1,IF(tblVCDBIndex[[#This Row],[Percentage]]&lt;0.4,2,IF(tblVCDBIndex[[#This Row],[Percentage]]&lt;0.6,3,IF(tblVCDBIndex[[#This Row],[Percentage]]&lt;0.8,4,5))))</f>
        <v>2</v>
      </c>
    </row>
    <row r="51" spans="2:5" ht="15">
      <c r="B51" t="s">
        <v>90</v>
      </c>
      <c r="C51" s="21">
        <v>2357</v>
      </c>
      <c r="D51" s="113">
        <f>tblVCDBIndex[[#This Row],[Sum of Threat Count / Industry]]/$C$47</f>
        <v>0.22968232313389203</v>
      </c>
      <c r="E51" s="6">
        <f>IF(tblVCDBIndex[[#This Row],[Percentage]]&lt;0.2,1,IF(tblVCDBIndex[[#This Row],[Percentage]]&lt;0.4,2,IF(tblVCDBIndex[[#This Row],[Percentage]]&lt;0.6,3,IF(tblVCDBIndex[[#This Row],[Percentage]]&lt;0.8,4,5))))</f>
        <v>2</v>
      </c>
    </row>
    <row r="52" spans="2:5" ht="15">
      <c r="B52" t="s">
        <v>93</v>
      </c>
      <c r="C52" s="21">
        <v>2263</v>
      </c>
      <c r="D52" s="112">
        <f>tblVCDBIndex[[#This Row],[Sum of Threat Count / Industry]]/$C$47</f>
        <v>0.22052231533814071</v>
      </c>
      <c r="E52" s="6">
        <f>IF(tblVCDBIndex[[#This Row],[Percentage]]&lt;0.2,1,IF(tblVCDBIndex[[#This Row],[Percentage]]&lt;0.4,2,IF(tblVCDBIndex[[#This Row],[Percentage]]&lt;0.6,3,IF(tblVCDBIndex[[#This Row],[Percentage]]&lt;0.8,4,5))))</f>
        <v>2</v>
      </c>
    </row>
    <row r="53" spans="2:5" ht="15">
      <c r="B53" t="s">
        <v>92</v>
      </c>
      <c r="C53" s="21">
        <v>174</v>
      </c>
      <c r="D53" s="112">
        <f>tblVCDBIndex[[#This Row],[Sum of Threat Count / Industry]]/$C$47</f>
        <v>1.6955759111284351E-2</v>
      </c>
      <c r="E53" s="6">
        <f>IF(tblVCDBIndex[[#This Row],[Percentage]]&lt;0.2,1,IF(tblVCDBIndex[[#This Row],[Percentage]]&lt;0.4,2,IF(tblVCDBIndex[[#This Row],[Percentage]]&lt;0.6,3,IF(tblVCDBIndex[[#This Row],[Percentage]]&lt;0.8,4,5))))</f>
        <v>1</v>
      </c>
    </row>
    <row r="54" spans="2:5" ht="15">
      <c r="B54" t="s">
        <v>528</v>
      </c>
      <c r="C54" s="21">
        <v>2357</v>
      </c>
      <c r="D54" s="112">
        <f>tblVCDBIndex[[#This Row],[Sum of Threat Count / Industry]]/$C$47</f>
        <v>0.22968232313389203</v>
      </c>
      <c r="E54" s="6">
        <f>IF(tblVCDBIndex[[#This Row],[Percentage]]&lt;0.2,1,IF(tblVCDBIndex[[#This Row],[Percentage]]&lt;0.4,2,IF(tblVCDBIndex[[#This Row],[Percentage]]&lt;0.6,3,IF(tblVCDBIndex[[#This Row],[Percentage]]&lt;0.8,4,5))))</f>
        <v>2</v>
      </c>
    </row>
    <row r="56" spans="2:5">
      <c r="B56" s="20"/>
      <c r="C56" s="199"/>
      <c r="D56" s="20"/>
      <c r="E56" s="20"/>
    </row>
    <row r="58" spans="2:5" ht="28">
      <c r="B58" s="31" t="s">
        <v>21</v>
      </c>
      <c r="C58" s="35" t="s">
        <v>507</v>
      </c>
    </row>
    <row r="60" spans="2:5" ht="10.5" customHeight="1">
      <c r="B60" s="6" t="s">
        <v>104</v>
      </c>
      <c r="C60" s="21" t="s">
        <v>11</v>
      </c>
      <c r="D60" s="6" t="s">
        <v>20</v>
      </c>
      <c r="E60" s="6" t="s">
        <v>437</v>
      </c>
    </row>
    <row r="61" spans="2:5">
      <c r="B61" s="6">
        <v>51</v>
      </c>
      <c r="C61" s="21">
        <v>5</v>
      </c>
      <c r="D61" s="6">
        <v>1</v>
      </c>
      <c r="E61" s="6">
        <v>1</v>
      </c>
    </row>
    <row r="62" spans="2:5">
      <c r="B62" s="6">
        <v>52</v>
      </c>
      <c r="C62" s="21">
        <v>5</v>
      </c>
      <c r="D62" s="6">
        <v>2</v>
      </c>
      <c r="E62" s="6">
        <v>1</v>
      </c>
    </row>
    <row r="63" spans="2:5">
      <c r="B63" s="6">
        <v>53</v>
      </c>
      <c r="C63" s="21">
        <v>5</v>
      </c>
      <c r="D63" s="6">
        <v>3</v>
      </c>
      <c r="E63" s="6">
        <v>1</v>
      </c>
    </row>
    <row r="64" spans="2:5">
      <c r="B64" s="6">
        <v>54</v>
      </c>
      <c r="C64" s="21">
        <v>5</v>
      </c>
      <c r="D64" s="6">
        <v>4</v>
      </c>
      <c r="E64" s="6">
        <v>1</v>
      </c>
    </row>
    <row r="65" spans="2:5">
      <c r="B65" s="6">
        <v>55</v>
      </c>
      <c r="C65" s="21">
        <v>5</v>
      </c>
      <c r="D65" s="6">
        <v>5</v>
      </c>
      <c r="E65" s="6">
        <v>2</v>
      </c>
    </row>
    <row r="66" spans="2:5">
      <c r="B66" s="6">
        <v>41</v>
      </c>
      <c r="C66" s="21">
        <v>4</v>
      </c>
      <c r="D66" s="6">
        <v>1</v>
      </c>
      <c r="E66" s="6">
        <v>1</v>
      </c>
    </row>
    <row r="67" spans="2:5">
      <c r="B67" s="6">
        <v>42</v>
      </c>
      <c r="C67" s="21">
        <v>4</v>
      </c>
      <c r="D67" s="6">
        <v>2</v>
      </c>
      <c r="E67" s="6">
        <v>2</v>
      </c>
    </row>
    <row r="68" spans="2:5">
      <c r="B68" s="6">
        <v>43</v>
      </c>
      <c r="C68" s="21">
        <v>4</v>
      </c>
      <c r="D68" s="6">
        <v>3</v>
      </c>
      <c r="E68" s="6">
        <v>2</v>
      </c>
    </row>
    <row r="69" spans="2:5">
      <c r="B69" s="6">
        <v>44</v>
      </c>
      <c r="C69" s="21">
        <v>4</v>
      </c>
      <c r="D69" s="6">
        <v>4</v>
      </c>
      <c r="E69" s="6">
        <v>2</v>
      </c>
    </row>
    <row r="70" spans="2:5">
      <c r="B70" s="6">
        <v>45</v>
      </c>
      <c r="C70" s="21">
        <v>4</v>
      </c>
      <c r="D70" s="6">
        <v>5</v>
      </c>
      <c r="E70" s="6">
        <v>3</v>
      </c>
    </row>
    <row r="71" spans="2:5">
      <c r="B71" s="6">
        <v>31</v>
      </c>
      <c r="C71" s="21">
        <v>3</v>
      </c>
      <c r="D71" s="6">
        <v>1</v>
      </c>
      <c r="E71" s="6">
        <v>2</v>
      </c>
    </row>
    <row r="72" spans="2:5">
      <c r="B72" s="6">
        <v>32</v>
      </c>
      <c r="C72" s="21">
        <v>3</v>
      </c>
      <c r="D72" s="6">
        <v>2</v>
      </c>
      <c r="E72" s="6">
        <v>3</v>
      </c>
    </row>
    <row r="73" spans="2:5">
      <c r="B73" s="6">
        <v>33</v>
      </c>
      <c r="C73" s="21">
        <v>3</v>
      </c>
      <c r="D73" s="6">
        <v>3</v>
      </c>
      <c r="E73" s="6">
        <v>3</v>
      </c>
    </row>
    <row r="74" spans="2:5">
      <c r="B74" s="6">
        <v>34</v>
      </c>
      <c r="C74" s="21">
        <v>3</v>
      </c>
      <c r="D74" s="6">
        <v>4</v>
      </c>
      <c r="E74" s="6">
        <v>3</v>
      </c>
    </row>
    <row r="75" spans="2:5">
      <c r="B75" s="6">
        <v>35</v>
      </c>
      <c r="C75" s="21">
        <v>3</v>
      </c>
      <c r="D75" s="6">
        <v>5</v>
      </c>
      <c r="E75" s="6">
        <v>4</v>
      </c>
    </row>
    <row r="76" spans="2:5">
      <c r="B76" s="6">
        <v>21</v>
      </c>
      <c r="C76" s="21">
        <v>2</v>
      </c>
      <c r="D76" s="6">
        <v>1</v>
      </c>
      <c r="E76" s="6">
        <v>3</v>
      </c>
    </row>
    <row r="77" spans="2:5">
      <c r="B77" s="6">
        <v>22</v>
      </c>
      <c r="C77" s="21">
        <v>2</v>
      </c>
      <c r="D77" s="6">
        <v>2</v>
      </c>
      <c r="E77" s="6">
        <v>3</v>
      </c>
    </row>
    <row r="78" spans="2:5">
      <c r="B78" s="6">
        <v>23</v>
      </c>
      <c r="C78" s="21">
        <v>2</v>
      </c>
      <c r="D78" s="6">
        <v>3</v>
      </c>
      <c r="E78" s="6">
        <v>4</v>
      </c>
    </row>
    <row r="79" spans="2:5">
      <c r="B79" s="6">
        <v>24</v>
      </c>
      <c r="C79" s="21">
        <v>2</v>
      </c>
      <c r="D79" s="6">
        <v>4</v>
      </c>
      <c r="E79" s="6">
        <v>4</v>
      </c>
    </row>
    <row r="80" spans="2:5">
      <c r="B80" s="6">
        <v>25</v>
      </c>
      <c r="C80" s="21">
        <v>2</v>
      </c>
      <c r="D80" s="6">
        <v>5</v>
      </c>
      <c r="E80" s="6">
        <v>5</v>
      </c>
    </row>
    <row r="81" spans="2:5">
      <c r="B81" s="6">
        <v>11</v>
      </c>
      <c r="C81" s="21">
        <v>1</v>
      </c>
      <c r="D81" s="6">
        <v>1</v>
      </c>
      <c r="E81" s="6">
        <v>4</v>
      </c>
    </row>
    <row r="82" spans="2:5">
      <c r="B82" s="6">
        <v>12</v>
      </c>
      <c r="C82" s="21">
        <v>1</v>
      </c>
      <c r="D82" s="6">
        <v>2</v>
      </c>
      <c r="E82" s="6">
        <v>5</v>
      </c>
    </row>
    <row r="83" spans="2:5">
      <c r="B83" s="6">
        <v>13</v>
      </c>
      <c r="C83" s="21">
        <v>1</v>
      </c>
      <c r="D83" s="6">
        <v>3</v>
      </c>
      <c r="E83" s="6">
        <v>5</v>
      </c>
    </row>
    <row r="84" spans="2:5">
      <c r="B84" s="6">
        <v>14</v>
      </c>
      <c r="C84" s="21">
        <v>1</v>
      </c>
      <c r="D84" s="6">
        <v>4</v>
      </c>
      <c r="E84" s="6">
        <v>5</v>
      </c>
    </row>
    <row r="85" spans="2:5">
      <c r="B85" s="6">
        <v>15</v>
      </c>
      <c r="C85" s="21">
        <v>1</v>
      </c>
      <c r="D85" s="6">
        <v>5</v>
      </c>
      <c r="E85" s="6">
        <v>5</v>
      </c>
    </row>
  </sheetData>
  <sheetProtection sheet="1" objects="1" scenarios="1"/>
  <dataValidations disablePrompts="1" count="1">
    <dataValidation type="list" allowBlank="1" showInputMessage="1" showErrorMessage="1" sqref="B50" xr:uid="{836092AE-2EF6-4357-8B8D-D1BA4696C908}">
      <formula1>Asset_Class</formula1>
    </dataValidation>
  </dataValidations>
  <pageMargins left="0.7" right="0.7" top="0.75" bottom="0.75" header="0.3" footer="0.3"/>
  <pageSetup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D9B9-5136-46FF-8D39-0FFC16453045}">
  <sheetPr>
    <tabColor rgb="FFA391F1"/>
  </sheetPr>
  <dimension ref="B1:P134"/>
  <sheetViews>
    <sheetView showGridLines="0" workbookViewId="0">
      <selection activeCell="B1" sqref="B1:E1"/>
    </sheetView>
  </sheetViews>
  <sheetFormatPr baseColWidth="10" defaultColWidth="9.1640625" defaultRowHeight="13"/>
  <cols>
    <col min="1" max="1" width="5.33203125" style="42" customWidth="1"/>
    <col min="2" max="2" width="17.6640625" style="47" customWidth="1"/>
    <col min="3" max="4" width="15.6640625" style="46" customWidth="1"/>
    <col min="5" max="5" width="16.6640625" style="46" customWidth="1"/>
    <col min="6" max="6" width="9.1640625" style="42"/>
    <col min="7" max="7" width="97.1640625" style="42" customWidth="1"/>
    <col min="8" max="8" width="9.1640625" style="42"/>
    <col min="9" max="9" width="17.1640625" style="42" customWidth="1"/>
    <col min="10" max="10" width="72.5" style="42" customWidth="1"/>
    <col min="11" max="16384" width="9.1640625" style="42"/>
  </cols>
  <sheetData>
    <row r="1" spans="2:16" ht="57" customHeight="1" thickBot="1">
      <c r="B1" s="294" t="s">
        <v>278</v>
      </c>
      <c r="C1" s="295"/>
      <c r="D1" s="295"/>
      <c r="E1" s="296"/>
      <c r="G1" s="43" t="s">
        <v>279</v>
      </c>
      <c r="H1" s="44"/>
      <c r="I1" s="289" t="s">
        <v>280</v>
      </c>
      <c r="J1" s="290"/>
      <c r="K1" s="44"/>
      <c r="L1" s="44"/>
      <c r="M1" s="44"/>
      <c r="N1" s="44"/>
      <c r="O1" s="44"/>
      <c r="P1" s="44"/>
    </row>
    <row r="2" spans="2:16" ht="15.75" customHeight="1" thickBot="1">
      <c r="G2" s="240" t="s">
        <v>598</v>
      </c>
    </row>
    <row r="3" spans="2:16" ht="31" thickBot="1">
      <c r="B3" s="291" t="s">
        <v>578</v>
      </c>
      <c r="C3" s="292"/>
      <c r="D3" s="292"/>
      <c r="E3" s="293"/>
      <c r="G3" s="241" t="s">
        <v>599</v>
      </c>
      <c r="I3" s="48" t="s">
        <v>127</v>
      </c>
      <c r="J3" s="48" t="s">
        <v>4</v>
      </c>
    </row>
    <row r="4" spans="2:16" ht="30" thickTop="1" thickBot="1">
      <c r="B4" s="49" t="s">
        <v>579</v>
      </c>
      <c r="C4" s="50" t="s">
        <v>281</v>
      </c>
      <c r="D4" s="50" t="s">
        <v>282</v>
      </c>
      <c r="E4" s="51" t="s">
        <v>283</v>
      </c>
      <c r="F4" s="52"/>
      <c r="G4" s="241" t="s">
        <v>583</v>
      </c>
      <c r="H4" s="45"/>
      <c r="I4" s="48">
        <v>1</v>
      </c>
      <c r="J4" s="53" t="s">
        <v>106</v>
      </c>
      <c r="K4" s="45"/>
      <c r="L4" s="45"/>
      <c r="M4" s="45"/>
      <c r="N4" s="45"/>
      <c r="O4" s="45"/>
      <c r="P4" s="45"/>
    </row>
    <row r="5" spans="2:16" s="52" customFormat="1" ht="16" thickTop="1">
      <c r="B5" s="55">
        <v>1.1000000000000001</v>
      </c>
      <c r="C5" s="54"/>
      <c r="D5" s="55" t="str">
        <f>LEFT($C5, 1)</f>
        <v/>
      </c>
      <c r="E5" s="56" t="str">
        <f>D5</f>
        <v/>
      </c>
      <c r="F5" s="42"/>
      <c r="G5" s="241" t="s">
        <v>600</v>
      </c>
      <c r="H5" s="45"/>
      <c r="I5" s="48">
        <v>2</v>
      </c>
      <c r="J5" s="53" t="s">
        <v>107</v>
      </c>
      <c r="K5" s="45"/>
      <c r="L5" s="45"/>
      <c r="M5" s="45"/>
      <c r="N5" s="45"/>
      <c r="O5" s="45"/>
      <c r="P5" s="45"/>
    </row>
    <row r="6" spans="2:16" ht="15">
      <c r="B6" s="58">
        <v>1.2</v>
      </c>
      <c r="C6" s="57"/>
      <c r="D6" s="58" t="str">
        <f t="shared" ref="D6:D69" si="0">LEFT($C6, 1)</f>
        <v/>
      </c>
      <c r="E6" s="59" t="str">
        <f t="shared" ref="E6:E69" si="1">D6</f>
        <v/>
      </c>
      <c r="G6" s="241" t="s">
        <v>601</v>
      </c>
      <c r="H6" s="45"/>
      <c r="I6" s="48">
        <v>3</v>
      </c>
      <c r="J6" s="53" t="s">
        <v>108</v>
      </c>
      <c r="K6" s="45"/>
      <c r="L6" s="45"/>
      <c r="M6" s="45"/>
      <c r="N6" s="45"/>
      <c r="O6" s="45"/>
      <c r="P6" s="45"/>
    </row>
    <row r="7" spans="2:16" ht="15">
      <c r="B7" s="55">
        <v>1.3</v>
      </c>
      <c r="C7" s="54"/>
      <c r="D7" s="55" t="str">
        <f t="shared" si="0"/>
        <v/>
      </c>
      <c r="E7" s="60" t="str">
        <f t="shared" si="1"/>
        <v/>
      </c>
      <c r="G7" s="240" t="s">
        <v>602</v>
      </c>
      <c r="H7" s="45"/>
      <c r="I7" s="48">
        <v>4</v>
      </c>
      <c r="J7" s="53" t="s">
        <v>129</v>
      </c>
      <c r="K7" s="45"/>
      <c r="L7" s="45"/>
      <c r="M7" s="45"/>
      <c r="N7" s="45"/>
      <c r="O7" s="45"/>
      <c r="P7" s="45"/>
    </row>
    <row r="8" spans="2:16" ht="30">
      <c r="B8" s="58">
        <v>1.4</v>
      </c>
      <c r="C8" s="57"/>
      <c r="D8" s="58" t="str">
        <f t="shared" si="0"/>
        <v/>
      </c>
      <c r="E8" s="59" t="str">
        <f t="shared" si="1"/>
        <v/>
      </c>
      <c r="G8" s="241" t="s">
        <v>627</v>
      </c>
      <c r="H8" s="45"/>
      <c r="I8" s="48">
        <v>5</v>
      </c>
      <c r="J8" s="53" t="s">
        <v>130</v>
      </c>
      <c r="K8" s="45"/>
      <c r="L8" s="45"/>
      <c r="M8" s="45"/>
      <c r="N8" s="45"/>
      <c r="O8" s="45"/>
      <c r="P8" s="45"/>
    </row>
    <row r="9" spans="2:16" ht="15">
      <c r="B9" s="55">
        <v>2.1</v>
      </c>
      <c r="C9" s="54"/>
      <c r="D9" s="55" t="str">
        <f t="shared" si="0"/>
        <v/>
      </c>
      <c r="E9" s="60" t="str">
        <f>D9</f>
        <v/>
      </c>
      <c r="G9" s="241" t="s">
        <v>603</v>
      </c>
      <c r="H9" s="45"/>
      <c r="I9" s="45"/>
      <c r="J9" s="45"/>
      <c r="K9" s="45"/>
      <c r="L9" s="45"/>
      <c r="M9" s="45"/>
      <c r="N9" s="45"/>
      <c r="O9" s="45"/>
      <c r="P9" s="45"/>
    </row>
    <row r="10" spans="2:16" ht="30">
      <c r="B10" s="58">
        <v>2.2000000000000002</v>
      </c>
      <c r="C10" s="57"/>
      <c r="D10" s="58" t="str">
        <f t="shared" si="0"/>
        <v/>
      </c>
      <c r="E10" s="59" t="str">
        <f t="shared" si="1"/>
        <v/>
      </c>
      <c r="G10" s="241" t="s">
        <v>604</v>
      </c>
      <c r="H10" s="45"/>
      <c r="I10" s="45"/>
      <c r="J10" s="45"/>
      <c r="K10" s="45"/>
      <c r="L10" s="45"/>
      <c r="M10" s="45"/>
      <c r="N10" s="45"/>
      <c r="O10" s="45"/>
      <c r="P10" s="45"/>
    </row>
    <row r="11" spans="2:16" ht="15">
      <c r="B11" s="55">
        <v>2.2999999999999998</v>
      </c>
      <c r="C11" s="54"/>
      <c r="D11" s="55" t="str">
        <f t="shared" si="0"/>
        <v/>
      </c>
      <c r="E11" s="60" t="str">
        <f t="shared" si="1"/>
        <v/>
      </c>
      <c r="G11" s="241" t="s">
        <v>605</v>
      </c>
      <c r="H11" s="45"/>
      <c r="I11" s="45"/>
      <c r="J11" s="45"/>
      <c r="K11" s="45"/>
      <c r="L11" s="45"/>
      <c r="M11" s="45"/>
      <c r="N11" s="45"/>
      <c r="O11" s="45"/>
      <c r="P11" s="45"/>
    </row>
    <row r="12" spans="2:16" ht="15">
      <c r="B12" s="58">
        <v>2.4</v>
      </c>
      <c r="C12" s="57"/>
      <c r="D12" s="58" t="str">
        <f t="shared" si="0"/>
        <v/>
      </c>
      <c r="E12" s="59" t="str">
        <f t="shared" si="1"/>
        <v/>
      </c>
      <c r="G12" s="240" t="s">
        <v>606</v>
      </c>
      <c r="H12" s="45"/>
      <c r="I12" s="45"/>
      <c r="J12" s="45"/>
      <c r="K12" s="45"/>
      <c r="L12" s="45"/>
      <c r="M12" s="45"/>
      <c r="N12" s="45"/>
      <c r="O12" s="45"/>
      <c r="P12" s="45"/>
    </row>
    <row r="13" spans="2:16" ht="30">
      <c r="B13" s="55">
        <v>2.5</v>
      </c>
      <c r="C13" s="54"/>
      <c r="D13" s="55" t="str">
        <f t="shared" si="0"/>
        <v/>
      </c>
      <c r="E13" s="60" t="str">
        <f t="shared" si="1"/>
        <v/>
      </c>
      <c r="G13" s="241" t="s">
        <v>593</v>
      </c>
      <c r="H13" s="45"/>
      <c r="I13" s="45"/>
      <c r="J13" s="45"/>
      <c r="K13" s="45"/>
      <c r="L13" s="45"/>
      <c r="M13" s="45"/>
      <c r="N13" s="45"/>
      <c r="O13" s="45"/>
      <c r="P13" s="45"/>
    </row>
    <row r="14" spans="2:16" ht="30">
      <c r="B14" s="58">
        <v>2.6</v>
      </c>
      <c r="C14" s="57"/>
      <c r="D14" s="58" t="str">
        <f t="shared" si="0"/>
        <v/>
      </c>
      <c r="E14" s="59" t="str">
        <f t="shared" si="1"/>
        <v/>
      </c>
      <c r="G14" s="241" t="s">
        <v>607</v>
      </c>
      <c r="H14" s="45"/>
      <c r="I14" s="45"/>
      <c r="J14" s="45"/>
      <c r="K14" s="45"/>
      <c r="L14" s="45"/>
      <c r="M14" s="45"/>
      <c r="N14" s="45"/>
      <c r="O14" s="45"/>
      <c r="P14" s="45"/>
    </row>
    <row r="15" spans="2:16" ht="15">
      <c r="B15" s="55">
        <v>3.1</v>
      </c>
      <c r="C15" s="54"/>
      <c r="D15" s="55" t="str">
        <f t="shared" si="0"/>
        <v/>
      </c>
      <c r="E15" s="60" t="str">
        <f t="shared" si="1"/>
        <v/>
      </c>
      <c r="G15" s="241" t="s">
        <v>608</v>
      </c>
      <c r="H15" s="45"/>
      <c r="I15" s="45"/>
      <c r="J15" s="45"/>
      <c r="K15" s="45"/>
      <c r="L15" s="45"/>
      <c r="M15" s="45"/>
      <c r="N15" s="45"/>
      <c r="O15" s="45"/>
      <c r="P15" s="45"/>
    </row>
    <row r="16" spans="2:16" ht="16" thickBot="1">
      <c r="B16" s="58">
        <v>3.2</v>
      </c>
      <c r="C16" s="57"/>
      <c r="D16" s="58" t="str">
        <f t="shared" si="0"/>
        <v/>
      </c>
      <c r="E16" s="59" t="str">
        <f t="shared" si="1"/>
        <v/>
      </c>
      <c r="G16" s="243" t="s">
        <v>609</v>
      </c>
      <c r="H16" s="45"/>
      <c r="I16" s="45"/>
      <c r="J16" s="45"/>
      <c r="K16" s="45"/>
      <c r="L16" s="45"/>
      <c r="M16" s="45"/>
      <c r="N16" s="45"/>
      <c r="O16" s="45"/>
      <c r="P16" s="45"/>
    </row>
    <row r="17" spans="2:16" ht="14">
      <c r="B17" s="55">
        <v>3.3</v>
      </c>
      <c r="C17" s="54"/>
      <c r="D17" s="55" t="str">
        <f t="shared" si="0"/>
        <v/>
      </c>
      <c r="E17" s="60" t="str">
        <f t="shared" si="1"/>
        <v/>
      </c>
      <c r="G17" s="297"/>
      <c r="H17" s="45"/>
      <c r="I17" s="45"/>
      <c r="J17" s="45"/>
      <c r="K17" s="45"/>
      <c r="L17" s="45"/>
      <c r="M17" s="45"/>
      <c r="N17" s="45"/>
      <c r="O17" s="45"/>
      <c r="P17" s="45"/>
    </row>
    <row r="18" spans="2:16" ht="14">
      <c r="B18" s="58">
        <v>3.4</v>
      </c>
      <c r="C18" s="57"/>
      <c r="D18" s="58" t="str">
        <f t="shared" si="0"/>
        <v/>
      </c>
      <c r="E18" s="59" t="str">
        <f t="shared" si="1"/>
        <v/>
      </c>
      <c r="G18" s="298"/>
      <c r="H18" s="45"/>
      <c r="I18" s="45"/>
      <c r="J18" s="45"/>
      <c r="K18" s="45"/>
      <c r="L18" s="45"/>
      <c r="M18" s="45"/>
      <c r="N18" s="45"/>
      <c r="O18" s="45"/>
      <c r="P18" s="45"/>
    </row>
    <row r="19" spans="2:16" ht="13.75" customHeight="1">
      <c r="B19" s="55">
        <v>3.5</v>
      </c>
      <c r="C19" s="54"/>
      <c r="D19" s="55" t="str">
        <f t="shared" si="0"/>
        <v/>
      </c>
      <c r="E19" s="60" t="str">
        <f t="shared" si="1"/>
        <v/>
      </c>
      <c r="G19" s="298"/>
      <c r="H19" s="45"/>
      <c r="I19" s="45"/>
      <c r="J19" s="45"/>
      <c r="K19" s="45"/>
      <c r="L19" s="45"/>
      <c r="M19" s="45"/>
      <c r="N19" s="45"/>
      <c r="O19" s="45"/>
      <c r="P19" s="45"/>
    </row>
    <row r="20" spans="2:16" ht="14">
      <c r="B20" s="58">
        <v>3.6</v>
      </c>
      <c r="C20" s="57"/>
      <c r="D20" s="58" t="str">
        <f t="shared" si="0"/>
        <v/>
      </c>
      <c r="E20" s="59" t="str">
        <f t="shared" si="1"/>
        <v/>
      </c>
      <c r="G20" s="244"/>
      <c r="H20" s="45"/>
      <c r="I20" s="45"/>
      <c r="J20" s="45"/>
      <c r="K20" s="45"/>
      <c r="L20" s="45"/>
      <c r="M20" s="45"/>
      <c r="N20" s="45"/>
      <c r="O20" s="45"/>
      <c r="P20" s="45"/>
    </row>
    <row r="21" spans="2:16" ht="14">
      <c r="B21" s="55">
        <v>3.7</v>
      </c>
      <c r="C21" s="54"/>
      <c r="D21" s="55" t="str">
        <f t="shared" si="0"/>
        <v/>
      </c>
      <c r="E21" s="60" t="str">
        <f t="shared" si="1"/>
        <v/>
      </c>
      <c r="G21" s="103"/>
    </row>
    <row r="22" spans="2:16" ht="14">
      <c r="B22" s="58">
        <v>3.8</v>
      </c>
      <c r="C22" s="57"/>
      <c r="D22" s="58" t="str">
        <f t="shared" si="0"/>
        <v/>
      </c>
      <c r="E22" s="59" t="str">
        <f t="shared" si="1"/>
        <v/>
      </c>
    </row>
    <row r="23" spans="2:16" ht="14">
      <c r="B23" s="55">
        <v>3.9</v>
      </c>
      <c r="C23" s="54"/>
      <c r="D23" s="55" t="str">
        <f t="shared" si="0"/>
        <v/>
      </c>
      <c r="E23" s="60" t="str">
        <f t="shared" si="1"/>
        <v/>
      </c>
    </row>
    <row r="24" spans="2:16" ht="14">
      <c r="B24" s="90">
        <v>3.1</v>
      </c>
      <c r="C24" s="57"/>
      <c r="D24" s="58" t="str">
        <f t="shared" si="0"/>
        <v/>
      </c>
      <c r="E24" s="59" t="str">
        <f t="shared" si="1"/>
        <v/>
      </c>
    </row>
    <row r="25" spans="2:16" ht="14">
      <c r="B25" s="55">
        <v>3.11</v>
      </c>
      <c r="C25" s="54"/>
      <c r="D25" s="55" t="str">
        <f t="shared" si="0"/>
        <v/>
      </c>
      <c r="E25" s="60" t="str">
        <f t="shared" si="1"/>
        <v/>
      </c>
    </row>
    <row r="26" spans="2:16" ht="14">
      <c r="B26" s="58">
        <v>3.12</v>
      </c>
      <c r="C26" s="57"/>
      <c r="D26" s="58" t="str">
        <f t="shared" si="0"/>
        <v/>
      </c>
      <c r="E26" s="59" t="str">
        <f t="shared" si="1"/>
        <v/>
      </c>
    </row>
    <row r="27" spans="2:16" ht="14">
      <c r="B27" s="55">
        <v>4.0999999999999996</v>
      </c>
      <c r="C27" s="54"/>
      <c r="D27" s="55" t="str">
        <f t="shared" si="0"/>
        <v/>
      </c>
      <c r="E27" s="60" t="str">
        <f t="shared" si="1"/>
        <v/>
      </c>
    </row>
    <row r="28" spans="2:16" ht="14">
      <c r="B28" s="58">
        <v>4.2</v>
      </c>
      <c r="C28" s="57"/>
      <c r="D28" s="58" t="str">
        <f t="shared" si="0"/>
        <v/>
      </c>
      <c r="E28" s="59" t="str">
        <f t="shared" si="1"/>
        <v/>
      </c>
    </row>
    <row r="29" spans="2:16" ht="14">
      <c r="B29" s="55">
        <v>4.3</v>
      </c>
      <c r="C29" s="54"/>
      <c r="D29" s="55" t="str">
        <f t="shared" si="0"/>
        <v/>
      </c>
      <c r="E29" s="60" t="str">
        <f t="shared" si="1"/>
        <v/>
      </c>
    </row>
    <row r="30" spans="2:16" ht="14">
      <c r="B30" s="58">
        <v>4.4000000000000004</v>
      </c>
      <c r="C30" s="57"/>
      <c r="D30" s="58" t="str">
        <f t="shared" si="0"/>
        <v/>
      </c>
      <c r="E30" s="59" t="str">
        <f t="shared" si="1"/>
        <v/>
      </c>
    </row>
    <row r="31" spans="2:16" ht="14">
      <c r="B31" s="55">
        <v>4.5</v>
      </c>
      <c r="C31" s="54"/>
      <c r="D31" s="55" t="str">
        <f t="shared" si="0"/>
        <v/>
      </c>
      <c r="E31" s="60" t="str">
        <f t="shared" si="1"/>
        <v/>
      </c>
    </row>
    <row r="32" spans="2:16" ht="14">
      <c r="B32" s="58">
        <v>4.5999999999999996</v>
      </c>
      <c r="C32" s="57"/>
      <c r="D32" s="58" t="str">
        <f t="shared" si="0"/>
        <v/>
      </c>
      <c r="E32" s="59" t="str">
        <f t="shared" si="1"/>
        <v/>
      </c>
    </row>
    <row r="33" spans="2:5" ht="14">
      <c r="B33" s="55">
        <v>4.7</v>
      </c>
      <c r="C33" s="54"/>
      <c r="D33" s="55" t="str">
        <f t="shared" si="0"/>
        <v/>
      </c>
      <c r="E33" s="60" t="str">
        <f t="shared" si="1"/>
        <v/>
      </c>
    </row>
    <row r="34" spans="2:5" ht="14">
      <c r="B34" s="58">
        <v>4.8</v>
      </c>
      <c r="C34" s="57"/>
      <c r="D34" s="58" t="str">
        <f t="shared" si="0"/>
        <v/>
      </c>
      <c r="E34" s="59" t="str">
        <f t="shared" si="1"/>
        <v/>
      </c>
    </row>
    <row r="35" spans="2:5" ht="14">
      <c r="B35" s="55">
        <v>4.9000000000000004</v>
      </c>
      <c r="C35" s="54"/>
      <c r="D35" s="55" t="str">
        <f t="shared" si="0"/>
        <v/>
      </c>
      <c r="E35" s="60" t="str">
        <f t="shared" si="1"/>
        <v/>
      </c>
    </row>
    <row r="36" spans="2:5" ht="14">
      <c r="B36" s="90">
        <v>4.0999999999999996</v>
      </c>
      <c r="C36" s="57"/>
      <c r="D36" s="58" t="str">
        <f t="shared" si="0"/>
        <v/>
      </c>
      <c r="E36" s="59" t="str">
        <f t="shared" si="1"/>
        <v/>
      </c>
    </row>
    <row r="37" spans="2:5" ht="14">
      <c r="B37" s="55">
        <v>4.1100000000000003</v>
      </c>
      <c r="C37" s="54"/>
      <c r="D37" s="55" t="str">
        <f t="shared" si="0"/>
        <v/>
      </c>
      <c r="E37" s="60" t="str">
        <f t="shared" si="1"/>
        <v/>
      </c>
    </row>
    <row r="38" spans="2:5" ht="14">
      <c r="B38" s="58">
        <v>5.0999999999999996</v>
      </c>
      <c r="C38" s="57"/>
      <c r="D38" s="58" t="str">
        <f t="shared" si="0"/>
        <v/>
      </c>
      <c r="E38" s="59" t="str">
        <f t="shared" si="1"/>
        <v/>
      </c>
    </row>
    <row r="39" spans="2:5" ht="14">
      <c r="B39" s="55">
        <v>5.2</v>
      </c>
      <c r="C39" s="54"/>
      <c r="D39" s="55" t="str">
        <f t="shared" si="0"/>
        <v/>
      </c>
      <c r="E39" s="60" t="str">
        <f t="shared" si="1"/>
        <v/>
      </c>
    </row>
    <row r="40" spans="2:5" ht="14">
      <c r="B40" s="58">
        <v>5.3</v>
      </c>
      <c r="C40" s="57"/>
      <c r="D40" s="58" t="str">
        <f t="shared" si="0"/>
        <v/>
      </c>
      <c r="E40" s="59" t="str">
        <f t="shared" si="1"/>
        <v/>
      </c>
    </row>
    <row r="41" spans="2:5" ht="14">
      <c r="B41" s="55">
        <v>5.4</v>
      </c>
      <c r="C41" s="54"/>
      <c r="D41" s="55" t="str">
        <f t="shared" si="0"/>
        <v/>
      </c>
      <c r="E41" s="60" t="str">
        <f t="shared" si="1"/>
        <v/>
      </c>
    </row>
    <row r="42" spans="2:5" ht="14">
      <c r="B42" s="58">
        <v>5.5</v>
      </c>
      <c r="C42" s="57"/>
      <c r="D42" s="58" t="str">
        <f t="shared" si="0"/>
        <v/>
      </c>
      <c r="E42" s="59" t="str">
        <f t="shared" si="1"/>
        <v/>
      </c>
    </row>
    <row r="43" spans="2:5" ht="14">
      <c r="B43" s="55">
        <v>5.6</v>
      </c>
      <c r="C43" s="54"/>
      <c r="D43" s="55" t="str">
        <f t="shared" si="0"/>
        <v/>
      </c>
      <c r="E43" s="60" t="str">
        <f t="shared" si="1"/>
        <v/>
      </c>
    </row>
    <row r="44" spans="2:5" ht="14">
      <c r="B44" s="58">
        <v>6.1</v>
      </c>
      <c r="C44" s="57"/>
      <c r="D44" s="58" t="str">
        <f t="shared" si="0"/>
        <v/>
      </c>
      <c r="E44" s="59" t="str">
        <f t="shared" si="1"/>
        <v/>
      </c>
    </row>
    <row r="45" spans="2:5" ht="14">
      <c r="B45" s="55">
        <v>6.2</v>
      </c>
      <c r="C45" s="54"/>
      <c r="D45" s="55" t="str">
        <f t="shared" si="0"/>
        <v/>
      </c>
      <c r="E45" s="60" t="str">
        <f t="shared" si="1"/>
        <v/>
      </c>
    </row>
    <row r="46" spans="2:5" ht="14">
      <c r="B46" s="58">
        <v>6.3</v>
      </c>
      <c r="C46" s="57"/>
      <c r="D46" s="58" t="str">
        <f t="shared" si="0"/>
        <v/>
      </c>
      <c r="E46" s="59" t="str">
        <f t="shared" si="1"/>
        <v/>
      </c>
    </row>
    <row r="47" spans="2:5" ht="14">
      <c r="B47" s="55">
        <v>6.4</v>
      </c>
      <c r="C47" s="54"/>
      <c r="D47" s="55" t="str">
        <f t="shared" si="0"/>
        <v/>
      </c>
      <c r="E47" s="60" t="str">
        <f t="shared" si="1"/>
        <v/>
      </c>
    </row>
    <row r="48" spans="2:5" ht="14">
      <c r="B48" s="58">
        <v>6.5</v>
      </c>
      <c r="C48" s="57"/>
      <c r="D48" s="58" t="str">
        <f t="shared" si="0"/>
        <v/>
      </c>
      <c r="E48" s="59" t="str">
        <f t="shared" si="1"/>
        <v/>
      </c>
    </row>
    <row r="49" spans="2:5" ht="14">
      <c r="B49" s="55">
        <v>6.6</v>
      </c>
      <c r="C49" s="54"/>
      <c r="D49" s="55" t="str">
        <f t="shared" si="0"/>
        <v/>
      </c>
      <c r="E49" s="60" t="str">
        <f t="shared" si="1"/>
        <v/>
      </c>
    </row>
    <row r="50" spans="2:5" ht="14">
      <c r="B50" s="58">
        <v>6.7</v>
      </c>
      <c r="C50" s="57"/>
      <c r="D50" s="58" t="str">
        <f t="shared" si="0"/>
        <v/>
      </c>
      <c r="E50" s="59" t="str">
        <f t="shared" si="1"/>
        <v/>
      </c>
    </row>
    <row r="51" spans="2:5" ht="14">
      <c r="B51" s="55">
        <v>7.1</v>
      </c>
      <c r="C51" s="54"/>
      <c r="D51" s="55" t="str">
        <f t="shared" si="0"/>
        <v/>
      </c>
      <c r="E51" s="60" t="str">
        <f t="shared" si="1"/>
        <v/>
      </c>
    </row>
    <row r="52" spans="2:5" ht="14">
      <c r="B52" s="58">
        <v>7.2</v>
      </c>
      <c r="C52" s="57"/>
      <c r="D52" s="58" t="str">
        <f t="shared" si="0"/>
        <v/>
      </c>
      <c r="E52" s="59" t="str">
        <f t="shared" si="1"/>
        <v/>
      </c>
    </row>
    <row r="53" spans="2:5" ht="14">
      <c r="B53" s="55">
        <v>7.3</v>
      </c>
      <c r="C53" s="54"/>
      <c r="D53" s="55" t="str">
        <f t="shared" si="0"/>
        <v/>
      </c>
      <c r="E53" s="60" t="str">
        <f t="shared" si="1"/>
        <v/>
      </c>
    </row>
    <row r="54" spans="2:5" ht="14">
      <c r="B54" s="58">
        <v>7.4</v>
      </c>
      <c r="C54" s="57"/>
      <c r="D54" s="58" t="str">
        <f t="shared" si="0"/>
        <v/>
      </c>
      <c r="E54" s="59" t="str">
        <f t="shared" si="1"/>
        <v/>
      </c>
    </row>
    <row r="55" spans="2:5" ht="14">
      <c r="B55" s="55">
        <v>7.5</v>
      </c>
      <c r="C55" s="54"/>
      <c r="D55" s="55" t="str">
        <f t="shared" si="0"/>
        <v/>
      </c>
      <c r="E55" s="60" t="str">
        <f t="shared" si="1"/>
        <v/>
      </c>
    </row>
    <row r="56" spans="2:5" ht="14">
      <c r="B56" s="58">
        <v>7.6</v>
      </c>
      <c r="C56" s="57"/>
      <c r="D56" s="58" t="str">
        <f t="shared" si="0"/>
        <v/>
      </c>
      <c r="E56" s="59" t="str">
        <f t="shared" si="1"/>
        <v/>
      </c>
    </row>
    <row r="57" spans="2:5" ht="14">
      <c r="B57" s="55">
        <v>7.7</v>
      </c>
      <c r="C57" s="54"/>
      <c r="D57" s="55" t="str">
        <f t="shared" si="0"/>
        <v/>
      </c>
      <c r="E57" s="60" t="str">
        <f t="shared" si="1"/>
        <v/>
      </c>
    </row>
    <row r="58" spans="2:5" ht="14">
      <c r="B58" s="58">
        <v>8.1</v>
      </c>
      <c r="C58" s="57"/>
      <c r="D58" s="58" t="str">
        <f t="shared" si="0"/>
        <v/>
      </c>
      <c r="E58" s="59" t="str">
        <f t="shared" si="1"/>
        <v/>
      </c>
    </row>
    <row r="59" spans="2:5" ht="14">
      <c r="B59" s="55">
        <v>8.1999999999999993</v>
      </c>
      <c r="C59" s="54"/>
      <c r="D59" s="55" t="str">
        <f t="shared" si="0"/>
        <v/>
      </c>
      <c r="E59" s="60" t="str">
        <f t="shared" si="1"/>
        <v/>
      </c>
    </row>
    <row r="60" spans="2:5" ht="14">
      <c r="B60" s="58">
        <v>8.3000000000000007</v>
      </c>
      <c r="C60" s="57"/>
      <c r="D60" s="58" t="str">
        <f t="shared" si="0"/>
        <v/>
      </c>
      <c r="E60" s="59" t="str">
        <f t="shared" si="1"/>
        <v/>
      </c>
    </row>
    <row r="61" spans="2:5" ht="14">
      <c r="B61" s="55">
        <v>8.4</v>
      </c>
      <c r="C61" s="54"/>
      <c r="D61" s="55" t="str">
        <f t="shared" si="0"/>
        <v/>
      </c>
      <c r="E61" s="60" t="str">
        <f t="shared" si="1"/>
        <v/>
      </c>
    </row>
    <row r="62" spans="2:5" ht="14">
      <c r="B62" s="58">
        <v>8.5</v>
      </c>
      <c r="C62" s="57"/>
      <c r="D62" s="58" t="str">
        <f t="shared" si="0"/>
        <v/>
      </c>
      <c r="E62" s="59" t="str">
        <f t="shared" si="1"/>
        <v/>
      </c>
    </row>
    <row r="63" spans="2:5" ht="14">
      <c r="B63" s="55">
        <v>8.6</v>
      </c>
      <c r="C63" s="54"/>
      <c r="D63" s="55" t="str">
        <f t="shared" si="0"/>
        <v/>
      </c>
      <c r="E63" s="60" t="str">
        <f t="shared" si="1"/>
        <v/>
      </c>
    </row>
    <row r="64" spans="2:5" ht="14">
      <c r="B64" s="58">
        <v>8.6999999999999993</v>
      </c>
      <c r="C64" s="57"/>
      <c r="D64" s="58" t="str">
        <f t="shared" si="0"/>
        <v/>
      </c>
      <c r="E64" s="59" t="str">
        <f t="shared" si="1"/>
        <v/>
      </c>
    </row>
    <row r="65" spans="2:5" ht="14">
      <c r="B65" s="55">
        <v>8.8000000000000007</v>
      </c>
      <c r="C65" s="54"/>
      <c r="D65" s="55" t="str">
        <f t="shared" si="0"/>
        <v/>
      </c>
      <c r="E65" s="60" t="str">
        <f t="shared" si="1"/>
        <v/>
      </c>
    </row>
    <row r="66" spans="2:5" ht="14">
      <c r="B66" s="58">
        <v>8.9</v>
      </c>
      <c r="C66" s="57"/>
      <c r="D66" s="58" t="str">
        <f t="shared" si="0"/>
        <v/>
      </c>
      <c r="E66" s="59" t="str">
        <f t="shared" si="1"/>
        <v/>
      </c>
    </row>
    <row r="67" spans="2:5" ht="14">
      <c r="B67" s="99">
        <v>8.1</v>
      </c>
      <c r="C67" s="54"/>
      <c r="D67" s="55" t="str">
        <f t="shared" si="0"/>
        <v/>
      </c>
      <c r="E67" s="60" t="str">
        <f t="shared" si="1"/>
        <v/>
      </c>
    </row>
    <row r="68" spans="2:5" ht="14">
      <c r="B68" s="58">
        <v>8.11</v>
      </c>
      <c r="C68" s="57"/>
      <c r="D68" s="58" t="str">
        <f t="shared" si="0"/>
        <v/>
      </c>
      <c r="E68" s="59" t="str">
        <f t="shared" si="1"/>
        <v/>
      </c>
    </row>
    <row r="69" spans="2:5" ht="14">
      <c r="B69" s="55">
        <v>9.1</v>
      </c>
      <c r="C69" s="54"/>
      <c r="D69" s="55" t="str">
        <f t="shared" si="0"/>
        <v/>
      </c>
      <c r="E69" s="60" t="str">
        <f t="shared" si="1"/>
        <v/>
      </c>
    </row>
    <row r="70" spans="2:5" ht="14">
      <c r="B70" s="58">
        <v>9.1999999999999993</v>
      </c>
      <c r="C70" s="57"/>
      <c r="D70" s="58" t="str">
        <f t="shared" ref="D70:D133" si="2">LEFT($C70, 1)</f>
        <v/>
      </c>
      <c r="E70" s="59" t="str">
        <f t="shared" ref="E70:E133" si="3">D70</f>
        <v/>
      </c>
    </row>
    <row r="71" spans="2:5" ht="14">
      <c r="B71" s="55">
        <v>9.3000000000000007</v>
      </c>
      <c r="C71" s="54"/>
      <c r="D71" s="55" t="str">
        <f>LEFT($C71, 1)</f>
        <v/>
      </c>
      <c r="E71" s="60" t="str">
        <f t="shared" si="3"/>
        <v/>
      </c>
    </row>
    <row r="72" spans="2:5" ht="14">
      <c r="B72" s="58">
        <v>9.4</v>
      </c>
      <c r="C72" s="57"/>
      <c r="D72" s="58" t="str">
        <f t="shared" si="2"/>
        <v/>
      </c>
      <c r="E72" s="59" t="str">
        <f t="shared" si="3"/>
        <v/>
      </c>
    </row>
    <row r="73" spans="2:5" ht="14">
      <c r="B73" s="55">
        <v>9.5</v>
      </c>
      <c r="C73" s="54"/>
      <c r="D73" s="55" t="str">
        <f t="shared" si="2"/>
        <v/>
      </c>
      <c r="E73" s="60" t="str">
        <f t="shared" si="3"/>
        <v/>
      </c>
    </row>
    <row r="74" spans="2:5" ht="14">
      <c r="B74" s="58">
        <v>9.6</v>
      </c>
      <c r="C74" s="57"/>
      <c r="D74" s="58" t="str">
        <f t="shared" si="2"/>
        <v/>
      </c>
      <c r="E74" s="59" t="str">
        <f t="shared" si="3"/>
        <v/>
      </c>
    </row>
    <row r="75" spans="2:5" ht="14">
      <c r="B75" s="55">
        <v>10.1</v>
      </c>
      <c r="C75" s="54"/>
      <c r="D75" s="55" t="str">
        <f t="shared" si="2"/>
        <v/>
      </c>
      <c r="E75" s="60" t="str">
        <f t="shared" si="3"/>
        <v/>
      </c>
    </row>
    <row r="76" spans="2:5" ht="14">
      <c r="B76" s="58">
        <v>10.199999999999999</v>
      </c>
      <c r="C76" s="57"/>
      <c r="D76" s="58" t="str">
        <f t="shared" si="2"/>
        <v/>
      </c>
      <c r="E76" s="59" t="str">
        <f t="shared" si="3"/>
        <v/>
      </c>
    </row>
    <row r="77" spans="2:5" ht="14">
      <c r="B77" s="55">
        <v>10.3</v>
      </c>
      <c r="C77" s="54"/>
      <c r="D77" s="55" t="str">
        <f t="shared" si="2"/>
        <v/>
      </c>
      <c r="E77" s="60" t="str">
        <f t="shared" si="3"/>
        <v/>
      </c>
    </row>
    <row r="78" spans="2:5" ht="14">
      <c r="B78" s="58">
        <v>10.4</v>
      </c>
      <c r="C78" s="57"/>
      <c r="D78" s="58" t="str">
        <f t="shared" si="2"/>
        <v/>
      </c>
      <c r="E78" s="59" t="str">
        <f t="shared" si="3"/>
        <v/>
      </c>
    </row>
    <row r="79" spans="2:5" ht="14">
      <c r="B79" s="55">
        <v>10.5</v>
      </c>
      <c r="C79" s="54"/>
      <c r="D79" s="55" t="str">
        <f t="shared" si="2"/>
        <v/>
      </c>
      <c r="E79" s="60" t="str">
        <f t="shared" si="3"/>
        <v/>
      </c>
    </row>
    <row r="80" spans="2:5" ht="14">
      <c r="B80" s="58">
        <v>10.6</v>
      </c>
      <c r="C80" s="57"/>
      <c r="D80" s="58" t="str">
        <f t="shared" si="2"/>
        <v/>
      </c>
      <c r="E80" s="59" t="str">
        <f t="shared" si="3"/>
        <v/>
      </c>
    </row>
    <row r="81" spans="2:5" ht="14">
      <c r="B81" s="55">
        <v>10.7</v>
      </c>
      <c r="C81" s="54"/>
      <c r="D81" s="55" t="str">
        <f t="shared" si="2"/>
        <v/>
      </c>
      <c r="E81" s="60" t="str">
        <f t="shared" si="3"/>
        <v/>
      </c>
    </row>
    <row r="82" spans="2:5" ht="14">
      <c r="B82" s="58">
        <v>11.1</v>
      </c>
      <c r="C82" s="57"/>
      <c r="D82" s="58" t="str">
        <f t="shared" si="2"/>
        <v/>
      </c>
      <c r="E82" s="59" t="str">
        <f t="shared" si="3"/>
        <v/>
      </c>
    </row>
    <row r="83" spans="2:5" ht="14">
      <c r="B83" s="55">
        <v>11.2</v>
      </c>
      <c r="C83" s="54"/>
      <c r="D83" s="55" t="str">
        <f t="shared" si="2"/>
        <v/>
      </c>
      <c r="E83" s="60" t="str">
        <f t="shared" si="3"/>
        <v/>
      </c>
    </row>
    <row r="84" spans="2:5" ht="14">
      <c r="B84" s="58">
        <v>11.3</v>
      </c>
      <c r="C84" s="57"/>
      <c r="D84" s="58" t="str">
        <f t="shared" si="2"/>
        <v/>
      </c>
      <c r="E84" s="59" t="str">
        <f t="shared" si="3"/>
        <v/>
      </c>
    </row>
    <row r="85" spans="2:5" ht="14">
      <c r="B85" s="55">
        <v>11.4</v>
      </c>
      <c r="C85" s="54"/>
      <c r="D85" s="55" t="str">
        <f t="shared" si="2"/>
        <v/>
      </c>
      <c r="E85" s="60" t="str">
        <f t="shared" si="3"/>
        <v/>
      </c>
    </row>
    <row r="86" spans="2:5" ht="14">
      <c r="B86" s="58">
        <v>11.5</v>
      </c>
      <c r="C86" s="57"/>
      <c r="D86" s="58" t="str">
        <f t="shared" si="2"/>
        <v/>
      </c>
      <c r="E86" s="59" t="str">
        <f t="shared" si="3"/>
        <v/>
      </c>
    </row>
    <row r="87" spans="2:5" ht="14">
      <c r="B87" s="55">
        <v>12.1</v>
      </c>
      <c r="C87" s="54"/>
      <c r="D87" s="55" t="str">
        <f t="shared" si="2"/>
        <v/>
      </c>
      <c r="E87" s="60" t="str">
        <f t="shared" si="3"/>
        <v/>
      </c>
    </row>
    <row r="88" spans="2:5" ht="14">
      <c r="B88" s="58">
        <v>12.2</v>
      </c>
      <c r="C88" s="57"/>
      <c r="D88" s="58" t="str">
        <f t="shared" si="2"/>
        <v/>
      </c>
      <c r="E88" s="59" t="str">
        <f t="shared" si="3"/>
        <v/>
      </c>
    </row>
    <row r="89" spans="2:5" ht="14">
      <c r="B89" s="55">
        <v>12.3</v>
      </c>
      <c r="C89" s="54"/>
      <c r="D89" s="55" t="str">
        <f t="shared" si="2"/>
        <v/>
      </c>
      <c r="E89" s="60" t="str">
        <f t="shared" si="3"/>
        <v/>
      </c>
    </row>
    <row r="90" spans="2:5" ht="14">
      <c r="B90" s="58">
        <v>12.4</v>
      </c>
      <c r="C90" s="57"/>
      <c r="D90" s="58" t="str">
        <f t="shared" si="2"/>
        <v/>
      </c>
      <c r="E90" s="59" t="str">
        <f t="shared" si="3"/>
        <v/>
      </c>
    </row>
    <row r="91" spans="2:5" ht="14">
      <c r="B91" s="55">
        <v>12.5</v>
      </c>
      <c r="C91" s="54"/>
      <c r="D91" s="55" t="str">
        <f t="shared" si="2"/>
        <v/>
      </c>
      <c r="E91" s="60" t="str">
        <f t="shared" si="3"/>
        <v/>
      </c>
    </row>
    <row r="92" spans="2:5" ht="14">
      <c r="B92" s="58">
        <v>12.6</v>
      </c>
      <c r="C92" s="57"/>
      <c r="D92" s="58" t="str">
        <f t="shared" si="2"/>
        <v/>
      </c>
      <c r="E92" s="59" t="str">
        <f t="shared" si="3"/>
        <v/>
      </c>
    </row>
    <row r="93" spans="2:5" ht="14">
      <c r="B93" s="55">
        <v>12.7</v>
      </c>
      <c r="C93" s="54"/>
      <c r="D93" s="55" t="str">
        <f t="shared" si="2"/>
        <v/>
      </c>
      <c r="E93" s="60" t="str">
        <f t="shared" si="3"/>
        <v/>
      </c>
    </row>
    <row r="94" spans="2:5" ht="14">
      <c r="B94" s="58">
        <v>13.1</v>
      </c>
      <c r="C94" s="57"/>
      <c r="D94" s="58" t="str">
        <f t="shared" si="2"/>
        <v/>
      </c>
      <c r="E94" s="59" t="str">
        <f t="shared" si="3"/>
        <v/>
      </c>
    </row>
    <row r="95" spans="2:5" ht="14">
      <c r="B95" s="55">
        <v>13.2</v>
      </c>
      <c r="C95" s="54"/>
      <c r="D95" s="55" t="str">
        <f t="shared" si="2"/>
        <v/>
      </c>
      <c r="E95" s="60" t="str">
        <f t="shared" si="3"/>
        <v/>
      </c>
    </row>
    <row r="96" spans="2:5" ht="14">
      <c r="B96" s="58">
        <v>13.3</v>
      </c>
      <c r="C96" s="57"/>
      <c r="D96" s="58" t="str">
        <f t="shared" si="2"/>
        <v/>
      </c>
      <c r="E96" s="59" t="str">
        <f t="shared" si="3"/>
        <v/>
      </c>
    </row>
    <row r="97" spans="2:5" ht="14">
      <c r="B97" s="55">
        <v>13.4</v>
      </c>
      <c r="C97" s="54"/>
      <c r="D97" s="55" t="str">
        <f t="shared" si="2"/>
        <v/>
      </c>
      <c r="E97" s="60" t="str">
        <f t="shared" si="3"/>
        <v/>
      </c>
    </row>
    <row r="98" spans="2:5" ht="14">
      <c r="B98" s="58">
        <v>13.5</v>
      </c>
      <c r="C98" s="57"/>
      <c r="D98" s="58" t="str">
        <f t="shared" si="2"/>
        <v/>
      </c>
      <c r="E98" s="59" t="str">
        <f t="shared" si="3"/>
        <v/>
      </c>
    </row>
    <row r="99" spans="2:5" ht="14">
      <c r="B99" s="55">
        <v>13.6</v>
      </c>
      <c r="C99" s="54"/>
      <c r="D99" s="55" t="str">
        <f t="shared" si="2"/>
        <v/>
      </c>
      <c r="E99" s="60" t="str">
        <f t="shared" si="3"/>
        <v/>
      </c>
    </row>
    <row r="100" spans="2:5" ht="14">
      <c r="B100" s="58">
        <v>14.1</v>
      </c>
      <c r="C100" s="57"/>
      <c r="D100" s="58" t="str">
        <f t="shared" si="2"/>
        <v/>
      </c>
      <c r="E100" s="59" t="str">
        <f t="shared" si="3"/>
        <v/>
      </c>
    </row>
    <row r="101" spans="2:5" ht="14">
      <c r="B101" s="55">
        <v>14.2</v>
      </c>
      <c r="C101" s="54"/>
      <c r="D101" s="55" t="str">
        <f t="shared" si="2"/>
        <v/>
      </c>
      <c r="E101" s="60" t="str">
        <f t="shared" si="3"/>
        <v/>
      </c>
    </row>
    <row r="102" spans="2:5" ht="14">
      <c r="B102" s="58">
        <v>14.3</v>
      </c>
      <c r="C102" s="57"/>
      <c r="D102" s="58" t="str">
        <f t="shared" si="2"/>
        <v/>
      </c>
      <c r="E102" s="59" t="str">
        <f t="shared" si="3"/>
        <v/>
      </c>
    </row>
    <row r="103" spans="2:5" ht="14">
      <c r="B103" s="55">
        <v>14.4</v>
      </c>
      <c r="C103" s="54"/>
      <c r="D103" s="55" t="str">
        <f t="shared" si="2"/>
        <v/>
      </c>
      <c r="E103" s="60" t="str">
        <f t="shared" si="3"/>
        <v/>
      </c>
    </row>
    <row r="104" spans="2:5" ht="14">
      <c r="B104" s="58">
        <v>14.5</v>
      </c>
      <c r="C104" s="57"/>
      <c r="D104" s="58" t="str">
        <f t="shared" si="2"/>
        <v/>
      </c>
      <c r="E104" s="59" t="str">
        <f t="shared" si="3"/>
        <v/>
      </c>
    </row>
    <row r="105" spans="2:5" ht="14">
      <c r="B105" s="55">
        <v>14.6</v>
      </c>
      <c r="C105" s="54"/>
      <c r="D105" s="55" t="str">
        <f t="shared" si="2"/>
        <v/>
      </c>
      <c r="E105" s="60" t="str">
        <f t="shared" si="3"/>
        <v/>
      </c>
    </row>
    <row r="106" spans="2:5" ht="14">
      <c r="B106" s="58">
        <v>14.7</v>
      </c>
      <c r="C106" s="57"/>
      <c r="D106" s="58" t="str">
        <f t="shared" si="2"/>
        <v/>
      </c>
      <c r="E106" s="59" t="str">
        <f t="shared" si="3"/>
        <v/>
      </c>
    </row>
    <row r="107" spans="2:5" ht="14">
      <c r="B107" s="55">
        <v>14.8</v>
      </c>
      <c r="C107" s="54"/>
      <c r="D107" s="55" t="str">
        <f t="shared" si="2"/>
        <v/>
      </c>
      <c r="E107" s="60" t="str">
        <f t="shared" si="3"/>
        <v/>
      </c>
    </row>
    <row r="108" spans="2:5" ht="14">
      <c r="B108" s="58">
        <v>14.9</v>
      </c>
      <c r="C108" s="57"/>
      <c r="D108" s="58" t="str">
        <f t="shared" si="2"/>
        <v/>
      </c>
      <c r="E108" s="59" t="str">
        <f t="shared" si="3"/>
        <v/>
      </c>
    </row>
    <row r="109" spans="2:5" ht="14">
      <c r="B109" s="55">
        <v>15.1</v>
      </c>
      <c r="C109" s="54"/>
      <c r="D109" s="55" t="str">
        <f t="shared" si="2"/>
        <v/>
      </c>
      <c r="E109" s="60" t="str">
        <f t="shared" si="3"/>
        <v/>
      </c>
    </row>
    <row r="110" spans="2:5" ht="14">
      <c r="B110" s="58">
        <v>15.2</v>
      </c>
      <c r="C110" s="57"/>
      <c r="D110" s="58" t="str">
        <f t="shared" si="2"/>
        <v/>
      </c>
      <c r="E110" s="59" t="str">
        <f t="shared" si="3"/>
        <v/>
      </c>
    </row>
    <row r="111" spans="2:5" ht="14">
      <c r="B111" s="55">
        <v>15.3</v>
      </c>
      <c r="C111" s="54"/>
      <c r="D111" s="55" t="str">
        <f t="shared" si="2"/>
        <v/>
      </c>
      <c r="E111" s="60" t="str">
        <f t="shared" si="3"/>
        <v/>
      </c>
    </row>
    <row r="112" spans="2:5" ht="14">
      <c r="B112" s="58">
        <v>15.4</v>
      </c>
      <c r="C112" s="57"/>
      <c r="D112" s="58" t="str">
        <f t="shared" si="2"/>
        <v/>
      </c>
      <c r="E112" s="59" t="str">
        <f t="shared" si="3"/>
        <v/>
      </c>
    </row>
    <row r="113" spans="2:5" ht="14">
      <c r="B113" s="55">
        <v>16.100000000000001</v>
      </c>
      <c r="C113" s="54"/>
      <c r="D113" s="55" t="str">
        <f t="shared" si="2"/>
        <v/>
      </c>
      <c r="E113" s="60" t="str">
        <f t="shared" si="3"/>
        <v/>
      </c>
    </row>
    <row r="114" spans="2:5" ht="14">
      <c r="B114" s="58">
        <v>16.2</v>
      </c>
      <c r="C114" s="57"/>
      <c r="D114" s="58" t="str">
        <f t="shared" si="2"/>
        <v/>
      </c>
      <c r="E114" s="59" t="str">
        <f t="shared" si="3"/>
        <v/>
      </c>
    </row>
    <row r="115" spans="2:5" ht="14">
      <c r="B115" s="55">
        <v>16.3</v>
      </c>
      <c r="C115" s="54"/>
      <c r="D115" s="55" t="str">
        <f t="shared" si="2"/>
        <v/>
      </c>
      <c r="E115" s="60" t="str">
        <f t="shared" si="3"/>
        <v/>
      </c>
    </row>
    <row r="116" spans="2:5" ht="14">
      <c r="B116" s="58">
        <v>16.399999999999999</v>
      </c>
      <c r="C116" s="57"/>
      <c r="D116" s="58" t="str">
        <f t="shared" si="2"/>
        <v/>
      </c>
      <c r="E116" s="59" t="str">
        <f t="shared" si="3"/>
        <v/>
      </c>
    </row>
    <row r="117" spans="2:5" ht="14">
      <c r="B117" s="55">
        <v>16.5</v>
      </c>
      <c r="C117" s="54"/>
      <c r="D117" s="55" t="str">
        <f t="shared" si="2"/>
        <v/>
      </c>
      <c r="E117" s="60" t="str">
        <f t="shared" si="3"/>
        <v/>
      </c>
    </row>
    <row r="118" spans="2:5" ht="14">
      <c r="B118" s="58">
        <v>16.600000000000001</v>
      </c>
      <c r="C118" s="57"/>
      <c r="D118" s="58" t="str">
        <f t="shared" si="2"/>
        <v/>
      </c>
      <c r="E118" s="59" t="str">
        <f t="shared" si="3"/>
        <v/>
      </c>
    </row>
    <row r="119" spans="2:5" ht="14">
      <c r="B119" s="55">
        <v>16.7</v>
      </c>
      <c r="C119" s="54"/>
      <c r="D119" s="55" t="str">
        <f t="shared" si="2"/>
        <v/>
      </c>
      <c r="E119" s="60" t="str">
        <f t="shared" si="3"/>
        <v/>
      </c>
    </row>
    <row r="120" spans="2:5" ht="14">
      <c r="B120" s="58">
        <v>16.8</v>
      </c>
      <c r="C120" s="57"/>
      <c r="D120" s="58" t="str">
        <f t="shared" si="2"/>
        <v/>
      </c>
      <c r="E120" s="59" t="str">
        <f t="shared" si="3"/>
        <v/>
      </c>
    </row>
    <row r="121" spans="2:5" ht="14">
      <c r="B121" s="55">
        <v>16.899999999999999</v>
      </c>
      <c r="C121" s="54"/>
      <c r="D121" s="55" t="str">
        <f t="shared" si="2"/>
        <v/>
      </c>
      <c r="E121" s="60" t="str">
        <f t="shared" si="3"/>
        <v/>
      </c>
    </row>
    <row r="122" spans="2:5" ht="14">
      <c r="B122" s="90">
        <v>16.100000000000001</v>
      </c>
      <c r="C122" s="57"/>
      <c r="D122" s="58" t="str">
        <f t="shared" si="2"/>
        <v/>
      </c>
      <c r="E122" s="59" t="str">
        <f t="shared" si="3"/>
        <v/>
      </c>
    </row>
    <row r="123" spans="2:5" ht="14">
      <c r="B123" s="55">
        <v>16.11</v>
      </c>
      <c r="C123" s="54"/>
      <c r="D123" s="55" t="str">
        <f t="shared" si="2"/>
        <v/>
      </c>
      <c r="E123" s="60" t="str">
        <f t="shared" si="3"/>
        <v/>
      </c>
    </row>
    <row r="124" spans="2:5" ht="14">
      <c r="B124" s="58">
        <v>17.100000000000001</v>
      </c>
      <c r="C124" s="57"/>
      <c r="D124" s="58" t="str">
        <f t="shared" si="2"/>
        <v/>
      </c>
      <c r="E124" s="59" t="str">
        <f t="shared" si="3"/>
        <v/>
      </c>
    </row>
    <row r="125" spans="2:5" ht="14">
      <c r="B125" s="55">
        <v>17.2</v>
      </c>
      <c r="C125" s="54"/>
      <c r="D125" s="55" t="str">
        <f t="shared" si="2"/>
        <v/>
      </c>
      <c r="E125" s="60" t="str">
        <f t="shared" si="3"/>
        <v/>
      </c>
    </row>
    <row r="126" spans="2:5" ht="14">
      <c r="B126" s="58">
        <v>17.3</v>
      </c>
      <c r="C126" s="57"/>
      <c r="D126" s="58" t="str">
        <f t="shared" si="2"/>
        <v/>
      </c>
      <c r="E126" s="59" t="str">
        <f t="shared" si="3"/>
        <v/>
      </c>
    </row>
    <row r="127" spans="2:5" ht="14">
      <c r="B127" s="55">
        <v>17.399999999999999</v>
      </c>
      <c r="C127" s="54"/>
      <c r="D127" s="55" t="str">
        <f t="shared" si="2"/>
        <v/>
      </c>
      <c r="E127" s="60" t="str">
        <f t="shared" si="3"/>
        <v/>
      </c>
    </row>
    <row r="128" spans="2:5" ht="14">
      <c r="B128" s="58">
        <v>17.5</v>
      </c>
      <c r="C128" s="57"/>
      <c r="D128" s="58" t="str">
        <f t="shared" si="2"/>
        <v/>
      </c>
      <c r="E128" s="59" t="str">
        <f t="shared" si="3"/>
        <v/>
      </c>
    </row>
    <row r="129" spans="2:5" ht="14">
      <c r="B129" s="55">
        <v>17.600000000000001</v>
      </c>
      <c r="C129" s="54"/>
      <c r="D129" s="55" t="str">
        <f t="shared" si="2"/>
        <v/>
      </c>
      <c r="E129" s="60" t="str">
        <f t="shared" si="3"/>
        <v/>
      </c>
    </row>
    <row r="130" spans="2:5" ht="14">
      <c r="B130" s="58">
        <v>17.7</v>
      </c>
      <c r="C130" s="57"/>
      <c r="D130" s="58" t="str">
        <f t="shared" si="2"/>
        <v/>
      </c>
      <c r="E130" s="59" t="str">
        <f t="shared" si="3"/>
        <v/>
      </c>
    </row>
    <row r="131" spans="2:5" ht="14">
      <c r="B131" s="55">
        <v>17.8</v>
      </c>
      <c r="C131" s="54"/>
      <c r="D131" s="55" t="str">
        <f t="shared" si="2"/>
        <v/>
      </c>
      <c r="E131" s="60" t="str">
        <f t="shared" si="3"/>
        <v/>
      </c>
    </row>
    <row r="132" spans="2:5" ht="14">
      <c r="B132" s="58">
        <v>18.100000000000001</v>
      </c>
      <c r="C132" s="57"/>
      <c r="D132" s="58" t="str">
        <f t="shared" si="2"/>
        <v/>
      </c>
      <c r="E132" s="59" t="str">
        <f t="shared" si="3"/>
        <v/>
      </c>
    </row>
    <row r="133" spans="2:5" ht="14">
      <c r="B133" s="55">
        <v>18.2</v>
      </c>
      <c r="C133" s="54"/>
      <c r="D133" s="55" t="str">
        <f t="shared" si="2"/>
        <v/>
      </c>
      <c r="E133" s="60" t="str">
        <f t="shared" si="3"/>
        <v/>
      </c>
    </row>
    <row r="134" spans="2:5" ht="15" thickBot="1">
      <c r="B134" s="63">
        <v>18.3</v>
      </c>
      <c r="C134" s="62"/>
      <c r="D134" s="63" t="str">
        <f t="shared" ref="D134" si="4">LEFT($C134, 1)</f>
        <v/>
      </c>
      <c r="E134" s="64" t="str">
        <f t="shared" ref="E134" si="5">D134</f>
        <v/>
      </c>
    </row>
  </sheetData>
  <sheetProtection sheet="1" objects="1" scenarios="1"/>
  <mergeCells count="4">
    <mergeCell ref="I1:J1"/>
    <mergeCell ref="B3:E3"/>
    <mergeCell ref="B1:E1"/>
    <mergeCell ref="G17:G19"/>
  </mergeCell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C2F8-5635-44AB-BE27-0DAC9F6AA3C4}">
  <sheetPr>
    <tabColor rgb="FFA391F1"/>
  </sheetPr>
  <dimension ref="B1:Q143"/>
  <sheetViews>
    <sheetView showGridLines="0" workbookViewId="0">
      <selection activeCell="B1" sqref="B1:L1"/>
    </sheetView>
  </sheetViews>
  <sheetFormatPr baseColWidth="10" defaultColWidth="9.1640625" defaultRowHeight="13"/>
  <cols>
    <col min="1" max="1" width="9.1640625" style="42"/>
    <col min="2" max="2" width="19" style="45" customWidth="1"/>
    <col min="3" max="3" width="21.1640625" style="42" bestFit="1" customWidth="1"/>
    <col min="4" max="4" width="28.1640625" style="42" bestFit="1" customWidth="1"/>
    <col min="5" max="5" width="26.5" style="42" customWidth="1"/>
    <col min="6" max="6" width="24.83203125" style="42" bestFit="1" customWidth="1"/>
    <col min="7" max="7" width="18.1640625" style="42" customWidth="1"/>
    <col min="8" max="8" width="20.5" style="42" bestFit="1" customWidth="1"/>
    <col min="9" max="9" width="18.33203125" style="42" bestFit="1" customWidth="1"/>
    <col min="10" max="10" width="16.5" style="42" bestFit="1" customWidth="1"/>
    <col min="11" max="11" width="22" style="42" bestFit="1" customWidth="1"/>
    <col min="12" max="12" width="22" style="42" customWidth="1"/>
    <col min="13" max="13" width="9.1640625" style="42"/>
    <col min="14" max="14" width="123.5" style="42" customWidth="1"/>
    <col min="15" max="15" width="9.1640625" style="42"/>
    <col min="16" max="16" width="19.6640625" style="42" bestFit="1" customWidth="1"/>
    <col min="17" max="17" width="88.6640625" style="42" customWidth="1"/>
    <col min="18" max="16384" width="9.1640625" style="42"/>
  </cols>
  <sheetData>
    <row r="1" spans="2:17" ht="67.5" customHeight="1" thickBot="1">
      <c r="B1" s="310" t="s">
        <v>284</v>
      </c>
      <c r="C1" s="311"/>
      <c r="D1" s="311"/>
      <c r="E1" s="311"/>
      <c r="F1" s="311"/>
      <c r="G1" s="311"/>
      <c r="H1" s="311"/>
      <c r="I1" s="311"/>
      <c r="J1" s="311"/>
      <c r="K1" s="311"/>
      <c r="L1" s="312"/>
      <c r="N1" s="43" t="s">
        <v>285</v>
      </c>
      <c r="P1" s="302" t="s">
        <v>286</v>
      </c>
      <c r="Q1" s="303"/>
    </row>
    <row r="2" spans="2:17" ht="16" thickBot="1">
      <c r="N2" s="240" t="s">
        <v>581</v>
      </c>
      <c r="O2" s="221"/>
      <c r="P2" s="48" t="s">
        <v>127</v>
      </c>
      <c r="Q2" s="48" t="s">
        <v>4</v>
      </c>
    </row>
    <row r="3" spans="2:17" ht="32" thickTop="1" thickBot="1">
      <c r="B3" s="65" t="s">
        <v>287</v>
      </c>
      <c r="C3" s="66" t="s">
        <v>288</v>
      </c>
      <c r="D3" s="66" t="s">
        <v>289</v>
      </c>
      <c r="E3" s="66" t="s">
        <v>290</v>
      </c>
      <c r="F3" s="67" t="s">
        <v>291</v>
      </c>
      <c r="G3" s="68" t="s">
        <v>287</v>
      </c>
      <c r="N3" s="241" t="s">
        <v>582</v>
      </c>
      <c r="O3" s="221"/>
      <c r="P3" s="48">
        <v>1</v>
      </c>
      <c r="Q3" s="53" t="s">
        <v>106</v>
      </c>
    </row>
    <row r="4" spans="2:17" ht="15">
      <c r="B4" s="69">
        <v>1</v>
      </c>
      <c r="C4" s="70" t="s">
        <v>292</v>
      </c>
      <c r="D4" s="70" t="s">
        <v>293</v>
      </c>
      <c r="E4" s="70" t="s">
        <v>294</v>
      </c>
      <c r="F4" s="71" t="s">
        <v>295</v>
      </c>
      <c r="G4" s="72">
        <v>1</v>
      </c>
      <c r="H4" s="313"/>
      <c r="I4" s="298"/>
      <c r="J4" s="298"/>
      <c r="K4" s="298"/>
      <c r="L4" s="298"/>
      <c r="N4" s="241" t="s">
        <v>583</v>
      </c>
      <c r="O4" s="221"/>
      <c r="P4" s="48">
        <v>2</v>
      </c>
      <c r="Q4" s="53" t="s">
        <v>107</v>
      </c>
    </row>
    <row r="5" spans="2:17" ht="15">
      <c r="B5" s="73">
        <v>2</v>
      </c>
      <c r="C5" s="34" t="s">
        <v>296</v>
      </c>
      <c r="D5" s="34" t="s">
        <v>297</v>
      </c>
      <c r="E5" s="34" t="s">
        <v>298</v>
      </c>
      <c r="F5" s="74" t="s">
        <v>299</v>
      </c>
      <c r="G5" s="75">
        <v>2</v>
      </c>
      <c r="H5" s="313"/>
      <c r="I5" s="298"/>
      <c r="J5" s="298"/>
      <c r="K5" s="298"/>
      <c r="L5" s="298"/>
      <c r="N5" s="241" t="s">
        <v>584</v>
      </c>
      <c r="O5" s="221"/>
      <c r="P5" s="48">
        <v>3</v>
      </c>
      <c r="Q5" s="53" t="s">
        <v>108</v>
      </c>
    </row>
    <row r="6" spans="2:17" ht="45">
      <c r="B6" s="73">
        <v>3</v>
      </c>
      <c r="C6" s="34" t="s">
        <v>300</v>
      </c>
      <c r="D6" s="34" t="s">
        <v>301</v>
      </c>
      <c r="E6" s="34" t="s">
        <v>302</v>
      </c>
      <c r="F6" s="74" t="s">
        <v>303</v>
      </c>
      <c r="G6" s="75">
        <v>3</v>
      </c>
      <c r="H6" s="313"/>
      <c r="I6" s="298"/>
      <c r="J6" s="298"/>
      <c r="K6" s="298"/>
      <c r="L6" s="298"/>
      <c r="N6" s="242" t="s">
        <v>597</v>
      </c>
      <c r="O6" s="125"/>
      <c r="P6" s="48">
        <v>4</v>
      </c>
      <c r="Q6" s="53" t="s">
        <v>129</v>
      </c>
    </row>
    <row r="7" spans="2:17" ht="15">
      <c r="B7" s="73">
        <v>4</v>
      </c>
      <c r="C7" s="34" t="s">
        <v>304</v>
      </c>
      <c r="D7" s="34" t="s">
        <v>305</v>
      </c>
      <c r="E7" s="34" t="s">
        <v>306</v>
      </c>
      <c r="F7" s="74" t="s">
        <v>307</v>
      </c>
      <c r="G7" s="75">
        <v>4</v>
      </c>
      <c r="N7" s="241" t="s">
        <v>585</v>
      </c>
      <c r="O7" s="221"/>
      <c r="P7" s="48">
        <v>5</v>
      </c>
      <c r="Q7" s="53" t="s">
        <v>130</v>
      </c>
    </row>
    <row r="8" spans="2:17" ht="30">
      <c r="B8" s="73">
        <v>5</v>
      </c>
      <c r="C8" s="34" t="s">
        <v>308</v>
      </c>
      <c r="D8" s="34" t="s">
        <v>309</v>
      </c>
      <c r="E8" s="34" t="s">
        <v>310</v>
      </c>
      <c r="F8" s="74" t="s">
        <v>311</v>
      </c>
      <c r="G8" s="75">
        <v>5</v>
      </c>
      <c r="N8" s="241" t="s">
        <v>586</v>
      </c>
      <c r="O8" s="221"/>
    </row>
    <row r="9" spans="2:17" ht="15">
      <c r="B9" s="73" t="s">
        <v>312</v>
      </c>
      <c r="C9" s="34" t="s">
        <v>313</v>
      </c>
      <c r="D9" s="34" t="s">
        <v>313</v>
      </c>
      <c r="E9" s="34" t="s">
        <v>313</v>
      </c>
      <c r="F9" s="74" t="s">
        <v>313</v>
      </c>
      <c r="G9" s="75" t="s">
        <v>312</v>
      </c>
      <c r="N9" s="241" t="s">
        <v>587</v>
      </c>
      <c r="O9" s="221"/>
    </row>
    <row r="10" spans="2:17" ht="16" thickBot="1">
      <c r="B10" s="76" t="s">
        <v>314</v>
      </c>
      <c r="C10" s="77" t="s">
        <v>315</v>
      </c>
      <c r="D10" s="77" t="s">
        <v>315</v>
      </c>
      <c r="E10" s="77" t="s">
        <v>315</v>
      </c>
      <c r="F10" s="78" t="s">
        <v>315</v>
      </c>
      <c r="G10" s="79" t="s">
        <v>314</v>
      </c>
      <c r="N10" s="240" t="s">
        <v>588</v>
      </c>
      <c r="O10" s="221"/>
    </row>
    <row r="11" spans="2:17" ht="32" thickTop="1" thickBot="1">
      <c r="N11" s="241" t="s">
        <v>589</v>
      </c>
      <c r="O11" s="221"/>
    </row>
    <row r="12" spans="2:17" s="80" customFormat="1" ht="39" customHeight="1" thickBot="1">
      <c r="B12" s="119" t="s">
        <v>580</v>
      </c>
      <c r="C12" s="304" t="s">
        <v>316</v>
      </c>
      <c r="D12" s="292"/>
      <c r="E12" s="292"/>
      <c r="F12" s="293"/>
      <c r="G12" s="291" t="s">
        <v>317</v>
      </c>
      <c r="H12" s="292"/>
      <c r="I12" s="292"/>
      <c r="J12" s="305"/>
      <c r="K12" s="306" t="s">
        <v>318</v>
      </c>
      <c r="L12" s="308" t="s">
        <v>283</v>
      </c>
      <c r="N12" s="241" t="s">
        <v>590</v>
      </c>
      <c r="O12" s="221"/>
    </row>
    <row r="13" spans="2:17" s="52" customFormat="1" ht="17" thickTop="1" thickBot="1">
      <c r="B13" s="120" t="s">
        <v>579</v>
      </c>
      <c r="C13" s="81" t="s">
        <v>288</v>
      </c>
      <c r="D13" s="49" t="s">
        <v>289</v>
      </c>
      <c r="E13" s="49" t="s">
        <v>290</v>
      </c>
      <c r="F13" s="49" t="s">
        <v>291</v>
      </c>
      <c r="G13" s="49" t="s">
        <v>288</v>
      </c>
      <c r="H13" s="49" t="s">
        <v>289</v>
      </c>
      <c r="I13" s="49" t="s">
        <v>290</v>
      </c>
      <c r="J13" s="82" t="s">
        <v>291</v>
      </c>
      <c r="K13" s="307"/>
      <c r="L13" s="309"/>
      <c r="N13" s="241" t="s">
        <v>591</v>
      </c>
      <c r="O13" s="221"/>
    </row>
    <row r="14" spans="2:17" ht="16" thickTop="1">
      <c r="B14" s="55">
        <v>1.1000000000000001</v>
      </c>
      <c r="C14" s="83"/>
      <c r="D14" s="83"/>
      <c r="E14" s="83"/>
      <c r="F14" s="83"/>
      <c r="G14" s="84" t="e">
        <f>VLOOKUP(C14,$C$4:$G$10,5,FALSE)</f>
        <v>#N/A</v>
      </c>
      <c r="H14" s="84" t="e">
        <f>VLOOKUP(D14,$D$4:$G$10,4,FALSE)</f>
        <v>#N/A</v>
      </c>
      <c r="I14" s="84" t="e">
        <f>VLOOKUP(E14,$E$4:$G$10,3,FALSE)</f>
        <v>#N/A</v>
      </c>
      <c r="J14" s="84" t="e">
        <f>VLOOKUP(F14,$F$4:$G$10,2,FALSE)</f>
        <v>#N/A</v>
      </c>
      <c r="K14" s="84" t="e">
        <f>ROUND(AVERAGE(G14:J14),0)</f>
        <v>#N/A</v>
      </c>
      <c r="L14" s="56" t="e">
        <f>K14</f>
        <v>#N/A</v>
      </c>
      <c r="N14" s="240" t="s">
        <v>592</v>
      </c>
      <c r="O14" s="221"/>
    </row>
    <row r="15" spans="2:17" ht="30">
      <c r="B15" s="58">
        <v>1.2</v>
      </c>
      <c r="C15" s="57"/>
      <c r="D15" s="57"/>
      <c r="E15" s="57"/>
      <c r="F15" s="57"/>
      <c r="G15" s="58" t="e">
        <f t="shared" ref="G15:G78" si="0">VLOOKUP(C15,$C$4:$G$10,5,FALSE)</f>
        <v>#N/A</v>
      </c>
      <c r="H15" s="58" t="e">
        <f t="shared" ref="H15:H78" si="1">VLOOKUP(D15,$D$4:$G$10,4,FALSE)</f>
        <v>#N/A</v>
      </c>
      <c r="I15" s="58" t="e">
        <f t="shared" ref="I15:I78" si="2">VLOOKUP(E15,$E$4:$G$10,3,FALSE)</f>
        <v>#N/A</v>
      </c>
      <c r="J15" s="58" t="e">
        <f t="shared" ref="J15:J78" si="3">VLOOKUP(F15,$F$4:$G$10,2,FALSE)</f>
        <v>#N/A</v>
      </c>
      <c r="K15" s="58" t="e">
        <f t="shared" ref="K15:K78" si="4">ROUND(AVERAGE(G15:J15),0)</f>
        <v>#N/A</v>
      </c>
      <c r="L15" s="59" t="e">
        <f t="shared" ref="L15:L78" si="5">K15</f>
        <v>#N/A</v>
      </c>
      <c r="N15" s="241" t="s">
        <v>593</v>
      </c>
      <c r="O15" s="221"/>
    </row>
    <row r="16" spans="2:17" ht="15">
      <c r="B16" s="55">
        <v>1.3</v>
      </c>
      <c r="C16" s="54"/>
      <c r="D16" s="54"/>
      <c r="E16" s="54"/>
      <c r="F16" s="54"/>
      <c r="G16" s="55" t="e">
        <f t="shared" si="0"/>
        <v>#N/A</v>
      </c>
      <c r="H16" s="55" t="e">
        <f t="shared" si="1"/>
        <v>#N/A</v>
      </c>
      <c r="I16" s="55" t="e">
        <f t="shared" si="2"/>
        <v>#N/A</v>
      </c>
      <c r="J16" s="55" t="e">
        <f t="shared" si="3"/>
        <v>#N/A</v>
      </c>
      <c r="K16" s="55" t="e">
        <f t="shared" si="4"/>
        <v>#N/A</v>
      </c>
      <c r="L16" s="60" t="e">
        <f t="shared" si="5"/>
        <v>#N/A</v>
      </c>
      <c r="N16" s="241" t="s">
        <v>594</v>
      </c>
      <c r="O16" s="221"/>
    </row>
    <row r="17" spans="2:15" ht="15">
      <c r="B17" s="58">
        <v>1.4</v>
      </c>
      <c r="C17" s="57"/>
      <c r="D17" s="57"/>
      <c r="E17" s="57"/>
      <c r="F17" s="57"/>
      <c r="G17" s="58" t="e">
        <f t="shared" si="0"/>
        <v>#N/A</v>
      </c>
      <c r="H17" s="58" t="e">
        <f t="shared" si="1"/>
        <v>#N/A</v>
      </c>
      <c r="I17" s="58" t="e">
        <f t="shared" si="2"/>
        <v>#N/A</v>
      </c>
      <c r="J17" s="58" t="e">
        <f t="shared" si="3"/>
        <v>#N/A</v>
      </c>
      <c r="K17" s="58" t="e">
        <f t="shared" si="4"/>
        <v>#N/A</v>
      </c>
      <c r="L17" s="59" t="e">
        <f t="shared" si="5"/>
        <v>#N/A</v>
      </c>
      <c r="N17" s="241" t="s">
        <v>595</v>
      </c>
      <c r="O17" s="221"/>
    </row>
    <row r="18" spans="2:15" ht="16" thickBot="1">
      <c r="B18" s="55">
        <v>2.1</v>
      </c>
      <c r="C18" s="54"/>
      <c r="D18" s="54"/>
      <c r="E18" s="54"/>
      <c r="F18" s="54"/>
      <c r="G18" s="55" t="e">
        <f t="shared" si="0"/>
        <v>#N/A</v>
      </c>
      <c r="H18" s="55" t="e">
        <f t="shared" si="1"/>
        <v>#N/A</v>
      </c>
      <c r="I18" s="55" t="e">
        <f t="shared" si="2"/>
        <v>#N/A</v>
      </c>
      <c r="J18" s="55" t="e">
        <f t="shared" si="3"/>
        <v>#N/A</v>
      </c>
      <c r="K18" s="55" t="e">
        <f t="shared" si="4"/>
        <v>#N/A</v>
      </c>
      <c r="L18" s="60" t="e">
        <f t="shared" si="5"/>
        <v>#N/A</v>
      </c>
      <c r="N18" s="243" t="s">
        <v>596</v>
      </c>
      <c r="O18" s="221"/>
    </row>
    <row r="19" spans="2:15" ht="14">
      <c r="B19" s="58">
        <v>2.2000000000000002</v>
      </c>
      <c r="C19" s="57"/>
      <c r="D19" s="57"/>
      <c r="E19" s="57"/>
      <c r="F19" s="57"/>
      <c r="G19" s="58" t="e">
        <f t="shared" si="0"/>
        <v>#N/A</v>
      </c>
      <c r="H19" s="58" t="e">
        <f t="shared" si="1"/>
        <v>#N/A</v>
      </c>
      <c r="I19" s="58" t="e">
        <f t="shared" si="2"/>
        <v>#N/A</v>
      </c>
      <c r="J19" s="58" t="e">
        <f t="shared" si="3"/>
        <v>#N/A</v>
      </c>
      <c r="K19" s="58" t="e">
        <f t="shared" si="4"/>
        <v>#N/A</v>
      </c>
      <c r="L19" s="59" t="e">
        <f t="shared" si="5"/>
        <v>#N/A</v>
      </c>
      <c r="N19" s="299" t="s">
        <v>628</v>
      </c>
      <c r="O19" s="221"/>
    </row>
    <row r="20" spans="2:15" ht="14">
      <c r="B20" s="55">
        <v>2.2999999999999998</v>
      </c>
      <c r="C20" s="54"/>
      <c r="D20" s="54"/>
      <c r="E20" s="54"/>
      <c r="F20" s="54"/>
      <c r="G20" s="55" t="e">
        <f t="shared" si="0"/>
        <v>#N/A</v>
      </c>
      <c r="H20" s="55" t="e">
        <f t="shared" si="1"/>
        <v>#N/A</v>
      </c>
      <c r="I20" s="55" t="e">
        <f t="shared" si="2"/>
        <v>#N/A</v>
      </c>
      <c r="J20" s="55" t="e">
        <f t="shared" si="3"/>
        <v>#N/A</v>
      </c>
      <c r="K20" s="55" t="e">
        <f t="shared" si="4"/>
        <v>#N/A</v>
      </c>
      <c r="L20" s="60" t="e">
        <f t="shared" si="5"/>
        <v>#N/A</v>
      </c>
      <c r="N20" s="300"/>
      <c r="O20" s="221"/>
    </row>
    <row r="21" spans="2:15" ht="14" thickBot="1">
      <c r="B21" s="58">
        <v>2.4</v>
      </c>
      <c r="C21" s="57"/>
      <c r="D21" s="57"/>
      <c r="E21" s="57"/>
      <c r="F21" s="57"/>
      <c r="G21" s="58" t="e">
        <f t="shared" si="0"/>
        <v>#N/A</v>
      </c>
      <c r="H21" s="58" t="e">
        <f t="shared" si="1"/>
        <v>#N/A</v>
      </c>
      <c r="I21" s="58" t="e">
        <f t="shared" si="2"/>
        <v>#N/A</v>
      </c>
      <c r="J21" s="58" t="e">
        <f t="shared" si="3"/>
        <v>#N/A</v>
      </c>
      <c r="K21" s="58" t="e">
        <f t="shared" si="4"/>
        <v>#N/A</v>
      </c>
      <c r="L21" s="59" t="e">
        <f t="shared" si="5"/>
        <v>#N/A</v>
      </c>
      <c r="N21" s="301"/>
    </row>
    <row r="22" spans="2:15" ht="14">
      <c r="B22" s="55">
        <v>2.5</v>
      </c>
      <c r="C22" s="54"/>
      <c r="D22" s="54"/>
      <c r="E22" s="54"/>
      <c r="F22" s="54"/>
      <c r="G22" s="55" t="e">
        <f t="shared" si="0"/>
        <v>#N/A</v>
      </c>
      <c r="H22" s="55" t="e">
        <f t="shared" si="1"/>
        <v>#N/A</v>
      </c>
      <c r="I22" s="55" t="e">
        <f t="shared" si="2"/>
        <v>#N/A</v>
      </c>
      <c r="J22" s="55" t="e">
        <f t="shared" si="3"/>
        <v>#N/A</v>
      </c>
      <c r="K22" s="55" t="e">
        <f t="shared" si="4"/>
        <v>#N/A</v>
      </c>
      <c r="L22" s="60" t="e">
        <f t="shared" si="5"/>
        <v>#N/A</v>
      </c>
      <c r="N22" s="238"/>
    </row>
    <row r="23" spans="2:15" ht="14">
      <c r="B23" s="58">
        <v>2.6</v>
      </c>
      <c r="C23" s="57"/>
      <c r="D23" s="57"/>
      <c r="E23" s="57"/>
      <c r="F23" s="57"/>
      <c r="G23" s="58" t="e">
        <f t="shared" si="0"/>
        <v>#N/A</v>
      </c>
      <c r="H23" s="58" t="e">
        <f t="shared" si="1"/>
        <v>#N/A</v>
      </c>
      <c r="I23" s="58" t="e">
        <f t="shared" si="2"/>
        <v>#N/A</v>
      </c>
      <c r="J23" s="58" t="e">
        <f t="shared" si="3"/>
        <v>#N/A</v>
      </c>
      <c r="K23" s="58" t="e">
        <f t="shared" si="4"/>
        <v>#N/A</v>
      </c>
      <c r="L23" s="59" t="e">
        <f t="shared" si="5"/>
        <v>#N/A</v>
      </c>
      <c r="N23" s="239"/>
    </row>
    <row r="24" spans="2:15">
      <c r="B24" s="55">
        <v>3.1</v>
      </c>
      <c r="C24" s="54"/>
      <c r="D24" s="54"/>
      <c r="E24" s="54"/>
      <c r="F24" s="54"/>
      <c r="G24" s="55" t="e">
        <f t="shared" si="0"/>
        <v>#N/A</v>
      </c>
      <c r="H24" s="55" t="e">
        <f t="shared" si="1"/>
        <v>#N/A</v>
      </c>
      <c r="I24" s="55" t="e">
        <f t="shared" si="2"/>
        <v>#N/A</v>
      </c>
      <c r="J24" s="55" t="e">
        <f t="shared" si="3"/>
        <v>#N/A</v>
      </c>
      <c r="K24" s="55" t="e">
        <f t="shared" si="4"/>
        <v>#N/A</v>
      </c>
      <c r="L24" s="60" t="e">
        <f t="shared" si="5"/>
        <v>#N/A</v>
      </c>
    </row>
    <row r="25" spans="2:15">
      <c r="B25" s="58">
        <v>3.2</v>
      </c>
      <c r="C25" s="57"/>
      <c r="D25" s="57"/>
      <c r="E25" s="57"/>
      <c r="F25" s="57"/>
      <c r="G25" s="58" t="e">
        <f t="shared" si="0"/>
        <v>#N/A</v>
      </c>
      <c r="H25" s="58" t="e">
        <f t="shared" si="1"/>
        <v>#N/A</v>
      </c>
      <c r="I25" s="58" t="e">
        <f t="shared" si="2"/>
        <v>#N/A</v>
      </c>
      <c r="J25" s="58" t="e">
        <f t="shared" si="3"/>
        <v>#N/A</v>
      </c>
      <c r="K25" s="58" t="e">
        <f t="shared" si="4"/>
        <v>#N/A</v>
      </c>
      <c r="L25" s="59" t="e">
        <f t="shared" si="5"/>
        <v>#N/A</v>
      </c>
    </row>
    <row r="26" spans="2:15">
      <c r="B26" s="55">
        <v>3.3</v>
      </c>
      <c r="C26" s="54"/>
      <c r="D26" s="54"/>
      <c r="E26" s="54"/>
      <c r="F26" s="54"/>
      <c r="G26" s="55" t="e">
        <f t="shared" si="0"/>
        <v>#N/A</v>
      </c>
      <c r="H26" s="55" t="e">
        <f t="shared" si="1"/>
        <v>#N/A</v>
      </c>
      <c r="I26" s="55" t="e">
        <f t="shared" si="2"/>
        <v>#N/A</v>
      </c>
      <c r="J26" s="55" t="e">
        <f t="shared" si="3"/>
        <v>#N/A</v>
      </c>
      <c r="K26" s="55" t="e">
        <f t="shared" si="4"/>
        <v>#N/A</v>
      </c>
      <c r="L26" s="60" t="e">
        <f t="shared" si="5"/>
        <v>#N/A</v>
      </c>
    </row>
    <row r="27" spans="2:15">
      <c r="B27" s="58">
        <v>3.4</v>
      </c>
      <c r="C27" s="57"/>
      <c r="D27" s="57"/>
      <c r="E27" s="57"/>
      <c r="F27" s="57"/>
      <c r="G27" s="58" t="e">
        <f t="shared" si="0"/>
        <v>#N/A</v>
      </c>
      <c r="H27" s="58" t="e">
        <f t="shared" si="1"/>
        <v>#N/A</v>
      </c>
      <c r="I27" s="58" t="e">
        <f t="shared" si="2"/>
        <v>#N/A</v>
      </c>
      <c r="J27" s="58" t="e">
        <f t="shared" si="3"/>
        <v>#N/A</v>
      </c>
      <c r="K27" s="58" t="e">
        <f t="shared" si="4"/>
        <v>#N/A</v>
      </c>
      <c r="L27" s="59" t="e">
        <f t="shared" si="5"/>
        <v>#N/A</v>
      </c>
    </row>
    <row r="28" spans="2:15">
      <c r="B28" s="55">
        <v>3.5</v>
      </c>
      <c r="C28" s="54"/>
      <c r="D28" s="54"/>
      <c r="E28" s="54"/>
      <c r="F28" s="54"/>
      <c r="G28" s="55" t="e">
        <f t="shared" si="0"/>
        <v>#N/A</v>
      </c>
      <c r="H28" s="55" t="e">
        <f t="shared" si="1"/>
        <v>#N/A</v>
      </c>
      <c r="I28" s="55" t="e">
        <f t="shared" si="2"/>
        <v>#N/A</v>
      </c>
      <c r="J28" s="55" t="e">
        <f t="shared" si="3"/>
        <v>#N/A</v>
      </c>
      <c r="K28" s="55" t="e">
        <f t="shared" si="4"/>
        <v>#N/A</v>
      </c>
      <c r="L28" s="60" t="e">
        <f t="shared" si="5"/>
        <v>#N/A</v>
      </c>
    </row>
    <row r="29" spans="2:15">
      <c r="B29" s="58">
        <v>3.6</v>
      </c>
      <c r="C29" s="57"/>
      <c r="D29" s="57"/>
      <c r="E29" s="57"/>
      <c r="F29" s="57"/>
      <c r="G29" s="58" t="e">
        <f t="shared" si="0"/>
        <v>#N/A</v>
      </c>
      <c r="H29" s="58" t="e">
        <f t="shared" si="1"/>
        <v>#N/A</v>
      </c>
      <c r="I29" s="58" t="e">
        <f t="shared" si="2"/>
        <v>#N/A</v>
      </c>
      <c r="J29" s="58" t="e">
        <f t="shared" si="3"/>
        <v>#N/A</v>
      </c>
      <c r="K29" s="58" t="e">
        <f t="shared" si="4"/>
        <v>#N/A</v>
      </c>
      <c r="L29" s="59" t="e">
        <f t="shared" si="5"/>
        <v>#N/A</v>
      </c>
    </row>
    <row r="30" spans="2:15">
      <c r="B30" s="55">
        <v>3.7</v>
      </c>
      <c r="C30" s="54"/>
      <c r="D30" s="54"/>
      <c r="E30" s="54"/>
      <c r="F30" s="54"/>
      <c r="G30" s="55" t="e">
        <f t="shared" si="0"/>
        <v>#N/A</v>
      </c>
      <c r="H30" s="55" t="e">
        <f t="shared" si="1"/>
        <v>#N/A</v>
      </c>
      <c r="I30" s="55" t="e">
        <f t="shared" si="2"/>
        <v>#N/A</v>
      </c>
      <c r="J30" s="55" t="e">
        <f t="shared" si="3"/>
        <v>#N/A</v>
      </c>
      <c r="K30" s="55" t="e">
        <f t="shared" si="4"/>
        <v>#N/A</v>
      </c>
      <c r="L30" s="60" t="e">
        <f t="shared" si="5"/>
        <v>#N/A</v>
      </c>
    </row>
    <row r="31" spans="2:15">
      <c r="B31" s="58">
        <v>3.8</v>
      </c>
      <c r="C31" s="57"/>
      <c r="D31" s="57"/>
      <c r="E31" s="57"/>
      <c r="F31" s="57"/>
      <c r="G31" s="58" t="e">
        <f t="shared" si="0"/>
        <v>#N/A</v>
      </c>
      <c r="H31" s="58" t="e">
        <f t="shared" si="1"/>
        <v>#N/A</v>
      </c>
      <c r="I31" s="58" t="e">
        <f t="shared" si="2"/>
        <v>#N/A</v>
      </c>
      <c r="J31" s="58" t="e">
        <f t="shared" si="3"/>
        <v>#N/A</v>
      </c>
      <c r="K31" s="58" t="e">
        <f t="shared" si="4"/>
        <v>#N/A</v>
      </c>
      <c r="L31" s="59" t="e">
        <f t="shared" si="5"/>
        <v>#N/A</v>
      </c>
    </row>
    <row r="32" spans="2:15">
      <c r="B32" s="55">
        <v>3.9</v>
      </c>
      <c r="C32" s="54"/>
      <c r="D32" s="54"/>
      <c r="E32" s="54"/>
      <c r="F32" s="54"/>
      <c r="G32" s="55" t="e">
        <f t="shared" si="0"/>
        <v>#N/A</v>
      </c>
      <c r="H32" s="55" t="e">
        <f t="shared" si="1"/>
        <v>#N/A</v>
      </c>
      <c r="I32" s="55" t="e">
        <f t="shared" si="2"/>
        <v>#N/A</v>
      </c>
      <c r="J32" s="55" t="e">
        <f t="shared" si="3"/>
        <v>#N/A</v>
      </c>
      <c r="K32" s="55" t="e">
        <f t="shared" si="4"/>
        <v>#N/A</v>
      </c>
      <c r="L32" s="60" t="e">
        <f t="shared" si="5"/>
        <v>#N/A</v>
      </c>
    </row>
    <row r="33" spans="2:12">
      <c r="B33" s="90">
        <v>3.1</v>
      </c>
      <c r="C33" s="57"/>
      <c r="D33" s="57"/>
      <c r="E33" s="57"/>
      <c r="F33" s="57"/>
      <c r="G33" s="58" t="e">
        <f t="shared" si="0"/>
        <v>#N/A</v>
      </c>
      <c r="H33" s="58" t="e">
        <f t="shared" si="1"/>
        <v>#N/A</v>
      </c>
      <c r="I33" s="58" t="e">
        <f t="shared" si="2"/>
        <v>#N/A</v>
      </c>
      <c r="J33" s="58" t="e">
        <f t="shared" si="3"/>
        <v>#N/A</v>
      </c>
      <c r="K33" s="58" t="e">
        <f t="shared" si="4"/>
        <v>#N/A</v>
      </c>
      <c r="L33" s="59" t="e">
        <f t="shared" si="5"/>
        <v>#N/A</v>
      </c>
    </row>
    <row r="34" spans="2:12">
      <c r="B34" s="55">
        <v>3.11</v>
      </c>
      <c r="C34" s="54"/>
      <c r="D34" s="54"/>
      <c r="E34" s="54"/>
      <c r="F34" s="54"/>
      <c r="G34" s="55" t="e">
        <f t="shared" si="0"/>
        <v>#N/A</v>
      </c>
      <c r="H34" s="55" t="e">
        <f t="shared" si="1"/>
        <v>#N/A</v>
      </c>
      <c r="I34" s="55" t="e">
        <f t="shared" si="2"/>
        <v>#N/A</v>
      </c>
      <c r="J34" s="55" t="e">
        <f t="shared" si="3"/>
        <v>#N/A</v>
      </c>
      <c r="K34" s="55" t="e">
        <f t="shared" si="4"/>
        <v>#N/A</v>
      </c>
      <c r="L34" s="60" t="e">
        <f t="shared" si="5"/>
        <v>#N/A</v>
      </c>
    </row>
    <row r="35" spans="2:12">
      <c r="B35" s="58">
        <v>3.12</v>
      </c>
      <c r="C35" s="57"/>
      <c r="D35" s="57"/>
      <c r="E35" s="57"/>
      <c r="F35" s="57"/>
      <c r="G35" s="58" t="e">
        <f t="shared" si="0"/>
        <v>#N/A</v>
      </c>
      <c r="H35" s="58" t="e">
        <f t="shared" si="1"/>
        <v>#N/A</v>
      </c>
      <c r="I35" s="58" t="e">
        <f t="shared" si="2"/>
        <v>#N/A</v>
      </c>
      <c r="J35" s="58" t="e">
        <f t="shared" si="3"/>
        <v>#N/A</v>
      </c>
      <c r="K35" s="58" t="e">
        <f t="shared" si="4"/>
        <v>#N/A</v>
      </c>
      <c r="L35" s="59" t="e">
        <f t="shared" si="5"/>
        <v>#N/A</v>
      </c>
    </row>
    <row r="36" spans="2:12">
      <c r="B36" s="55">
        <v>4.0999999999999996</v>
      </c>
      <c r="C36" s="54"/>
      <c r="D36" s="54"/>
      <c r="E36" s="54"/>
      <c r="F36" s="54"/>
      <c r="G36" s="55" t="e">
        <f t="shared" si="0"/>
        <v>#N/A</v>
      </c>
      <c r="H36" s="55" t="e">
        <f t="shared" si="1"/>
        <v>#N/A</v>
      </c>
      <c r="I36" s="55" t="e">
        <f t="shared" si="2"/>
        <v>#N/A</v>
      </c>
      <c r="J36" s="55" t="e">
        <f t="shared" si="3"/>
        <v>#N/A</v>
      </c>
      <c r="K36" s="55" t="e">
        <f t="shared" si="4"/>
        <v>#N/A</v>
      </c>
      <c r="L36" s="60" t="e">
        <f t="shared" si="5"/>
        <v>#N/A</v>
      </c>
    </row>
    <row r="37" spans="2:12">
      <c r="B37" s="58">
        <v>4.2</v>
      </c>
      <c r="C37" s="57"/>
      <c r="D37" s="57"/>
      <c r="E37" s="57"/>
      <c r="F37" s="57"/>
      <c r="G37" s="58" t="e">
        <f t="shared" si="0"/>
        <v>#N/A</v>
      </c>
      <c r="H37" s="58" t="e">
        <f t="shared" si="1"/>
        <v>#N/A</v>
      </c>
      <c r="I37" s="58" t="e">
        <f t="shared" si="2"/>
        <v>#N/A</v>
      </c>
      <c r="J37" s="58" t="e">
        <f t="shared" si="3"/>
        <v>#N/A</v>
      </c>
      <c r="K37" s="58" t="e">
        <f t="shared" si="4"/>
        <v>#N/A</v>
      </c>
      <c r="L37" s="59" t="e">
        <f t="shared" si="5"/>
        <v>#N/A</v>
      </c>
    </row>
    <row r="38" spans="2:12">
      <c r="B38" s="55">
        <v>4.3</v>
      </c>
      <c r="C38" s="54"/>
      <c r="D38" s="54"/>
      <c r="E38" s="54"/>
      <c r="F38" s="54"/>
      <c r="G38" s="55" t="e">
        <f t="shared" si="0"/>
        <v>#N/A</v>
      </c>
      <c r="H38" s="55" t="e">
        <f t="shared" si="1"/>
        <v>#N/A</v>
      </c>
      <c r="I38" s="55" t="e">
        <f t="shared" si="2"/>
        <v>#N/A</v>
      </c>
      <c r="J38" s="55" t="e">
        <f t="shared" si="3"/>
        <v>#N/A</v>
      </c>
      <c r="K38" s="55" t="e">
        <f t="shared" si="4"/>
        <v>#N/A</v>
      </c>
      <c r="L38" s="60" t="e">
        <f t="shared" si="5"/>
        <v>#N/A</v>
      </c>
    </row>
    <row r="39" spans="2:12">
      <c r="B39" s="58">
        <v>4.4000000000000004</v>
      </c>
      <c r="C39" s="57"/>
      <c r="D39" s="57"/>
      <c r="E39" s="57"/>
      <c r="F39" s="57"/>
      <c r="G39" s="58" t="e">
        <f t="shared" si="0"/>
        <v>#N/A</v>
      </c>
      <c r="H39" s="58" t="e">
        <f t="shared" si="1"/>
        <v>#N/A</v>
      </c>
      <c r="I39" s="58" t="e">
        <f t="shared" si="2"/>
        <v>#N/A</v>
      </c>
      <c r="J39" s="58" t="e">
        <f t="shared" si="3"/>
        <v>#N/A</v>
      </c>
      <c r="K39" s="58" t="e">
        <f t="shared" si="4"/>
        <v>#N/A</v>
      </c>
      <c r="L39" s="59" t="e">
        <f t="shared" si="5"/>
        <v>#N/A</v>
      </c>
    </row>
    <row r="40" spans="2:12">
      <c r="B40" s="55">
        <v>4.5</v>
      </c>
      <c r="C40" s="54"/>
      <c r="D40" s="54"/>
      <c r="E40" s="54"/>
      <c r="F40" s="54"/>
      <c r="G40" s="55" t="e">
        <f t="shared" si="0"/>
        <v>#N/A</v>
      </c>
      <c r="H40" s="55" t="e">
        <f t="shared" si="1"/>
        <v>#N/A</v>
      </c>
      <c r="I40" s="55" t="e">
        <f t="shared" si="2"/>
        <v>#N/A</v>
      </c>
      <c r="J40" s="55" t="e">
        <f t="shared" si="3"/>
        <v>#N/A</v>
      </c>
      <c r="K40" s="55" t="e">
        <f t="shared" si="4"/>
        <v>#N/A</v>
      </c>
      <c r="L40" s="60" t="e">
        <f t="shared" si="5"/>
        <v>#N/A</v>
      </c>
    </row>
    <row r="41" spans="2:12">
      <c r="B41" s="58">
        <v>4.5999999999999996</v>
      </c>
      <c r="C41" s="57"/>
      <c r="D41" s="57"/>
      <c r="E41" s="57"/>
      <c r="F41" s="57"/>
      <c r="G41" s="58" t="e">
        <f t="shared" si="0"/>
        <v>#N/A</v>
      </c>
      <c r="H41" s="58" t="e">
        <f t="shared" si="1"/>
        <v>#N/A</v>
      </c>
      <c r="I41" s="58" t="e">
        <f t="shared" si="2"/>
        <v>#N/A</v>
      </c>
      <c r="J41" s="58" t="e">
        <f t="shared" si="3"/>
        <v>#N/A</v>
      </c>
      <c r="K41" s="58" t="e">
        <f t="shared" si="4"/>
        <v>#N/A</v>
      </c>
      <c r="L41" s="59" t="e">
        <f t="shared" si="5"/>
        <v>#N/A</v>
      </c>
    </row>
    <row r="42" spans="2:12">
      <c r="B42" s="55">
        <v>4.7</v>
      </c>
      <c r="C42" s="54"/>
      <c r="D42" s="54"/>
      <c r="E42" s="54"/>
      <c r="F42" s="54"/>
      <c r="G42" s="55" t="e">
        <f t="shared" si="0"/>
        <v>#N/A</v>
      </c>
      <c r="H42" s="55" t="e">
        <f t="shared" si="1"/>
        <v>#N/A</v>
      </c>
      <c r="I42" s="55" t="e">
        <f t="shared" si="2"/>
        <v>#N/A</v>
      </c>
      <c r="J42" s="55" t="e">
        <f t="shared" si="3"/>
        <v>#N/A</v>
      </c>
      <c r="K42" s="55" t="e">
        <f t="shared" si="4"/>
        <v>#N/A</v>
      </c>
      <c r="L42" s="60" t="e">
        <f t="shared" si="5"/>
        <v>#N/A</v>
      </c>
    </row>
    <row r="43" spans="2:12">
      <c r="B43" s="58">
        <v>4.8</v>
      </c>
      <c r="C43" s="57"/>
      <c r="D43" s="57"/>
      <c r="E43" s="57"/>
      <c r="F43" s="57"/>
      <c r="G43" s="58" t="e">
        <f t="shared" si="0"/>
        <v>#N/A</v>
      </c>
      <c r="H43" s="58" t="e">
        <f t="shared" si="1"/>
        <v>#N/A</v>
      </c>
      <c r="I43" s="58" t="e">
        <f t="shared" si="2"/>
        <v>#N/A</v>
      </c>
      <c r="J43" s="58" t="e">
        <f t="shared" si="3"/>
        <v>#N/A</v>
      </c>
      <c r="K43" s="58" t="e">
        <f t="shared" si="4"/>
        <v>#N/A</v>
      </c>
      <c r="L43" s="59" t="e">
        <f t="shared" si="5"/>
        <v>#N/A</v>
      </c>
    </row>
    <row r="44" spans="2:12">
      <c r="B44" s="55">
        <v>4.9000000000000004</v>
      </c>
      <c r="C44" s="54"/>
      <c r="D44" s="54"/>
      <c r="E44" s="54"/>
      <c r="F44" s="54"/>
      <c r="G44" s="55" t="e">
        <f t="shared" si="0"/>
        <v>#N/A</v>
      </c>
      <c r="H44" s="55" t="e">
        <f t="shared" si="1"/>
        <v>#N/A</v>
      </c>
      <c r="I44" s="55" t="e">
        <f t="shared" si="2"/>
        <v>#N/A</v>
      </c>
      <c r="J44" s="55" t="e">
        <f t="shared" si="3"/>
        <v>#N/A</v>
      </c>
      <c r="K44" s="55" t="e">
        <f t="shared" si="4"/>
        <v>#N/A</v>
      </c>
      <c r="L44" s="60" t="e">
        <f t="shared" si="5"/>
        <v>#N/A</v>
      </c>
    </row>
    <row r="45" spans="2:12">
      <c r="B45" s="90">
        <v>4.0999999999999996</v>
      </c>
      <c r="C45" s="57"/>
      <c r="D45" s="57"/>
      <c r="E45" s="57"/>
      <c r="F45" s="57"/>
      <c r="G45" s="58" t="e">
        <f t="shared" si="0"/>
        <v>#N/A</v>
      </c>
      <c r="H45" s="58" t="e">
        <f t="shared" si="1"/>
        <v>#N/A</v>
      </c>
      <c r="I45" s="58" t="e">
        <f t="shared" si="2"/>
        <v>#N/A</v>
      </c>
      <c r="J45" s="58" t="e">
        <f t="shared" si="3"/>
        <v>#N/A</v>
      </c>
      <c r="K45" s="58" t="e">
        <f t="shared" si="4"/>
        <v>#N/A</v>
      </c>
      <c r="L45" s="59" t="e">
        <f t="shared" si="5"/>
        <v>#N/A</v>
      </c>
    </row>
    <row r="46" spans="2:12">
      <c r="B46" s="55">
        <v>4.1100000000000003</v>
      </c>
      <c r="C46" s="54"/>
      <c r="D46" s="54"/>
      <c r="E46" s="54"/>
      <c r="F46" s="54"/>
      <c r="G46" s="55" t="e">
        <f t="shared" si="0"/>
        <v>#N/A</v>
      </c>
      <c r="H46" s="55" t="e">
        <f t="shared" si="1"/>
        <v>#N/A</v>
      </c>
      <c r="I46" s="55" t="e">
        <f t="shared" si="2"/>
        <v>#N/A</v>
      </c>
      <c r="J46" s="55" t="e">
        <f t="shared" si="3"/>
        <v>#N/A</v>
      </c>
      <c r="K46" s="55" t="e">
        <f t="shared" si="4"/>
        <v>#N/A</v>
      </c>
      <c r="L46" s="60" t="e">
        <f t="shared" si="5"/>
        <v>#N/A</v>
      </c>
    </row>
    <row r="47" spans="2:12">
      <c r="B47" s="58">
        <v>5.0999999999999996</v>
      </c>
      <c r="C47" s="57"/>
      <c r="D47" s="57"/>
      <c r="E47" s="57"/>
      <c r="F47" s="57"/>
      <c r="G47" s="58" t="e">
        <f t="shared" si="0"/>
        <v>#N/A</v>
      </c>
      <c r="H47" s="58" t="e">
        <f t="shared" si="1"/>
        <v>#N/A</v>
      </c>
      <c r="I47" s="58" t="e">
        <f t="shared" si="2"/>
        <v>#N/A</v>
      </c>
      <c r="J47" s="58" t="e">
        <f t="shared" si="3"/>
        <v>#N/A</v>
      </c>
      <c r="K47" s="58" t="e">
        <f t="shared" si="4"/>
        <v>#N/A</v>
      </c>
      <c r="L47" s="59" t="e">
        <f t="shared" si="5"/>
        <v>#N/A</v>
      </c>
    </row>
    <row r="48" spans="2:12">
      <c r="B48" s="55">
        <v>5.2</v>
      </c>
      <c r="C48" s="54"/>
      <c r="D48" s="54"/>
      <c r="E48" s="54"/>
      <c r="F48" s="54"/>
      <c r="G48" s="55" t="e">
        <f t="shared" si="0"/>
        <v>#N/A</v>
      </c>
      <c r="H48" s="55" t="e">
        <f t="shared" si="1"/>
        <v>#N/A</v>
      </c>
      <c r="I48" s="55" t="e">
        <f t="shared" si="2"/>
        <v>#N/A</v>
      </c>
      <c r="J48" s="55" t="e">
        <f t="shared" si="3"/>
        <v>#N/A</v>
      </c>
      <c r="K48" s="55" t="e">
        <f t="shared" si="4"/>
        <v>#N/A</v>
      </c>
      <c r="L48" s="60" t="e">
        <f t="shared" si="5"/>
        <v>#N/A</v>
      </c>
    </row>
    <row r="49" spans="2:12">
      <c r="B49" s="58">
        <v>5.3</v>
      </c>
      <c r="C49" s="57"/>
      <c r="D49" s="57"/>
      <c r="E49" s="57"/>
      <c r="F49" s="57"/>
      <c r="G49" s="58" t="e">
        <f t="shared" si="0"/>
        <v>#N/A</v>
      </c>
      <c r="H49" s="58" t="e">
        <f t="shared" si="1"/>
        <v>#N/A</v>
      </c>
      <c r="I49" s="58" t="e">
        <f t="shared" si="2"/>
        <v>#N/A</v>
      </c>
      <c r="J49" s="58" t="e">
        <f t="shared" si="3"/>
        <v>#N/A</v>
      </c>
      <c r="K49" s="58" t="e">
        <f t="shared" si="4"/>
        <v>#N/A</v>
      </c>
      <c r="L49" s="59" t="e">
        <f t="shared" si="5"/>
        <v>#N/A</v>
      </c>
    </row>
    <row r="50" spans="2:12">
      <c r="B50" s="55">
        <v>5.4</v>
      </c>
      <c r="C50" s="54"/>
      <c r="D50" s="54"/>
      <c r="E50" s="54"/>
      <c r="F50" s="54"/>
      <c r="G50" s="55" t="e">
        <f t="shared" si="0"/>
        <v>#N/A</v>
      </c>
      <c r="H50" s="55" t="e">
        <f t="shared" si="1"/>
        <v>#N/A</v>
      </c>
      <c r="I50" s="55" t="e">
        <f t="shared" si="2"/>
        <v>#N/A</v>
      </c>
      <c r="J50" s="55" t="e">
        <f t="shared" si="3"/>
        <v>#N/A</v>
      </c>
      <c r="K50" s="55" t="e">
        <f t="shared" si="4"/>
        <v>#N/A</v>
      </c>
      <c r="L50" s="60" t="e">
        <f t="shared" si="5"/>
        <v>#N/A</v>
      </c>
    </row>
    <row r="51" spans="2:12">
      <c r="B51" s="58">
        <v>5.5</v>
      </c>
      <c r="C51" s="57"/>
      <c r="D51" s="57"/>
      <c r="E51" s="57"/>
      <c r="F51" s="57"/>
      <c r="G51" s="58" t="e">
        <f t="shared" si="0"/>
        <v>#N/A</v>
      </c>
      <c r="H51" s="58" t="e">
        <f t="shared" si="1"/>
        <v>#N/A</v>
      </c>
      <c r="I51" s="58" t="e">
        <f t="shared" si="2"/>
        <v>#N/A</v>
      </c>
      <c r="J51" s="58" t="e">
        <f t="shared" si="3"/>
        <v>#N/A</v>
      </c>
      <c r="K51" s="58" t="e">
        <f t="shared" si="4"/>
        <v>#N/A</v>
      </c>
      <c r="L51" s="59" t="e">
        <f t="shared" si="5"/>
        <v>#N/A</v>
      </c>
    </row>
    <row r="52" spans="2:12">
      <c r="B52" s="55">
        <v>5.6</v>
      </c>
      <c r="C52" s="54"/>
      <c r="D52" s="54"/>
      <c r="E52" s="54"/>
      <c r="F52" s="54"/>
      <c r="G52" s="55" t="e">
        <f t="shared" si="0"/>
        <v>#N/A</v>
      </c>
      <c r="H52" s="55" t="e">
        <f t="shared" si="1"/>
        <v>#N/A</v>
      </c>
      <c r="I52" s="55" t="e">
        <f t="shared" si="2"/>
        <v>#N/A</v>
      </c>
      <c r="J52" s="55" t="e">
        <f t="shared" si="3"/>
        <v>#N/A</v>
      </c>
      <c r="K52" s="55" t="e">
        <f t="shared" si="4"/>
        <v>#N/A</v>
      </c>
      <c r="L52" s="60" t="e">
        <f t="shared" si="5"/>
        <v>#N/A</v>
      </c>
    </row>
    <row r="53" spans="2:12">
      <c r="B53" s="58">
        <v>6.1</v>
      </c>
      <c r="C53" s="57"/>
      <c r="D53" s="57"/>
      <c r="E53" s="57"/>
      <c r="F53" s="57"/>
      <c r="G53" s="58" t="e">
        <f t="shared" si="0"/>
        <v>#N/A</v>
      </c>
      <c r="H53" s="58" t="e">
        <f t="shared" si="1"/>
        <v>#N/A</v>
      </c>
      <c r="I53" s="58" t="e">
        <f t="shared" si="2"/>
        <v>#N/A</v>
      </c>
      <c r="J53" s="58" t="e">
        <f t="shared" si="3"/>
        <v>#N/A</v>
      </c>
      <c r="K53" s="58" t="e">
        <f t="shared" si="4"/>
        <v>#N/A</v>
      </c>
      <c r="L53" s="59" t="e">
        <f t="shared" si="5"/>
        <v>#N/A</v>
      </c>
    </row>
    <row r="54" spans="2:12">
      <c r="B54" s="55">
        <v>6.2</v>
      </c>
      <c r="C54" s="54"/>
      <c r="D54" s="54"/>
      <c r="E54" s="54"/>
      <c r="F54" s="54"/>
      <c r="G54" s="55" t="e">
        <f t="shared" si="0"/>
        <v>#N/A</v>
      </c>
      <c r="H54" s="55" t="e">
        <f t="shared" si="1"/>
        <v>#N/A</v>
      </c>
      <c r="I54" s="55" t="e">
        <f t="shared" si="2"/>
        <v>#N/A</v>
      </c>
      <c r="J54" s="55" t="e">
        <f t="shared" si="3"/>
        <v>#N/A</v>
      </c>
      <c r="K54" s="55" t="e">
        <f t="shared" si="4"/>
        <v>#N/A</v>
      </c>
      <c r="L54" s="60" t="e">
        <f t="shared" si="5"/>
        <v>#N/A</v>
      </c>
    </row>
    <row r="55" spans="2:12">
      <c r="B55" s="58">
        <v>6.3</v>
      </c>
      <c r="C55" s="57"/>
      <c r="D55" s="57"/>
      <c r="E55" s="57"/>
      <c r="F55" s="57"/>
      <c r="G55" s="58" t="e">
        <f t="shared" si="0"/>
        <v>#N/A</v>
      </c>
      <c r="H55" s="58" t="e">
        <f t="shared" si="1"/>
        <v>#N/A</v>
      </c>
      <c r="I55" s="58" t="e">
        <f t="shared" si="2"/>
        <v>#N/A</v>
      </c>
      <c r="J55" s="58" t="e">
        <f t="shared" si="3"/>
        <v>#N/A</v>
      </c>
      <c r="K55" s="58" t="e">
        <f t="shared" si="4"/>
        <v>#N/A</v>
      </c>
      <c r="L55" s="59" t="e">
        <f t="shared" si="5"/>
        <v>#N/A</v>
      </c>
    </row>
    <row r="56" spans="2:12">
      <c r="B56" s="55">
        <v>6.4</v>
      </c>
      <c r="C56" s="54"/>
      <c r="D56" s="54"/>
      <c r="E56" s="54"/>
      <c r="F56" s="54"/>
      <c r="G56" s="55" t="e">
        <f t="shared" si="0"/>
        <v>#N/A</v>
      </c>
      <c r="H56" s="55" t="e">
        <f t="shared" si="1"/>
        <v>#N/A</v>
      </c>
      <c r="I56" s="55" t="e">
        <f t="shared" si="2"/>
        <v>#N/A</v>
      </c>
      <c r="J56" s="55" t="e">
        <f t="shared" si="3"/>
        <v>#N/A</v>
      </c>
      <c r="K56" s="55" t="e">
        <f t="shared" si="4"/>
        <v>#N/A</v>
      </c>
      <c r="L56" s="60" t="e">
        <f t="shared" si="5"/>
        <v>#N/A</v>
      </c>
    </row>
    <row r="57" spans="2:12">
      <c r="B57" s="58">
        <v>6.5</v>
      </c>
      <c r="C57" s="57"/>
      <c r="D57" s="57"/>
      <c r="E57" s="57"/>
      <c r="F57" s="57"/>
      <c r="G57" s="58" t="e">
        <f t="shared" si="0"/>
        <v>#N/A</v>
      </c>
      <c r="H57" s="58" t="e">
        <f t="shared" si="1"/>
        <v>#N/A</v>
      </c>
      <c r="I57" s="58" t="e">
        <f t="shared" si="2"/>
        <v>#N/A</v>
      </c>
      <c r="J57" s="58" t="e">
        <f t="shared" si="3"/>
        <v>#N/A</v>
      </c>
      <c r="K57" s="58" t="e">
        <f t="shared" si="4"/>
        <v>#N/A</v>
      </c>
      <c r="L57" s="59" t="e">
        <f t="shared" si="5"/>
        <v>#N/A</v>
      </c>
    </row>
    <row r="58" spans="2:12">
      <c r="B58" s="55">
        <v>6.6</v>
      </c>
      <c r="C58" s="54"/>
      <c r="D58" s="54"/>
      <c r="E58" s="54"/>
      <c r="F58" s="54"/>
      <c r="G58" s="55" t="e">
        <f t="shared" si="0"/>
        <v>#N/A</v>
      </c>
      <c r="H58" s="55" t="e">
        <f t="shared" si="1"/>
        <v>#N/A</v>
      </c>
      <c r="I58" s="55" t="e">
        <f t="shared" si="2"/>
        <v>#N/A</v>
      </c>
      <c r="J58" s="55" t="e">
        <f t="shared" si="3"/>
        <v>#N/A</v>
      </c>
      <c r="K58" s="55" t="e">
        <f t="shared" si="4"/>
        <v>#N/A</v>
      </c>
      <c r="L58" s="60" t="e">
        <f t="shared" si="5"/>
        <v>#N/A</v>
      </c>
    </row>
    <row r="59" spans="2:12">
      <c r="B59" s="58">
        <v>6.7</v>
      </c>
      <c r="C59" s="57"/>
      <c r="D59" s="57"/>
      <c r="E59" s="57"/>
      <c r="F59" s="57"/>
      <c r="G59" s="58" t="e">
        <f t="shared" si="0"/>
        <v>#N/A</v>
      </c>
      <c r="H59" s="58" t="e">
        <f t="shared" si="1"/>
        <v>#N/A</v>
      </c>
      <c r="I59" s="58" t="e">
        <f t="shared" si="2"/>
        <v>#N/A</v>
      </c>
      <c r="J59" s="58" t="e">
        <f t="shared" si="3"/>
        <v>#N/A</v>
      </c>
      <c r="K59" s="58" t="e">
        <f t="shared" si="4"/>
        <v>#N/A</v>
      </c>
      <c r="L59" s="59" t="e">
        <f t="shared" si="5"/>
        <v>#N/A</v>
      </c>
    </row>
    <row r="60" spans="2:12">
      <c r="B60" s="55">
        <v>7.1</v>
      </c>
      <c r="C60" s="54"/>
      <c r="D60" s="54"/>
      <c r="E60" s="54"/>
      <c r="F60" s="54"/>
      <c r="G60" s="55" t="e">
        <f t="shared" si="0"/>
        <v>#N/A</v>
      </c>
      <c r="H60" s="55" t="e">
        <f t="shared" si="1"/>
        <v>#N/A</v>
      </c>
      <c r="I60" s="55" t="e">
        <f t="shared" si="2"/>
        <v>#N/A</v>
      </c>
      <c r="J60" s="55" t="e">
        <f t="shared" si="3"/>
        <v>#N/A</v>
      </c>
      <c r="K60" s="55" t="e">
        <f t="shared" si="4"/>
        <v>#N/A</v>
      </c>
      <c r="L60" s="60" t="e">
        <f t="shared" si="5"/>
        <v>#N/A</v>
      </c>
    </row>
    <row r="61" spans="2:12">
      <c r="B61" s="58">
        <v>7.2</v>
      </c>
      <c r="C61" s="57"/>
      <c r="D61" s="57"/>
      <c r="E61" s="57"/>
      <c r="F61" s="57"/>
      <c r="G61" s="58" t="e">
        <f t="shared" si="0"/>
        <v>#N/A</v>
      </c>
      <c r="H61" s="58" t="e">
        <f t="shared" si="1"/>
        <v>#N/A</v>
      </c>
      <c r="I61" s="58" t="e">
        <f t="shared" si="2"/>
        <v>#N/A</v>
      </c>
      <c r="J61" s="58" t="e">
        <f t="shared" si="3"/>
        <v>#N/A</v>
      </c>
      <c r="K61" s="58" t="e">
        <f t="shared" si="4"/>
        <v>#N/A</v>
      </c>
      <c r="L61" s="59" t="e">
        <f t="shared" si="5"/>
        <v>#N/A</v>
      </c>
    </row>
    <row r="62" spans="2:12">
      <c r="B62" s="55">
        <v>7.3</v>
      </c>
      <c r="C62" s="54"/>
      <c r="D62" s="54"/>
      <c r="E62" s="54"/>
      <c r="F62" s="54"/>
      <c r="G62" s="55" t="e">
        <f t="shared" si="0"/>
        <v>#N/A</v>
      </c>
      <c r="H62" s="55" t="e">
        <f t="shared" si="1"/>
        <v>#N/A</v>
      </c>
      <c r="I62" s="55" t="e">
        <f t="shared" si="2"/>
        <v>#N/A</v>
      </c>
      <c r="J62" s="55" t="e">
        <f t="shared" si="3"/>
        <v>#N/A</v>
      </c>
      <c r="K62" s="55" t="e">
        <f t="shared" si="4"/>
        <v>#N/A</v>
      </c>
      <c r="L62" s="60" t="e">
        <f t="shared" si="5"/>
        <v>#N/A</v>
      </c>
    </row>
    <row r="63" spans="2:12">
      <c r="B63" s="58">
        <v>7.4</v>
      </c>
      <c r="C63" s="57"/>
      <c r="D63" s="57"/>
      <c r="E63" s="57"/>
      <c r="F63" s="57"/>
      <c r="G63" s="58" t="e">
        <f t="shared" si="0"/>
        <v>#N/A</v>
      </c>
      <c r="H63" s="58" t="e">
        <f t="shared" si="1"/>
        <v>#N/A</v>
      </c>
      <c r="I63" s="58" t="e">
        <f t="shared" si="2"/>
        <v>#N/A</v>
      </c>
      <c r="J63" s="58" t="e">
        <f t="shared" si="3"/>
        <v>#N/A</v>
      </c>
      <c r="K63" s="58" t="e">
        <f t="shared" si="4"/>
        <v>#N/A</v>
      </c>
      <c r="L63" s="59" t="e">
        <f t="shared" si="5"/>
        <v>#N/A</v>
      </c>
    </row>
    <row r="64" spans="2:12">
      <c r="B64" s="55">
        <v>7.5</v>
      </c>
      <c r="C64" s="54"/>
      <c r="D64" s="54"/>
      <c r="E64" s="54"/>
      <c r="F64" s="54"/>
      <c r="G64" s="55" t="e">
        <f t="shared" si="0"/>
        <v>#N/A</v>
      </c>
      <c r="H64" s="55" t="e">
        <f t="shared" si="1"/>
        <v>#N/A</v>
      </c>
      <c r="I64" s="55" t="e">
        <f t="shared" si="2"/>
        <v>#N/A</v>
      </c>
      <c r="J64" s="55" t="e">
        <f t="shared" si="3"/>
        <v>#N/A</v>
      </c>
      <c r="K64" s="55" t="e">
        <f t="shared" si="4"/>
        <v>#N/A</v>
      </c>
      <c r="L64" s="60" t="e">
        <f t="shared" si="5"/>
        <v>#N/A</v>
      </c>
    </row>
    <row r="65" spans="2:12">
      <c r="B65" s="58">
        <v>7.6</v>
      </c>
      <c r="C65" s="57"/>
      <c r="D65" s="57"/>
      <c r="E65" s="57"/>
      <c r="F65" s="57"/>
      <c r="G65" s="58" t="e">
        <f t="shared" si="0"/>
        <v>#N/A</v>
      </c>
      <c r="H65" s="58" t="e">
        <f t="shared" si="1"/>
        <v>#N/A</v>
      </c>
      <c r="I65" s="58" t="e">
        <f t="shared" si="2"/>
        <v>#N/A</v>
      </c>
      <c r="J65" s="58" t="e">
        <f t="shared" si="3"/>
        <v>#N/A</v>
      </c>
      <c r="K65" s="58" t="e">
        <f t="shared" si="4"/>
        <v>#N/A</v>
      </c>
      <c r="L65" s="59" t="e">
        <f t="shared" si="5"/>
        <v>#N/A</v>
      </c>
    </row>
    <row r="66" spans="2:12">
      <c r="B66" s="55">
        <v>7.7</v>
      </c>
      <c r="C66" s="54"/>
      <c r="D66" s="54"/>
      <c r="E66" s="54"/>
      <c r="F66" s="54"/>
      <c r="G66" s="55" t="e">
        <f t="shared" si="0"/>
        <v>#N/A</v>
      </c>
      <c r="H66" s="55" t="e">
        <f t="shared" si="1"/>
        <v>#N/A</v>
      </c>
      <c r="I66" s="55" t="e">
        <f t="shared" si="2"/>
        <v>#N/A</v>
      </c>
      <c r="J66" s="55" t="e">
        <f t="shared" si="3"/>
        <v>#N/A</v>
      </c>
      <c r="K66" s="55" t="e">
        <f t="shared" si="4"/>
        <v>#N/A</v>
      </c>
      <c r="L66" s="60" t="e">
        <f t="shared" si="5"/>
        <v>#N/A</v>
      </c>
    </row>
    <row r="67" spans="2:12">
      <c r="B67" s="58">
        <v>8.1</v>
      </c>
      <c r="C67" s="57"/>
      <c r="D67" s="57"/>
      <c r="E67" s="57"/>
      <c r="F67" s="57"/>
      <c r="G67" s="58" t="e">
        <f t="shared" si="0"/>
        <v>#N/A</v>
      </c>
      <c r="H67" s="58" t="e">
        <f t="shared" si="1"/>
        <v>#N/A</v>
      </c>
      <c r="I67" s="58" t="e">
        <f t="shared" si="2"/>
        <v>#N/A</v>
      </c>
      <c r="J67" s="58" t="e">
        <f t="shared" si="3"/>
        <v>#N/A</v>
      </c>
      <c r="K67" s="58" t="e">
        <f t="shared" si="4"/>
        <v>#N/A</v>
      </c>
      <c r="L67" s="59" t="e">
        <f t="shared" si="5"/>
        <v>#N/A</v>
      </c>
    </row>
    <row r="68" spans="2:12">
      <c r="B68" s="55">
        <v>8.1999999999999993</v>
      </c>
      <c r="C68" s="54"/>
      <c r="D68" s="54"/>
      <c r="E68" s="54"/>
      <c r="F68" s="54"/>
      <c r="G68" s="55" t="e">
        <f t="shared" si="0"/>
        <v>#N/A</v>
      </c>
      <c r="H68" s="55" t="e">
        <f t="shared" si="1"/>
        <v>#N/A</v>
      </c>
      <c r="I68" s="55" t="e">
        <f t="shared" si="2"/>
        <v>#N/A</v>
      </c>
      <c r="J68" s="55" t="e">
        <f t="shared" si="3"/>
        <v>#N/A</v>
      </c>
      <c r="K68" s="55" t="e">
        <f t="shared" si="4"/>
        <v>#N/A</v>
      </c>
      <c r="L68" s="60" t="e">
        <f t="shared" si="5"/>
        <v>#N/A</v>
      </c>
    </row>
    <row r="69" spans="2:12">
      <c r="B69" s="58">
        <v>8.3000000000000007</v>
      </c>
      <c r="C69" s="57"/>
      <c r="D69" s="57"/>
      <c r="E69" s="57"/>
      <c r="F69" s="57"/>
      <c r="G69" s="58" t="e">
        <f t="shared" si="0"/>
        <v>#N/A</v>
      </c>
      <c r="H69" s="58" t="e">
        <f t="shared" si="1"/>
        <v>#N/A</v>
      </c>
      <c r="I69" s="58" t="e">
        <f t="shared" si="2"/>
        <v>#N/A</v>
      </c>
      <c r="J69" s="58" t="e">
        <f t="shared" si="3"/>
        <v>#N/A</v>
      </c>
      <c r="K69" s="58" t="e">
        <f t="shared" si="4"/>
        <v>#N/A</v>
      </c>
      <c r="L69" s="60" t="e">
        <f t="shared" si="5"/>
        <v>#N/A</v>
      </c>
    </row>
    <row r="70" spans="2:12">
      <c r="B70" s="55">
        <v>8.4</v>
      </c>
      <c r="C70" s="54"/>
      <c r="D70" s="54"/>
      <c r="E70" s="54"/>
      <c r="F70" s="54"/>
      <c r="G70" s="55" t="e">
        <f t="shared" si="0"/>
        <v>#N/A</v>
      </c>
      <c r="H70" s="55" t="e">
        <f t="shared" si="1"/>
        <v>#N/A</v>
      </c>
      <c r="I70" s="55" t="e">
        <f t="shared" si="2"/>
        <v>#N/A</v>
      </c>
      <c r="J70" s="55" t="e">
        <f t="shared" si="3"/>
        <v>#N/A</v>
      </c>
      <c r="K70" s="55" t="e">
        <f t="shared" si="4"/>
        <v>#N/A</v>
      </c>
      <c r="L70" s="59" t="e">
        <f t="shared" si="5"/>
        <v>#N/A</v>
      </c>
    </row>
    <row r="71" spans="2:12">
      <c r="B71" s="58">
        <v>8.5</v>
      </c>
      <c r="C71" s="57"/>
      <c r="D71" s="57"/>
      <c r="E71" s="57"/>
      <c r="F71" s="57"/>
      <c r="G71" s="58" t="e">
        <f t="shared" si="0"/>
        <v>#N/A</v>
      </c>
      <c r="H71" s="58" t="e">
        <f t="shared" si="1"/>
        <v>#N/A</v>
      </c>
      <c r="I71" s="58" t="e">
        <f t="shared" si="2"/>
        <v>#N/A</v>
      </c>
      <c r="J71" s="58" t="e">
        <f t="shared" si="3"/>
        <v>#N/A</v>
      </c>
      <c r="K71" s="58" t="e">
        <f t="shared" si="4"/>
        <v>#N/A</v>
      </c>
      <c r="L71" s="60" t="e">
        <f t="shared" si="5"/>
        <v>#N/A</v>
      </c>
    </row>
    <row r="72" spans="2:12">
      <c r="B72" s="55">
        <v>8.6</v>
      </c>
      <c r="C72" s="54"/>
      <c r="D72" s="54"/>
      <c r="E72" s="54"/>
      <c r="F72" s="54"/>
      <c r="G72" s="55" t="e">
        <f t="shared" si="0"/>
        <v>#N/A</v>
      </c>
      <c r="H72" s="55" t="e">
        <f t="shared" si="1"/>
        <v>#N/A</v>
      </c>
      <c r="I72" s="55" t="e">
        <f t="shared" si="2"/>
        <v>#N/A</v>
      </c>
      <c r="J72" s="55" t="e">
        <f t="shared" si="3"/>
        <v>#N/A</v>
      </c>
      <c r="K72" s="55" t="e">
        <f t="shared" si="4"/>
        <v>#N/A</v>
      </c>
      <c r="L72" s="59" t="e">
        <f t="shared" si="5"/>
        <v>#N/A</v>
      </c>
    </row>
    <row r="73" spans="2:12">
      <c r="B73" s="58">
        <v>8.6999999999999993</v>
      </c>
      <c r="C73" s="57"/>
      <c r="D73" s="57"/>
      <c r="E73" s="57"/>
      <c r="F73" s="57"/>
      <c r="G73" s="58" t="e">
        <f t="shared" si="0"/>
        <v>#N/A</v>
      </c>
      <c r="H73" s="58" t="e">
        <f t="shared" si="1"/>
        <v>#N/A</v>
      </c>
      <c r="I73" s="58" t="e">
        <f t="shared" si="2"/>
        <v>#N/A</v>
      </c>
      <c r="J73" s="58" t="e">
        <f t="shared" si="3"/>
        <v>#N/A</v>
      </c>
      <c r="K73" s="58" t="e">
        <f t="shared" si="4"/>
        <v>#N/A</v>
      </c>
      <c r="L73" s="60" t="e">
        <f t="shared" si="5"/>
        <v>#N/A</v>
      </c>
    </row>
    <row r="74" spans="2:12">
      <c r="B74" s="55">
        <v>8.8000000000000007</v>
      </c>
      <c r="C74" s="54"/>
      <c r="D74" s="54"/>
      <c r="E74" s="54"/>
      <c r="F74" s="54"/>
      <c r="G74" s="55" t="e">
        <f t="shared" si="0"/>
        <v>#N/A</v>
      </c>
      <c r="H74" s="55" t="e">
        <f t="shared" si="1"/>
        <v>#N/A</v>
      </c>
      <c r="I74" s="55" t="e">
        <f t="shared" si="2"/>
        <v>#N/A</v>
      </c>
      <c r="J74" s="55" t="e">
        <f t="shared" si="3"/>
        <v>#N/A</v>
      </c>
      <c r="K74" s="55" t="e">
        <f t="shared" si="4"/>
        <v>#N/A</v>
      </c>
      <c r="L74" s="59" t="e">
        <f t="shared" si="5"/>
        <v>#N/A</v>
      </c>
    </row>
    <row r="75" spans="2:12">
      <c r="B75" s="58">
        <v>8.9</v>
      </c>
      <c r="C75" s="57"/>
      <c r="D75" s="57"/>
      <c r="E75" s="57"/>
      <c r="F75" s="57"/>
      <c r="G75" s="58" t="e">
        <f t="shared" si="0"/>
        <v>#N/A</v>
      </c>
      <c r="H75" s="58" t="e">
        <f t="shared" si="1"/>
        <v>#N/A</v>
      </c>
      <c r="I75" s="58" t="e">
        <f t="shared" si="2"/>
        <v>#N/A</v>
      </c>
      <c r="J75" s="58" t="e">
        <f t="shared" si="3"/>
        <v>#N/A</v>
      </c>
      <c r="K75" s="58" t="e">
        <f t="shared" si="4"/>
        <v>#N/A</v>
      </c>
      <c r="L75" s="60" t="e">
        <f t="shared" si="5"/>
        <v>#N/A</v>
      </c>
    </row>
    <row r="76" spans="2:12">
      <c r="B76" s="99">
        <v>8.1</v>
      </c>
      <c r="C76" s="54"/>
      <c r="D76" s="54"/>
      <c r="E76" s="54"/>
      <c r="F76" s="54"/>
      <c r="G76" s="55" t="e">
        <f t="shared" si="0"/>
        <v>#N/A</v>
      </c>
      <c r="H76" s="55" t="e">
        <f t="shared" si="1"/>
        <v>#N/A</v>
      </c>
      <c r="I76" s="55" t="e">
        <f t="shared" si="2"/>
        <v>#N/A</v>
      </c>
      <c r="J76" s="55" t="e">
        <f t="shared" si="3"/>
        <v>#N/A</v>
      </c>
      <c r="K76" s="55" t="e">
        <f t="shared" si="4"/>
        <v>#N/A</v>
      </c>
      <c r="L76" s="59" t="e">
        <f t="shared" si="5"/>
        <v>#N/A</v>
      </c>
    </row>
    <row r="77" spans="2:12">
      <c r="B77" s="58">
        <v>8.11</v>
      </c>
      <c r="C77" s="57"/>
      <c r="D77" s="57"/>
      <c r="E77" s="57"/>
      <c r="F77" s="57"/>
      <c r="G77" s="58" t="e">
        <f t="shared" si="0"/>
        <v>#N/A</v>
      </c>
      <c r="H77" s="58" t="e">
        <f t="shared" si="1"/>
        <v>#N/A</v>
      </c>
      <c r="I77" s="58" t="e">
        <f t="shared" si="2"/>
        <v>#N/A</v>
      </c>
      <c r="J77" s="58" t="e">
        <f t="shared" si="3"/>
        <v>#N/A</v>
      </c>
      <c r="K77" s="58" t="e">
        <f t="shared" si="4"/>
        <v>#N/A</v>
      </c>
      <c r="L77" s="60" t="e">
        <f t="shared" si="5"/>
        <v>#N/A</v>
      </c>
    </row>
    <row r="78" spans="2:12">
      <c r="B78" s="55">
        <v>9.1</v>
      </c>
      <c r="C78" s="54"/>
      <c r="D78" s="54"/>
      <c r="E78" s="54"/>
      <c r="F78" s="54"/>
      <c r="G78" s="55" t="e">
        <f t="shared" si="0"/>
        <v>#N/A</v>
      </c>
      <c r="H78" s="55" t="e">
        <f t="shared" si="1"/>
        <v>#N/A</v>
      </c>
      <c r="I78" s="55" t="e">
        <f t="shared" si="2"/>
        <v>#N/A</v>
      </c>
      <c r="J78" s="55" t="e">
        <f t="shared" si="3"/>
        <v>#N/A</v>
      </c>
      <c r="K78" s="55" t="e">
        <f t="shared" si="4"/>
        <v>#N/A</v>
      </c>
      <c r="L78" s="59" t="e">
        <f t="shared" si="5"/>
        <v>#N/A</v>
      </c>
    </row>
    <row r="79" spans="2:12">
      <c r="B79" s="58">
        <v>9.1999999999999993</v>
      </c>
      <c r="C79" s="57"/>
      <c r="D79" s="57"/>
      <c r="E79" s="57"/>
      <c r="F79" s="57"/>
      <c r="G79" s="58" t="e">
        <f t="shared" ref="G79:G142" si="6">VLOOKUP(C79,$C$4:$G$10,5,FALSE)</f>
        <v>#N/A</v>
      </c>
      <c r="H79" s="58" t="e">
        <f t="shared" ref="H79:H142" si="7">VLOOKUP(D79,$D$4:$G$10,4,FALSE)</f>
        <v>#N/A</v>
      </c>
      <c r="I79" s="58" t="e">
        <f t="shared" ref="I79:I142" si="8">VLOOKUP(E79,$E$4:$G$10,3,FALSE)</f>
        <v>#N/A</v>
      </c>
      <c r="J79" s="58" t="e">
        <f t="shared" ref="J79:J142" si="9">VLOOKUP(F79,$F$4:$G$10,2,FALSE)</f>
        <v>#N/A</v>
      </c>
      <c r="K79" s="58" t="e">
        <f t="shared" ref="K79:K142" si="10">ROUND(AVERAGE(G79:J79),0)</f>
        <v>#N/A</v>
      </c>
      <c r="L79" s="60" t="e">
        <f t="shared" ref="L79:L142" si="11">K79</f>
        <v>#N/A</v>
      </c>
    </row>
    <row r="80" spans="2:12">
      <c r="B80" s="55">
        <v>9.3000000000000007</v>
      </c>
      <c r="C80" s="54"/>
      <c r="D80" s="54"/>
      <c r="E80" s="54"/>
      <c r="F80" s="54"/>
      <c r="G80" s="55" t="e">
        <f t="shared" si="6"/>
        <v>#N/A</v>
      </c>
      <c r="H80" s="55" t="e">
        <f t="shared" si="7"/>
        <v>#N/A</v>
      </c>
      <c r="I80" s="55" t="e">
        <f t="shared" si="8"/>
        <v>#N/A</v>
      </c>
      <c r="J80" s="55" t="e">
        <f t="shared" si="9"/>
        <v>#N/A</v>
      </c>
      <c r="K80" s="55" t="e">
        <f t="shared" si="10"/>
        <v>#N/A</v>
      </c>
      <c r="L80" s="59" t="e">
        <f t="shared" si="11"/>
        <v>#N/A</v>
      </c>
    </row>
    <row r="81" spans="2:12">
      <c r="B81" s="58">
        <v>9.4</v>
      </c>
      <c r="C81" s="57"/>
      <c r="D81" s="57"/>
      <c r="E81" s="57"/>
      <c r="F81" s="57"/>
      <c r="G81" s="58" t="e">
        <f t="shared" si="6"/>
        <v>#N/A</v>
      </c>
      <c r="H81" s="58" t="e">
        <f t="shared" si="7"/>
        <v>#N/A</v>
      </c>
      <c r="I81" s="58" t="e">
        <f t="shared" si="8"/>
        <v>#N/A</v>
      </c>
      <c r="J81" s="58" t="e">
        <f t="shared" si="9"/>
        <v>#N/A</v>
      </c>
      <c r="K81" s="58" t="e">
        <f t="shared" si="10"/>
        <v>#N/A</v>
      </c>
      <c r="L81" s="60" t="e">
        <f t="shared" si="11"/>
        <v>#N/A</v>
      </c>
    </row>
    <row r="82" spans="2:12">
      <c r="B82" s="55">
        <v>9.5</v>
      </c>
      <c r="C82" s="54"/>
      <c r="D82" s="54"/>
      <c r="E82" s="54"/>
      <c r="F82" s="54"/>
      <c r="G82" s="55" t="e">
        <f t="shared" si="6"/>
        <v>#N/A</v>
      </c>
      <c r="H82" s="55" t="e">
        <f t="shared" si="7"/>
        <v>#N/A</v>
      </c>
      <c r="I82" s="55" t="e">
        <f t="shared" si="8"/>
        <v>#N/A</v>
      </c>
      <c r="J82" s="55" t="e">
        <f t="shared" si="9"/>
        <v>#N/A</v>
      </c>
      <c r="K82" s="55" t="e">
        <f t="shared" si="10"/>
        <v>#N/A</v>
      </c>
      <c r="L82" s="59" t="e">
        <f t="shared" si="11"/>
        <v>#N/A</v>
      </c>
    </row>
    <row r="83" spans="2:12">
      <c r="B83" s="58">
        <v>9.6</v>
      </c>
      <c r="C83" s="57"/>
      <c r="D83" s="57"/>
      <c r="E83" s="57"/>
      <c r="F83" s="57"/>
      <c r="G83" s="58" t="e">
        <f t="shared" si="6"/>
        <v>#N/A</v>
      </c>
      <c r="H83" s="58" t="e">
        <f t="shared" si="7"/>
        <v>#N/A</v>
      </c>
      <c r="I83" s="58" t="e">
        <f t="shared" si="8"/>
        <v>#N/A</v>
      </c>
      <c r="J83" s="58" t="e">
        <f t="shared" si="9"/>
        <v>#N/A</v>
      </c>
      <c r="K83" s="58" t="e">
        <f t="shared" si="10"/>
        <v>#N/A</v>
      </c>
      <c r="L83" s="60" t="e">
        <f t="shared" si="11"/>
        <v>#N/A</v>
      </c>
    </row>
    <row r="84" spans="2:12">
      <c r="B84" s="55">
        <v>10.1</v>
      </c>
      <c r="C84" s="54"/>
      <c r="D84" s="54"/>
      <c r="E84" s="54"/>
      <c r="F84" s="54"/>
      <c r="G84" s="55" t="e">
        <f t="shared" si="6"/>
        <v>#N/A</v>
      </c>
      <c r="H84" s="55" t="e">
        <f t="shared" si="7"/>
        <v>#N/A</v>
      </c>
      <c r="I84" s="55" t="e">
        <f t="shared" si="8"/>
        <v>#N/A</v>
      </c>
      <c r="J84" s="55" t="e">
        <f t="shared" si="9"/>
        <v>#N/A</v>
      </c>
      <c r="K84" s="55" t="e">
        <f t="shared" si="10"/>
        <v>#N/A</v>
      </c>
      <c r="L84" s="59" t="e">
        <f t="shared" si="11"/>
        <v>#N/A</v>
      </c>
    </row>
    <row r="85" spans="2:12">
      <c r="B85" s="58">
        <v>10.199999999999999</v>
      </c>
      <c r="C85" s="57"/>
      <c r="D85" s="57"/>
      <c r="E85" s="57"/>
      <c r="F85" s="57"/>
      <c r="G85" s="58" t="e">
        <f t="shared" si="6"/>
        <v>#N/A</v>
      </c>
      <c r="H85" s="58" t="e">
        <f t="shared" si="7"/>
        <v>#N/A</v>
      </c>
      <c r="I85" s="58" t="e">
        <f t="shared" si="8"/>
        <v>#N/A</v>
      </c>
      <c r="J85" s="58" t="e">
        <f t="shared" si="9"/>
        <v>#N/A</v>
      </c>
      <c r="K85" s="58" t="e">
        <f t="shared" si="10"/>
        <v>#N/A</v>
      </c>
      <c r="L85" s="60" t="e">
        <f t="shared" si="11"/>
        <v>#N/A</v>
      </c>
    </row>
    <row r="86" spans="2:12">
      <c r="B86" s="55">
        <v>10.3</v>
      </c>
      <c r="C86" s="54"/>
      <c r="D86" s="54"/>
      <c r="E86" s="54"/>
      <c r="F86" s="54"/>
      <c r="G86" s="55" t="e">
        <f t="shared" si="6"/>
        <v>#N/A</v>
      </c>
      <c r="H86" s="55" t="e">
        <f t="shared" si="7"/>
        <v>#N/A</v>
      </c>
      <c r="I86" s="55" t="e">
        <f t="shared" si="8"/>
        <v>#N/A</v>
      </c>
      <c r="J86" s="55" t="e">
        <f t="shared" si="9"/>
        <v>#N/A</v>
      </c>
      <c r="K86" s="55" t="e">
        <f t="shared" si="10"/>
        <v>#N/A</v>
      </c>
      <c r="L86" s="59" t="e">
        <f t="shared" si="11"/>
        <v>#N/A</v>
      </c>
    </row>
    <row r="87" spans="2:12">
      <c r="B87" s="58">
        <v>10.4</v>
      </c>
      <c r="C87" s="57"/>
      <c r="D87" s="57"/>
      <c r="E87" s="57"/>
      <c r="F87" s="57"/>
      <c r="G87" s="58" t="e">
        <f t="shared" si="6"/>
        <v>#N/A</v>
      </c>
      <c r="H87" s="58" t="e">
        <f t="shared" si="7"/>
        <v>#N/A</v>
      </c>
      <c r="I87" s="58" t="e">
        <f t="shared" si="8"/>
        <v>#N/A</v>
      </c>
      <c r="J87" s="58" t="e">
        <f t="shared" si="9"/>
        <v>#N/A</v>
      </c>
      <c r="K87" s="58" t="e">
        <f t="shared" si="10"/>
        <v>#N/A</v>
      </c>
      <c r="L87" s="60" t="e">
        <f t="shared" si="11"/>
        <v>#N/A</v>
      </c>
    </row>
    <row r="88" spans="2:12">
      <c r="B88" s="55">
        <v>10.5</v>
      </c>
      <c r="C88" s="54"/>
      <c r="D88" s="54"/>
      <c r="E88" s="54"/>
      <c r="F88" s="54"/>
      <c r="G88" s="55" t="e">
        <f t="shared" si="6"/>
        <v>#N/A</v>
      </c>
      <c r="H88" s="55" t="e">
        <f t="shared" si="7"/>
        <v>#N/A</v>
      </c>
      <c r="I88" s="55" t="e">
        <f t="shared" si="8"/>
        <v>#N/A</v>
      </c>
      <c r="J88" s="55" t="e">
        <f t="shared" si="9"/>
        <v>#N/A</v>
      </c>
      <c r="K88" s="55" t="e">
        <f t="shared" si="10"/>
        <v>#N/A</v>
      </c>
      <c r="L88" s="59" t="e">
        <f t="shared" si="11"/>
        <v>#N/A</v>
      </c>
    </row>
    <row r="89" spans="2:12">
      <c r="B89" s="58">
        <v>10.6</v>
      </c>
      <c r="C89" s="57"/>
      <c r="D89" s="57"/>
      <c r="E89" s="57"/>
      <c r="F89" s="57"/>
      <c r="G89" s="58" t="e">
        <f t="shared" si="6"/>
        <v>#N/A</v>
      </c>
      <c r="H89" s="58" t="e">
        <f t="shared" si="7"/>
        <v>#N/A</v>
      </c>
      <c r="I89" s="58" t="e">
        <f t="shared" si="8"/>
        <v>#N/A</v>
      </c>
      <c r="J89" s="58" t="e">
        <f t="shared" si="9"/>
        <v>#N/A</v>
      </c>
      <c r="K89" s="58" t="e">
        <f t="shared" si="10"/>
        <v>#N/A</v>
      </c>
      <c r="L89" s="60" t="e">
        <f t="shared" si="11"/>
        <v>#N/A</v>
      </c>
    </row>
    <row r="90" spans="2:12">
      <c r="B90" s="55">
        <v>10.7</v>
      </c>
      <c r="C90" s="54"/>
      <c r="D90" s="54"/>
      <c r="E90" s="54"/>
      <c r="F90" s="54"/>
      <c r="G90" s="55" t="e">
        <f t="shared" si="6"/>
        <v>#N/A</v>
      </c>
      <c r="H90" s="55" t="e">
        <f t="shared" si="7"/>
        <v>#N/A</v>
      </c>
      <c r="I90" s="55" t="e">
        <f t="shared" si="8"/>
        <v>#N/A</v>
      </c>
      <c r="J90" s="55" t="e">
        <f t="shared" si="9"/>
        <v>#N/A</v>
      </c>
      <c r="K90" s="55" t="e">
        <f t="shared" si="10"/>
        <v>#N/A</v>
      </c>
      <c r="L90" s="59" t="e">
        <f t="shared" si="11"/>
        <v>#N/A</v>
      </c>
    </row>
    <row r="91" spans="2:12">
      <c r="B91" s="58">
        <v>11.1</v>
      </c>
      <c r="C91" s="57"/>
      <c r="D91" s="57"/>
      <c r="E91" s="57"/>
      <c r="F91" s="57"/>
      <c r="G91" s="58" t="e">
        <f t="shared" si="6"/>
        <v>#N/A</v>
      </c>
      <c r="H91" s="58" t="e">
        <f t="shared" si="7"/>
        <v>#N/A</v>
      </c>
      <c r="I91" s="58" t="e">
        <f t="shared" si="8"/>
        <v>#N/A</v>
      </c>
      <c r="J91" s="58" t="e">
        <f t="shared" si="9"/>
        <v>#N/A</v>
      </c>
      <c r="K91" s="58" t="e">
        <f t="shared" si="10"/>
        <v>#N/A</v>
      </c>
      <c r="L91" s="60" t="e">
        <f t="shared" si="11"/>
        <v>#N/A</v>
      </c>
    </row>
    <row r="92" spans="2:12">
      <c r="B92" s="55">
        <v>11.2</v>
      </c>
      <c r="C92" s="54"/>
      <c r="D92" s="54"/>
      <c r="E92" s="54"/>
      <c r="F92" s="54"/>
      <c r="G92" s="55" t="e">
        <f t="shared" si="6"/>
        <v>#N/A</v>
      </c>
      <c r="H92" s="55" t="e">
        <f t="shared" si="7"/>
        <v>#N/A</v>
      </c>
      <c r="I92" s="55" t="e">
        <f t="shared" si="8"/>
        <v>#N/A</v>
      </c>
      <c r="J92" s="55" t="e">
        <f t="shared" si="9"/>
        <v>#N/A</v>
      </c>
      <c r="K92" s="55" t="e">
        <f t="shared" si="10"/>
        <v>#N/A</v>
      </c>
      <c r="L92" s="59" t="e">
        <f t="shared" si="11"/>
        <v>#N/A</v>
      </c>
    </row>
    <row r="93" spans="2:12">
      <c r="B93" s="58">
        <v>11.3</v>
      </c>
      <c r="C93" s="57"/>
      <c r="D93" s="57"/>
      <c r="E93" s="57"/>
      <c r="F93" s="57"/>
      <c r="G93" s="58" t="e">
        <f t="shared" si="6"/>
        <v>#N/A</v>
      </c>
      <c r="H93" s="58" t="e">
        <f t="shared" si="7"/>
        <v>#N/A</v>
      </c>
      <c r="I93" s="58" t="e">
        <f t="shared" si="8"/>
        <v>#N/A</v>
      </c>
      <c r="J93" s="58" t="e">
        <f t="shared" si="9"/>
        <v>#N/A</v>
      </c>
      <c r="K93" s="58" t="e">
        <f t="shared" si="10"/>
        <v>#N/A</v>
      </c>
      <c r="L93" s="60" t="e">
        <f t="shared" si="11"/>
        <v>#N/A</v>
      </c>
    </row>
    <row r="94" spans="2:12">
      <c r="B94" s="55">
        <v>11.4</v>
      </c>
      <c r="C94" s="54"/>
      <c r="D94" s="54"/>
      <c r="E94" s="54"/>
      <c r="F94" s="54"/>
      <c r="G94" s="55" t="e">
        <f t="shared" si="6"/>
        <v>#N/A</v>
      </c>
      <c r="H94" s="55" t="e">
        <f t="shared" si="7"/>
        <v>#N/A</v>
      </c>
      <c r="I94" s="55" t="e">
        <f t="shared" si="8"/>
        <v>#N/A</v>
      </c>
      <c r="J94" s="55" t="e">
        <f t="shared" si="9"/>
        <v>#N/A</v>
      </c>
      <c r="K94" s="55" t="e">
        <f t="shared" si="10"/>
        <v>#N/A</v>
      </c>
      <c r="L94" s="59" t="e">
        <f t="shared" si="11"/>
        <v>#N/A</v>
      </c>
    </row>
    <row r="95" spans="2:12">
      <c r="B95" s="58">
        <v>11.5</v>
      </c>
      <c r="C95" s="57"/>
      <c r="D95" s="57"/>
      <c r="E95" s="57"/>
      <c r="F95" s="57"/>
      <c r="G95" s="58" t="e">
        <f t="shared" si="6"/>
        <v>#N/A</v>
      </c>
      <c r="H95" s="58" t="e">
        <f t="shared" si="7"/>
        <v>#N/A</v>
      </c>
      <c r="I95" s="58" t="e">
        <f t="shared" si="8"/>
        <v>#N/A</v>
      </c>
      <c r="J95" s="58" t="e">
        <f t="shared" si="9"/>
        <v>#N/A</v>
      </c>
      <c r="K95" s="58" t="e">
        <f t="shared" si="10"/>
        <v>#N/A</v>
      </c>
      <c r="L95" s="60" t="e">
        <f t="shared" si="11"/>
        <v>#N/A</v>
      </c>
    </row>
    <row r="96" spans="2:12">
      <c r="B96" s="55">
        <v>12.1</v>
      </c>
      <c r="C96" s="54"/>
      <c r="D96" s="54"/>
      <c r="E96" s="54"/>
      <c r="F96" s="54"/>
      <c r="G96" s="55" t="e">
        <f t="shared" si="6"/>
        <v>#N/A</v>
      </c>
      <c r="H96" s="55" t="e">
        <f t="shared" si="7"/>
        <v>#N/A</v>
      </c>
      <c r="I96" s="55" t="e">
        <f t="shared" si="8"/>
        <v>#N/A</v>
      </c>
      <c r="J96" s="55" t="e">
        <f t="shared" si="9"/>
        <v>#N/A</v>
      </c>
      <c r="K96" s="55" t="e">
        <f t="shared" si="10"/>
        <v>#N/A</v>
      </c>
      <c r="L96" s="59" t="e">
        <f t="shared" si="11"/>
        <v>#N/A</v>
      </c>
    </row>
    <row r="97" spans="2:12">
      <c r="B97" s="58">
        <v>12.2</v>
      </c>
      <c r="C97" s="57"/>
      <c r="D97" s="57"/>
      <c r="E97" s="57"/>
      <c r="F97" s="57"/>
      <c r="G97" s="58" t="e">
        <f t="shared" si="6"/>
        <v>#N/A</v>
      </c>
      <c r="H97" s="58" t="e">
        <f t="shared" si="7"/>
        <v>#N/A</v>
      </c>
      <c r="I97" s="58" t="e">
        <f t="shared" si="8"/>
        <v>#N/A</v>
      </c>
      <c r="J97" s="58" t="e">
        <f t="shared" si="9"/>
        <v>#N/A</v>
      </c>
      <c r="K97" s="58" t="e">
        <f t="shared" si="10"/>
        <v>#N/A</v>
      </c>
      <c r="L97" s="60" t="e">
        <f t="shared" si="11"/>
        <v>#N/A</v>
      </c>
    </row>
    <row r="98" spans="2:12">
      <c r="B98" s="55">
        <v>12.3</v>
      </c>
      <c r="C98" s="54"/>
      <c r="D98" s="54"/>
      <c r="E98" s="54"/>
      <c r="F98" s="54"/>
      <c r="G98" s="55" t="e">
        <f t="shared" si="6"/>
        <v>#N/A</v>
      </c>
      <c r="H98" s="55" t="e">
        <f t="shared" si="7"/>
        <v>#N/A</v>
      </c>
      <c r="I98" s="55" t="e">
        <f t="shared" si="8"/>
        <v>#N/A</v>
      </c>
      <c r="J98" s="55" t="e">
        <f t="shared" si="9"/>
        <v>#N/A</v>
      </c>
      <c r="K98" s="55" t="e">
        <f t="shared" si="10"/>
        <v>#N/A</v>
      </c>
      <c r="L98" s="59" t="e">
        <f t="shared" si="11"/>
        <v>#N/A</v>
      </c>
    </row>
    <row r="99" spans="2:12">
      <c r="B99" s="58">
        <v>12.4</v>
      </c>
      <c r="C99" s="57"/>
      <c r="D99" s="57"/>
      <c r="E99" s="57"/>
      <c r="F99" s="57"/>
      <c r="G99" s="58" t="e">
        <f t="shared" si="6"/>
        <v>#N/A</v>
      </c>
      <c r="H99" s="58" t="e">
        <f t="shared" si="7"/>
        <v>#N/A</v>
      </c>
      <c r="I99" s="58" t="e">
        <f t="shared" si="8"/>
        <v>#N/A</v>
      </c>
      <c r="J99" s="58" t="e">
        <f t="shared" si="9"/>
        <v>#N/A</v>
      </c>
      <c r="K99" s="58" t="e">
        <f t="shared" si="10"/>
        <v>#N/A</v>
      </c>
      <c r="L99" s="60" t="e">
        <f t="shared" si="11"/>
        <v>#N/A</v>
      </c>
    </row>
    <row r="100" spans="2:12">
      <c r="B100" s="55">
        <v>12.5</v>
      </c>
      <c r="C100" s="54"/>
      <c r="D100" s="54"/>
      <c r="E100" s="54"/>
      <c r="F100" s="54"/>
      <c r="G100" s="55" t="e">
        <f t="shared" si="6"/>
        <v>#N/A</v>
      </c>
      <c r="H100" s="55" t="e">
        <f t="shared" si="7"/>
        <v>#N/A</v>
      </c>
      <c r="I100" s="55" t="e">
        <f t="shared" si="8"/>
        <v>#N/A</v>
      </c>
      <c r="J100" s="55" t="e">
        <f t="shared" si="9"/>
        <v>#N/A</v>
      </c>
      <c r="K100" s="55" t="e">
        <f t="shared" si="10"/>
        <v>#N/A</v>
      </c>
      <c r="L100" s="59" t="e">
        <f t="shared" si="11"/>
        <v>#N/A</v>
      </c>
    </row>
    <row r="101" spans="2:12">
      <c r="B101" s="58">
        <v>12.6</v>
      </c>
      <c r="C101" s="57"/>
      <c r="D101" s="57"/>
      <c r="E101" s="57"/>
      <c r="F101" s="57"/>
      <c r="G101" s="58" t="e">
        <f t="shared" si="6"/>
        <v>#N/A</v>
      </c>
      <c r="H101" s="58" t="e">
        <f t="shared" si="7"/>
        <v>#N/A</v>
      </c>
      <c r="I101" s="58" t="e">
        <f t="shared" si="8"/>
        <v>#N/A</v>
      </c>
      <c r="J101" s="58" t="e">
        <f t="shared" si="9"/>
        <v>#N/A</v>
      </c>
      <c r="K101" s="58" t="e">
        <f t="shared" si="10"/>
        <v>#N/A</v>
      </c>
      <c r="L101" s="60" t="e">
        <f t="shared" si="11"/>
        <v>#N/A</v>
      </c>
    </row>
    <row r="102" spans="2:12">
      <c r="B102" s="55">
        <v>12.7</v>
      </c>
      <c r="C102" s="54"/>
      <c r="D102" s="54"/>
      <c r="E102" s="54"/>
      <c r="F102" s="54"/>
      <c r="G102" s="55" t="e">
        <f t="shared" si="6"/>
        <v>#N/A</v>
      </c>
      <c r="H102" s="55" t="e">
        <f t="shared" si="7"/>
        <v>#N/A</v>
      </c>
      <c r="I102" s="55" t="e">
        <f t="shared" si="8"/>
        <v>#N/A</v>
      </c>
      <c r="J102" s="55" t="e">
        <f t="shared" si="9"/>
        <v>#N/A</v>
      </c>
      <c r="K102" s="55" t="e">
        <f t="shared" si="10"/>
        <v>#N/A</v>
      </c>
      <c r="L102" s="59" t="e">
        <f t="shared" si="11"/>
        <v>#N/A</v>
      </c>
    </row>
    <row r="103" spans="2:12">
      <c r="B103" s="58">
        <v>13.1</v>
      </c>
      <c r="C103" s="57"/>
      <c r="D103" s="57"/>
      <c r="E103" s="57"/>
      <c r="F103" s="57"/>
      <c r="G103" s="58" t="e">
        <f t="shared" si="6"/>
        <v>#N/A</v>
      </c>
      <c r="H103" s="58" t="e">
        <f t="shared" si="7"/>
        <v>#N/A</v>
      </c>
      <c r="I103" s="58" t="e">
        <f t="shared" si="8"/>
        <v>#N/A</v>
      </c>
      <c r="J103" s="58" t="e">
        <f t="shared" si="9"/>
        <v>#N/A</v>
      </c>
      <c r="K103" s="58" t="e">
        <f t="shared" si="10"/>
        <v>#N/A</v>
      </c>
      <c r="L103" s="60" t="e">
        <f t="shared" si="11"/>
        <v>#N/A</v>
      </c>
    </row>
    <row r="104" spans="2:12">
      <c r="B104" s="55">
        <v>13.2</v>
      </c>
      <c r="C104" s="54"/>
      <c r="D104" s="54"/>
      <c r="E104" s="54"/>
      <c r="F104" s="54"/>
      <c r="G104" s="55" t="e">
        <f t="shared" si="6"/>
        <v>#N/A</v>
      </c>
      <c r="H104" s="55" t="e">
        <f t="shared" si="7"/>
        <v>#N/A</v>
      </c>
      <c r="I104" s="55" t="e">
        <f t="shared" si="8"/>
        <v>#N/A</v>
      </c>
      <c r="J104" s="55" t="e">
        <f t="shared" si="9"/>
        <v>#N/A</v>
      </c>
      <c r="K104" s="55" t="e">
        <f t="shared" si="10"/>
        <v>#N/A</v>
      </c>
      <c r="L104" s="59" t="e">
        <f t="shared" si="11"/>
        <v>#N/A</v>
      </c>
    </row>
    <row r="105" spans="2:12">
      <c r="B105" s="58">
        <v>13.3</v>
      </c>
      <c r="C105" s="57"/>
      <c r="D105" s="57"/>
      <c r="E105" s="57"/>
      <c r="F105" s="57"/>
      <c r="G105" s="58" t="e">
        <f t="shared" si="6"/>
        <v>#N/A</v>
      </c>
      <c r="H105" s="58" t="e">
        <f t="shared" si="7"/>
        <v>#N/A</v>
      </c>
      <c r="I105" s="58" t="e">
        <f t="shared" si="8"/>
        <v>#N/A</v>
      </c>
      <c r="J105" s="58" t="e">
        <f t="shared" si="9"/>
        <v>#N/A</v>
      </c>
      <c r="K105" s="58" t="e">
        <f t="shared" si="10"/>
        <v>#N/A</v>
      </c>
      <c r="L105" s="60" t="e">
        <f t="shared" si="11"/>
        <v>#N/A</v>
      </c>
    </row>
    <row r="106" spans="2:12">
      <c r="B106" s="55">
        <v>13.4</v>
      </c>
      <c r="C106" s="54"/>
      <c r="D106" s="54"/>
      <c r="E106" s="54"/>
      <c r="F106" s="54"/>
      <c r="G106" s="55" t="e">
        <f t="shared" si="6"/>
        <v>#N/A</v>
      </c>
      <c r="H106" s="55" t="e">
        <f t="shared" si="7"/>
        <v>#N/A</v>
      </c>
      <c r="I106" s="55" t="e">
        <f t="shared" si="8"/>
        <v>#N/A</v>
      </c>
      <c r="J106" s="55" t="e">
        <f t="shared" si="9"/>
        <v>#N/A</v>
      </c>
      <c r="K106" s="55" t="e">
        <f t="shared" si="10"/>
        <v>#N/A</v>
      </c>
      <c r="L106" s="59" t="e">
        <f t="shared" si="11"/>
        <v>#N/A</v>
      </c>
    </row>
    <row r="107" spans="2:12">
      <c r="B107" s="58">
        <v>13.5</v>
      </c>
      <c r="C107" s="57"/>
      <c r="D107" s="57"/>
      <c r="E107" s="57"/>
      <c r="F107" s="57"/>
      <c r="G107" s="58" t="e">
        <f t="shared" si="6"/>
        <v>#N/A</v>
      </c>
      <c r="H107" s="58" t="e">
        <f t="shared" si="7"/>
        <v>#N/A</v>
      </c>
      <c r="I107" s="58" t="e">
        <f t="shared" si="8"/>
        <v>#N/A</v>
      </c>
      <c r="J107" s="58" t="e">
        <f t="shared" si="9"/>
        <v>#N/A</v>
      </c>
      <c r="K107" s="58" t="e">
        <f t="shared" si="10"/>
        <v>#N/A</v>
      </c>
      <c r="L107" s="60" t="e">
        <f t="shared" si="11"/>
        <v>#N/A</v>
      </c>
    </row>
    <row r="108" spans="2:12">
      <c r="B108" s="55">
        <v>13.6</v>
      </c>
      <c r="C108" s="54"/>
      <c r="D108" s="54"/>
      <c r="E108" s="54"/>
      <c r="F108" s="54"/>
      <c r="G108" s="55" t="e">
        <f t="shared" si="6"/>
        <v>#N/A</v>
      </c>
      <c r="H108" s="55" t="e">
        <f t="shared" si="7"/>
        <v>#N/A</v>
      </c>
      <c r="I108" s="55" t="e">
        <f t="shared" si="8"/>
        <v>#N/A</v>
      </c>
      <c r="J108" s="55" t="e">
        <f t="shared" si="9"/>
        <v>#N/A</v>
      </c>
      <c r="K108" s="55" t="e">
        <f t="shared" si="10"/>
        <v>#N/A</v>
      </c>
      <c r="L108" s="59" t="e">
        <f t="shared" si="11"/>
        <v>#N/A</v>
      </c>
    </row>
    <row r="109" spans="2:12">
      <c r="B109" s="58">
        <v>14.1</v>
      </c>
      <c r="C109" s="57"/>
      <c r="D109" s="57"/>
      <c r="E109" s="57"/>
      <c r="F109" s="57"/>
      <c r="G109" s="58" t="e">
        <f t="shared" si="6"/>
        <v>#N/A</v>
      </c>
      <c r="H109" s="58" t="e">
        <f t="shared" si="7"/>
        <v>#N/A</v>
      </c>
      <c r="I109" s="58" t="e">
        <f t="shared" si="8"/>
        <v>#N/A</v>
      </c>
      <c r="J109" s="58" t="e">
        <f t="shared" si="9"/>
        <v>#N/A</v>
      </c>
      <c r="K109" s="58" t="e">
        <f t="shared" si="10"/>
        <v>#N/A</v>
      </c>
      <c r="L109" s="60" t="e">
        <f t="shared" si="11"/>
        <v>#N/A</v>
      </c>
    </row>
    <row r="110" spans="2:12">
      <c r="B110" s="55">
        <v>14.2</v>
      </c>
      <c r="C110" s="54"/>
      <c r="D110" s="54"/>
      <c r="E110" s="54"/>
      <c r="F110" s="54"/>
      <c r="G110" s="55" t="e">
        <f t="shared" si="6"/>
        <v>#N/A</v>
      </c>
      <c r="H110" s="55" t="e">
        <f t="shared" si="7"/>
        <v>#N/A</v>
      </c>
      <c r="I110" s="55" t="e">
        <f t="shared" si="8"/>
        <v>#N/A</v>
      </c>
      <c r="J110" s="55" t="e">
        <f t="shared" si="9"/>
        <v>#N/A</v>
      </c>
      <c r="K110" s="55" t="e">
        <f t="shared" si="10"/>
        <v>#N/A</v>
      </c>
      <c r="L110" s="59" t="e">
        <f t="shared" si="11"/>
        <v>#N/A</v>
      </c>
    </row>
    <row r="111" spans="2:12">
      <c r="B111" s="58">
        <v>14.3</v>
      </c>
      <c r="C111" s="57"/>
      <c r="D111" s="57"/>
      <c r="E111" s="57"/>
      <c r="F111" s="57"/>
      <c r="G111" s="58" t="e">
        <f t="shared" si="6"/>
        <v>#N/A</v>
      </c>
      <c r="H111" s="58" t="e">
        <f t="shared" si="7"/>
        <v>#N/A</v>
      </c>
      <c r="I111" s="58" t="e">
        <f t="shared" si="8"/>
        <v>#N/A</v>
      </c>
      <c r="J111" s="58" t="e">
        <f t="shared" si="9"/>
        <v>#N/A</v>
      </c>
      <c r="K111" s="58" t="e">
        <f t="shared" si="10"/>
        <v>#N/A</v>
      </c>
      <c r="L111" s="60" t="e">
        <f t="shared" si="11"/>
        <v>#N/A</v>
      </c>
    </row>
    <row r="112" spans="2:12">
      <c r="B112" s="55">
        <v>14.4</v>
      </c>
      <c r="C112" s="54"/>
      <c r="D112" s="54"/>
      <c r="E112" s="54"/>
      <c r="F112" s="54"/>
      <c r="G112" s="55" t="e">
        <f t="shared" si="6"/>
        <v>#N/A</v>
      </c>
      <c r="H112" s="55" t="e">
        <f t="shared" si="7"/>
        <v>#N/A</v>
      </c>
      <c r="I112" s="55" t="e">
        <f t="shared" si="8"/>
        <v>#N/A</v>
      </c>
      <c r="J112" s="55" t="e">
        <f t="shared" si="9"/>
        <v>#N/A</v>
      </c>
      <c r="K112" s="55" t="e">
        <f t="shared" si="10"/>
        <v>#N/A</v>
      </c>
      <c r="L112" s="59" t="e">
        <f t="shared" si="11"/>
        <v>#N/A</v>
      </c>
    </row>
    <row r="113" spans="2:12">
      <c r="B113" s="58">
        <v>14.5</v>
      </c>
      <c r="C113" s="57"/>
      <c r="D113" s="57"/>
      <c r="E113" s="57"/>
      <c r="F113" s="57"/>
      <c r="G113" s="58" t="e">
        <f t="shared" si="6"/>
        <v>#N/A</v>
      </c>
      <c r="H113" s="58" t="e">
        <f t="shared" si="7"/>
        <v>#N/A</v>
      </c>
      <c r="I113" s="58" t="e">
        <f t="shared" si="8"/>
        <v>#N/A</v>
      </c>
      <c r="J113" s="58" t="e">
        <f t="shared" si="9"/>
        <v>#N/A</v>
      </c>
      <c r="K113" s="58" t="e">
        <f t="shared" si="10"/>
        <v>#N/A</v>
      </c>
      <c r="L113" s="60" t="e">
        <f t="shared" si="11"/>
        <v>#N/A</v>
      </c>
    </row>
    <row r="114" spans="2:12">
      <c r="B114" s="55">
        <v>14.6</v>
      </c>
      <c r="C114" s="54"/>
      <c r="D114" s="54"/>
      <c r="E114" s="54"/>
      <c r="F114" s="54"/>
      <c r="G114" s="55" t="e">
        <f t="shared" si="6"/>
        <v>#N/A</v>
      </c>
      <c r="H114" s="55" t="e">
        <f t="shared" si="7"/>
        <v>#N/A</v>
      </c>
      <c r="I114" s="55" t="e">
        <f t="shared" si="8"/>
        <v>#N/A</v>
      </c>
      <c r="J114" s="55" t="e">
        <f t="shared" si="9"/>
        <v>#N/A</v>
      </c>
      <c r="K114" s="55" t="e">
        <f t="shared" si="10"/>
        <v>#N/A</v>
      </c>
      <c r="L114" s="59" t="e">
        <f t="shared" si="11"/>
        <v>#N/A</v>
      </c>
    </row>
    <row r="115" spans="2:12">
      <c r="B115" s="58">
        <v>14.7</v>
      </c>
      <c r="C115" s="57"/>
      <c r="D115" s="57"/>
      <c r="E115" s="57"/>
      <c r="F115" s="57"/>
      <c r="G115" s="58" t="e">
        <f t="shared" si="6"/>
        <v>#N/A</v>
      </c>
      <c r="H115" s="58" t="e">
        <f t="shared" si="7"/>
        <v>#N/A</v>
      </c>
      <c r="I115" s="58" t="e">
        <f t="shared" si="8"/>
        <v>#N/A</v>
      </c>
      <c r="J115" s="58" t="e">
        <f t="shared" si="9"/>
        <v>#N/A</v>
      </c>
      <c r="K115" s="58" t="e">
        <f t="shared" si="10"/>
        <v>#N/A</v>
      </c>
      <c r="L115" s="60" t="e">
        <f t="shared" si="11"/>
        <v>#N/A</v>
      </c>
    </row>
    <row r="116" spans="2:12">
      <c r="B116" s="55">
        <v>14.8</v>
      </c>
      <c r="C116" s="54"/>
      <c r="D116" s="54"/>
      <c r="E116" s="54"/>
      <c r="F116" s="54"/>
      <c r="G116" s="55" t="e">
        <f t="shared" si="6"/>
        <v>#N/A</v>
      </c>
      <c r="H116" s="55" t="e">
        <f t="shared" si="7"/>
        <v>#N/A</v>
      </c>
      <c r="I116" s="55" t="e">
        <f t="shared" si="8"/>
        <v>#N/A</v>
      </c>
      <c r="J116" s="55" t="e">
        <f t="shared" si="9"/>
        <v>#N/A</v>
      </c>
      <c r="K116" s="55" t="e">
        <f t="shared" si="10"/>
        <v>#N/A</v>
      </c>
      <c r="L116" s="59" t="e">
        <f t="shared" si="11"/>
        <v>#N/A</v>
      </c>
    </row>
    <row r="117" spans="2:12">
      <c r="B117" s="58">
        <v>14.9</v>
      </c>
      <c r="C117" s="57"/>
      <c r="D117" s="57"/>
      <c r="E117" s="57"/>
      <c r="F117" s="57"/>
      <c r="G117" s="58" t="e">
        <f t="shared" si="6"/>
        <v>#N/A</v>
      </c>
      <c r="H117" s="58" t="e">
        <f t="shared" si="7"/>
        <v>#N/A</v>
      </c>
      <c r="I117" s="58" t="e">
        <f t="shared" si="8"/>
        <v>#N/A</v>
      </c>
      <c r="J117" s="58" t="e">
        <f t="shared" si="9"/>
        <v>#N/A</v>
      </c>
      <c r="K117" s="58" t="e">
        <f t="shared" si="10"/>
        <v>#N/A</v>
      </c>
      <c r="L117" s="60" t="e">
        <f t="shared" si="11"/>
        <v>#N/A</v>
      </c>
    </row>
    <row r="118" spans="2:12">
      <c r="B118" s="55">
        <v>15.1</v>
      </c>
      <c r="C118" s="54"/>
      <c r="D118" s="54"/>
      <c r="E118" s="54"/>
      <c r="F118" s="54"/>
      <c r="G118" s="55" t="e">
        <f t="shared" si="6"/>
        <v>#N/A</v>
      </c>
      <c r="H118" s="55" t="e">
        <f t="shared" si="7"/>
        <v>#N/A</v>
      </c>
      <c r="I118" s="55" t="e">
        <f t="shared" si="8"/>
        <v>#N/A</v>
      </c>
      <c r="J118" s="55" t="e">
        <f t="shared" si="9"/>
        <v>#N/A</v>
      </c>
      <c r="K118" s="55" t="e">
        <f t="shared" si="10"/>
        <v>#N/A</v>
      </c>
      <c r="L118" s="59" t="e">
        <f t="shared" si="11"/>
        <v>#N/A</v>
      </c>
    </row>
    <row r="119" spans="2:12">
      <c r="B119" s="58">
        <v>15.2</v>
      </c>
      <c r="C119" s="57"/>
      <c r="D119" s="57"/>
      <c r="E119" s="57"/>
      <c r="F119" s="57"/>
      <c r="G119" s="58" t="e">
        <f t="shared" si="6"/>
        <v>#N/A</v>
      </c>
      <c r="H119" s="58" t="e">
        <f t="shared" si="7"/>
        <v>#N/A</v>
      </c>
      <c r="I119" s="58" t="e">
        <f t="shared" si="8"/>
        <v>#N/A</v>
      </c>
      <c r="J119" s="58" t="e">
        <f t="shared" si="9"/>
        <v>#N/A</v>
      </c>
      <c r="K119" s="58" t="e">
        <f t="shared" si="10"/>
        <v>#N/A</v>
      </c>
      <c r="L119" s="60" t="e">
        <f t="shared" si="11"/>
        <v>#N/A</v>
      </c>
    </row>
    <row r="120" spans="2:12">
      <c r="B120" s="55">
        <v>15.3</v>
      </c>
      <c r="C120" s="54"/>
      <c r="D120" s="54"/>
      <c r="E120" s="54"/>
      <c r="F120" s="54"/>
      <c r="G120" s="55" t="e">
        <f t="shared" si="6"/>
        <v>#N/A</v>
      </c>
      <c r="H120" s="55" t="e">
        <f t="shared" si="7"/>
        <v>#N/A</v>
      </c>
      <c r="I120" s="55" t="e">
        <f t="shared" si="8"/>
        <v>#N/A</v>
      </c>
      <c r="J120" s="55" t="e">
        <f t="shared" si="9"/>
        <v>#N/A</v>
      </c>
      <c r="K120" s="55" t="e">
        <f t="shared" si="10"/>
        <v>#N/A</v>
      </c>
      <c r="L120" s="59" t="e">
        <f t="shared" si="11"/>
        <v>#N/A</v>
      </c>
    </row>
    <row r="121" spans="2:12">
      <c r="B121" s="58">
        <v>15.4</v>
      </c>
      <c r="C121" s="57"/>
      <c r="D121" s="57"/>
      <c r="E121" s="57"/>
      <c r="F121" s="57"/>
      <c r="G121" s="58" t="e">
        <f t="shared" si="6"/>
        <v>#N/A</v>
      </c>
      <c r="H121" s="58" t="e">
        <f t="shared" si="7"/>
        <v>#N/A</v>
      </c>
      <c r="I121" s="58" t="e">
        <f t="shared" si="8"/>
        <v>#N/A</v>
      </c>
      <c r="J121" s="58" t="e">
        <f t="shared" si="9"/>
        <v>#N/A</v>
      </c>
      <c r="K121" s="58" t="e">
        <f t="shared" si="10"/>
        <v>#N/A</v>
      </c>
      <c r="L121" s="60" t="e">
        <f t="shared" si="11"/>
        <v>#N/A</v>
      </c>
    </row>
    <row r="122" spans="2:12">
      <c r="B122" s="55">
        <v>16.100000000000001</v>
      </c>
      <c r="C122" s="54"/>
      <c r="D122" s="54"/>
      <c r="E122" s="54"/>
      <c r="F122" s="54"/>
      <c r="G122" s="55" t="e">
        <f t="shared" si="6"/>
        <v>#N/A</v>
      </c>
      <c r="H122" s="55" t="e">
        <f t="shared" si="7"/>
        <v>#N/A</v>
      </c>
      <c r="I122" s="55" t="e">
        <f t="shared" si="8"/>
        <v>#N/A</v>
      </c>
      <c r="J122" s="55" t="e">
        <f t="shared" si="9"/>
        <v>#N/A</v>
      </c>
      <c r="K122" s="55" t="e">
        <f t="shared" si="10"/>
        <v>#N/A</v>
      </c>
      <c r="L122" s="59" t="e">
        <f t="shared" si="11"/>
        <v>#N/A</v>
      </c>
    </row>
    <row r="123" spans="2:12">
      <c r="B123" s="58">
        <v>16.2</v>
      </c>
      <c r="C123" s="57"/>
      <c r="D123" s="57"/>
      <c r="E123" s="57"/>
      <c r="F123" s="57"/>
      <c r="G123" s="58" t="e">
        <f t="shared" si="6"/>
        <v>#N/A</v>
      </c>
      <c r="H123" s="58" t="e">
        <f t="shared" si="7"/>
        <v>#N/A</v>
      </c>
      <c r="I123" s="58" t="e">
        <f t="shared" si="8"/>
        <v>#N/A</v>
      </c>
      <c r="J123" s="58" t="e">
        <f t="shared" si="9"/>
        <v>#N/A</v>
      </c>
      <c r="K123" s="58" t="e">
        <f t="shared" si="10"/>
        <v>#N/A</v>
      </c>
      <c r="L123" s="60" t="e">
        <f t="shared" si="11"/>
        <v>#N/A</v>
      </c>
    </row>
    <row r="124" spans="2:12">
      <c r="B124" s="55">
        <v>16.3</v>
      </c>
      <c r="C124" s="54"/>
      <c r="D124" s="54"/>
      <c r="E124" s="54"/>
      <c r="F124" s="54"/>
      <c r="G124" s="55" t="e">
        <f t="shared" si="6"/>
        <v>#N/A</v>
      </c>
      <c r="H124" s="55" t="e">
        <f t="shared" si="7"/>
        <v>#N/A</v>
      </c>
      <c r="I124" s="55" t="e">
        <f t="shared" si="8"/>
        <v>#N/A</v>
      </c>
      <c r="J124" s="55" t="e">
        <f t="shared" si="9"/>
        <v>#N/A</v>
      </c>
      <c r="K124" s="55" t="e">
        <f t="shared" si="10"/>
        <v>#N/A</v>
      </c>
      <c r="L124" s="59" t="e">
        <f t="shared" si="11"/>
        <v>#N/A</v>
      </c>
    </row>
    <row r="125" spans="2:12">
      <c r="B125" s="58">
        <v>16.399999999999999</v>
      </c>
      <c r="C125" s="57"/>
      <c r="D125" s="57"/>
      <c r="E125" s="57"/>
      <c r="F125" s="57"/>
      <c r="G125" s="58" t="e">
        <f t="shared" si="6"/>
        <v>#N/A</v>
      </c>
      <c r="H125" s="58" t="e">
        <f t="shared" si="7"/>
        <v>#N/A</v>
      </c>
      <c r="I125" s="58" t="e">
        <f t="shared" si="8"/>
        <v>#N/A</v>
      </c>
      <c r="J125" s="58" t="e">
        <f t="shared" si="9"/>
        <v>#N/A</v>
      </c>
      <c r="K125" s="58" t="e">
        <f t="shared" si="10"/>
        <v>#N/A</v>
      </c>
      <c r="L125" s="60" t="e">
        <f t="shared" si="11"/>
        <v>#N/A</v>
      </c>
    </row>
    <row r="126" spans="2:12">
      <c r="B126" s="55">
        <v>16.5</v>
      </c>
      <c r="C126" s="54"/>
      <c r="D126" s="54"/>
      <c r="E126" s="54"/>
      <c r="F126" s="54"/>
      <c r="G126" s="55" t="e">
        <f t="shared" si="6"/>
        <v>#N/A</v>
      </c>
      <c r="H126" s="55" t="e">
        <f t="shared" si="7"/>
        <v>#N/A</v>
      </c>
      <c r="I126" s="55" t="e">
        <f t="shared" si="8"/>
        <v>#N/A</v>
      </c>
      <c r="J126" s="55" t="e">
        <f t="shared" si="9"/>
        <v>#N/A</v>
      </c>
      <c r="K126" s="55" t="e">
        <f t="shared" si="10"/>
        <v>#N/A</v>
      </c>
      <c r="L126" s="59" t="e">
        <f t="shared" si="11"/>
        <v>#N/A</v>
      </c>
    </row>
    <row r="127" spans="2:12">
      <c r="B127" s="58">
        <v>16.600000000000001</v>
      </c>
      <c r="C127" s="57"/>
      <c r="D127" s="57"/>
      <c r="E127" s="57"/>
      <c r="F127" s="57"/>
      <c r="G127" s="58" t="e">
        <f t="shared" si="6"/>
        <v>#N/A</v>
      </c>
      <c r="H127" s="58" t="e">
        <f t="shared" si="7"/>
        <v>#N/A</v>
      </c>
      <c r="I127" s="58" t="e">
        <f t="shared" si="8"/>
        <v>#N/A</v>
      </c>
      <c r="J127" s="58" t="e">
        <f t="shared" si="9"/>
        <v>#N/A</v>
      </c>
      <c r="K127" s="58" t="e">
        <f t="shared" si="10"/>
        <v>#N/A</v>
      </c>
      <c r="L127" s="60" t="e">
        <f t="shared" si="11"/>
        <v>#N/A</v>
      </c>
    </row>
    <row r="128" spans="2:12">
      <c r="B128" s="55">
        <v>16.7</v>
      </c>
      <c r="C128" s="54"/>
      <c r="D128" s="54"/>
      <c r="E128" s="54"/>
      <c r="F128" s="54"/>
      <c r="G128" s="55" t="e">
        <f t="shared" si="6"/>
        <v>#N/A</v>
      </c>
      <c r="H128" s="55" t="e">
        <f t="shared" si="7"/>
        <v>#N/A</v>
      </c>
      <c r="I128" s="55" t="e">
        <f t="shared" si="8"/>
        <v>#N/A</v>
      </c>
      <c r="J128" s="55" t="e">
        <f t="shared" si="9"/>
        <v>#N/A</v>
      </c>
      <c r="K128" s="55" t="e">
        <f t="shared" si="10"/>
        <v>#N/A</v>
      </c>
      <c r="L128" s="59" t="e">
        <f t="shared" si="11"/>
        <v>#N/A</v>
      </c>
    </row>
    <row r="129" spans="2:12">
      <c r="B129" s="58">
        <v>16.8</v>
      </c>
      <c r="C129" s="57"/>
      <c r="D129" s="57"/>
      <c r="E129" s="57"/>
      <c r="F129" s="57"/>
      <c r="G129" s="58" t="e">
        <f t="shared" si="6"/>
        <v>#N/A</v>
      </c>
      <c r="H129" s="58" t="e">
        <f t="shared" si="7"/>
        <v>#N/A</v>
      </c>
      <c r="I129" s="58" t="e">
        <f t="shared" si="8"/>
        <v>#N/A</v>
      </c>
      <c r="J129" s="58" t="e">
        <f t="shared" si="9"/>
        <v>#N/A</v>
      </c>
      <c r="K129" s="58" t="e">
        <f t="shared" si="10"/>
        <v>#N/A</v>
      </c>
      <c r="L129" s="60" t="e">
        <f t="shared" si="11"/>
        <v>#N/A</v>
      </c>
    </row>
    <row r="130" spans="2:12">
      <c r="B130" s="55">
        <v>16.899999999999999</v>
      </c>
      <c r="C130" s="54"/>
      <c r="D130" s="54"/>
      <c r="E130" s="54"/>
      <c r="F130" s="54"/>
      <c r="G130" s="55" t="e">
        <f t="shared" si="6"/>
        <v>#N/A</v>
      </c>
      <c r="H130" s="55" t="e">
        <f t="shared" si="7"/>
        <v>#N/A</v>
      </c>
      <c r="I130" s="55" t="e">
        <f t="shared" si="8"/>
        <v>#N/A</v>
      </c>
      <c r="J130" s="55" t="e">
        <f t="shared" si="9"/>
        <v>#N/A</v>
      </c>
      <c r="K130" s="55" t="e">
        <f t="shared" si="10"/>
        <v>#N/A</v>
      </c>
      <c r="L130" s="59" t="e">
        <f t="shared" si="11"/>
        <v>#N/A</v>
      </c>
    </row>
    <row r="131" spans="2:12">
      <c r="B131" s="90">
        <v>16.100000000000001</v>
      </c>
      <c r="C131" s="57"/>
      <c r="D131" s="57"/>
      <c r="E131" s="57"/>
      <c r="F131" s="57"/>
      <c r="G131" s="58" t="e">
        <f t="shared" si="6"/>
        <v>#N/A</v>
      </c>
      <c r="H131" s="58" t="e">
        <f t="shared" si="7"/>
        <v>#N/A</v>
      </c>
      <c r="I131" s="58" t="e">
        <f t="shared" si="8"/>
        <v>#N/A</v>
      </c>
      <c r="J131" s="58" t="e">
        <f t="shared" si="9"/>
        <v>#N/A</v>
      </c>
      <c r="K131" s="58" t="e">
        <f t="shared" si="10"/>
        <v>#N/A</v>
      </c>
      <c r="L131" s="60" t="e">
        <f t="shared" si="11"/>
        <v>#N/A</v>
      </c>
    </row>
    <row r="132" spans="2:12">
      <c r="B132" s="55">
        <v>16.11</v>
      </c>
      <c r="C132" s="54"/>
      <c r="D132" s="54"/>
      <c r="E132" s="54"/>
      <c r="F132" s="54"/>
      <c r="G132" s="55" t="e">
        <f t="shared" si="6"/>
        <v>#N/A</v>
      </c>
      <c r="H132" s="55" t="e">
        <f t="shared" si="7"/>
        <v>#N/A</v>
      </c>
      <c r="I132" s="55" t="e">
        <f t="shared" si="8"/>
        <v>#N/A</v>
      </c>
      <c r="J132" s="55" t="e">
        <f t="shared" si="9"/>
        <v>#N/A</v>
      </c>
      <c r="K132" s="55" t="e">
        <f t="shared" si="10"/>
        <v>#N/A</v>
      </c>
      <c r="L132" s="59" t="e">
        <f t="shared" si="11"/>
        <v>#N/A</v>
      </c>
    </row>
    <row r="133" spans="2:12">
      <c r="B133" s="58">
        <v>17.100000000000001</v>
      </c>
      <c r="C133" s="57"/>
      <c r="D133" s="57"/>
      <c r="E133" s="57"/>
      <c r="F133" s="57"/>
      <c r="G133" s="58" t="e">
        <f t="shared" si="6"/>
        <v>#N/A</v>
      </c>
      <c r="H133" s="58" t="e">
        <f t="shared" si="7"/>
        <v>#N/A</v>
      </c>
      <c r="I133" s="58" t="e">
        <f t="shared" si="8"/>
        <v>#N/A</v>
      </c>
      <c r="J133" s="58" t="e">
        <f t="shared" si="9"/>
        <v>#N/A</v>
      </c>
      <c r="K133" s="58" t="e">
        <f t="shared" si="10"/>
        <v>#N/A</v>
      </c>
      <c r="L133" s="60" t="e">
        <f t="shared" si="11"/>
        <v>#N/A</v>
      </c>
    </row>
    <row r="134" spans="2:12">
      <c r="B134" s="55">
        <v>17.2</v>
      </c>
      <c r="C134" s="54"/>
      <c r="D134" s="54"/>
      <c r="E134" s="54"/>
      <c r="F134" s="54"/>
      <c r="G134" s="55" t="e">
        <f t="shared" si="6"/>
        <v>#N/A</v>
      </c>
      <c r="H134" s="55" t="e">
        <f t="shared" si="7"/>
        <v>#N/A</v>
      </c>
      <c r="I134" s="55" t="e">
        <f t="shared" si="8"/>
        <v>#N/A</v>
      </c>
      <c r="J134" s="55" t="e">
        <f t="shared" si="9"/>
        <v>#N/A</v>
      </c>
      <c r="K134" s="55" t="e">
        <f t="shared" si="10"/>
        <v>#N/A</v>
      </c>
      <c r="L134" s="59" t="e">
        <f t="shared" si="11"/>
        <v>#N/A</v>
      </c>
    </row>
    <row r="135" spans="2:12">
      <c r="B135" s="58">
        <v>17.3</v>
      </c>
      <c r="C135" s="57"/>
      <c r="D135" s="57"/>
      <c r="E135" s="57"/>
      <c r="F135" s="57"/>
      <c r="G135" s="58" t="e">
        <f t="shared" si="6"/>
        <v>#N/A</v>
      </c>
      <c r="H135" s="58" t="e">
        <f t="shared" si="7"/>
        <v>#N/A</v>
      </c>
      <c r="I135" s="58" t="e">
        <f t="shared" si="8"/>
        <v>#N/A</v>
      </c>
      <c r="J135" s="58" t="e">
        <f t="shared" si="9"/>
        <v>#N/A</v>
      </c>
      <c r="K135" s="58" t="e">
        <f t="shared" si="10"/>
        <v>#N/A</v>
      </c>
      <c r="L135" s="60" t="e">
        <f t="shared" si="11"/>
        <v>#N/A</v>
      </c>
    </row>
    <row r="136" spans="2:12">
      <c r="B136" s="55">
        <v>17.399999999999999</v>
      </c>
      <c r="C136" s="54"/>
      <c r="D136" s="54"/>
      <c r="E136" s="54"/>
      <c r="F136" s="54"/>
      <c r="G136" s="55" t="e">
        <f t="shared" si="6"/>
        <v>#N/A</v>
      </c>
      <c r="H136" s="55" t="e">
        <f t="shared" si="7"/>
        <v>#N/A</v>
      </c>
      <c r="I136" s="55" t="e">
        <f t="shared" si="8"/>
        <v>#N/A</v>
      </c>
      <c r="J136" s="55" t="e">
        <f t="shared" si="9"/>
        <v>#N/A</v>
      </c>
      <c r="K136" s="55" t="e">
        <f t="shared" si="10"/>
        <v>#N/A</v>
      </c>
      <c r="L136" s="59" t="e">
        <f t="shared" si="11"/>
        <v>#N/A</v>
      </c>
    </row>
    <row r="137" spans="2:12">
      <c r="B137" s="58">
        <v>17.5</v>
      </c>
      <c r="C137" s="57"/>
      <c r="D137" s="57"/>
      <c r="E137" s="57"/>
      <c r="F137" s="57"/>
      <c r="G137" s="58" t="e">
        <f t="shared" si="6"/>
        <v>#N/A</v>
      </c>
      <c r="H137" s="58" t="e">
        <f t="shared" si="7"/>
        <v>#N/A</v>
      </c>
      <c r="I137" s="58" t="e">
        <f t="shared" si="8"/>
        <v>#N/A</v>
      </c>
      <c r="J137" s="58" t="e">
        <f t="shared" si="9"/>
        <v>#N/A</v>
      </c>
      <c r="K137" s="58" t="e">
        <f t="shared" si="10"/>
        <v>#N/A</v>
      </c>
      <c r="L137" s="60" t="e">
        <f t="shared" si="11"/>
        <v>#N/A</v>
      </c>
    </row>
    <row r="138" spans="2:12">
      <c r="B138" s="55">
        <v>17.600000000000001</v>
      </c>
      <c r="C138" s="54"/>
      <c r="D138" s="54"/>
      <c r="E138" s="54"/>
      <c r="F138" s="54"/>
      <c r="G138" s="55" t="e">
        <f t="shared" si="6"/>
        <v>#N/A</v>
      </c>
      <c r="H138" s="55" t="e">
        <f t="shared" si="7"/>
        <v>#N/A</v>
      </c>
      <c r="I138" s="55" t="e">
        <f t="shared" si="8"/>
        <v>#N/A</v>
      </c>
      <c r="J138" s="55" t="e">
        <f t="shared" si="9"/>
        <v>#N/A</v>
      </c>
      <c r="K138" s="55" t="e">
        <f t="shared" si="10"/>
        <v>#N/A</v>
      </c>
      <c r="L138" s="59" t="e">
        <f t="shared" si="11"/>
        <v>#N/A</v>
      </c>
    </row>
    <row r="139" spans="2:12">
      <c r="B139" s="58">
        <v>17.7</v>
      </c>
      <c r="C139" s="57"/>
      <c r="D139" s="57"/>
      <c r="E139" s="57"/>
      <c r="F139" s="57"/>
      <c r="G139" s="58" t="e">
        <f t="shared" si="6"/>
        <v>#N/A</v>
      </c>
      <c r="H139" s="58" t="e">
        <f t="shared" si="7"/>
        <v>#N/A</v>
      </c>
      <c r="I139" s="58" t="e">
        <f t="shared" si="8"/>
        <v>#N/A</v>
      </c>
      <c r="J139" s="58" t="e">
        <f t="shared" si="9"/>
        <v>#N/A</v>
      </c>
      <c r="K139" s="58" t="e">
        <f t="shared" si="10"/>
        <v>#N/A</v>
      </c>
      <c r="L139" s="60" t="e">
        <f t="shared" si="11"/>
        <v>#N/A</v>
      </c>
    </row>
    <row r="140" spans="2:12">
      <c r="B140" s="55">
        <v>17.8</v>
      </c>
      <c r="C140" s="54"/>
      <c r="D140" s="54"/>
      <c r="E140" s="54"/>
      <c r="F140" s="54"/>
      <c r="G140" s="55" t="e">
        <f t="shared" si="6"/>
        <v>#N/A</v>
      </c>
      <c r="H140" s="55" t="e">
        <f t="shared" si="7"/>
        <v>#N/A</v>
      </c>
      <c r="I140" s="55" t="e">
        <f t="shared" si="8"/>
        <v>#N/A</v>
      </c>
      <c r="J140" s="55" t="e">
        <f t="shared" si="9"/>
        <v>#N/A</v>
      </c>
      <c r="K140" s="55" t="e">
        <f t="shared" si="10"/>
        <v>#N/A</v>
      </c>
      <c r="L140" s="59" t="e">
        <f t="shared" si="11"/>
        <v>#N/A</v>
      </c>
    </row>
    <row r="141" spans="2:12">
      <c r="B141" s="58">
        <v>18.100000000000001</v>
      </c>
      <c r="C141" s="57"/>
      <c r="D141" s="57"/>
      <c r="E141" s="57"/>
      <c r="F141" s="57"/>
      <c r="G141" s="58" t="e">
        <f t="shared" si="6"/>
        <v>#N/A</v>
      </c>
      <c r="H141" s="58" t="e">
        <f t="shared" si="7"/>
        <v>#N/A</v>
      </c>
      <c r="I141" s="58" t="e">
        <f t="shared" si="8"/>
        <v>#N/A</v>
      </c>
      <c r="J141" s="58" t="e">
        <f t="shared" si="9"/>
        <v>#N/A</v>
      </c>
      <c r="K141" s="58" t="e">
        <f t="shared" si="10"/>
        <v>#N/A</v>
      </c>
      <c r="L141" s="60" t="e">
        <f t="shared" si="11"/>
        <v>#N/A</v>
      </c>
    </row>
    <row r="142" spans="2:12">
      <c r="B142" s="55">
        <v>18.2</v>
      </c>
      <c r="C142" s="54"/>
      <c r="D142" s="54"/>
      <c r="E142" s="54"/>
      <c r="F142" s="54"/>
      <c r="G142" s="55" t="e">
        <f t="shared" si="6"/>
        <v>#N/A</v>
      </c>
      <c r="H142" s="55" t="e">
        <f t="shared" si="7"/>
        <v>#N/A</v>
      </c>
      <c r="I142" s="55" t="e">
        <f t="shared" si="8"/>
        <v>#N/A</v>
      </c>
      <c r="J142" s="55" t="e">
        <f t="shared" si="9"/>
        <v>#N/A</v>
      </c>
      <c r="K142" s="55" t="e">
        <f t="shared" si="10"/>
        <v>#N/A</v>
      </c>
      <c r="L142" s="59" t="e">
        <f t="shared" si="11"/>
        <v>#N/A</v>
      </c>
    </row>
    <row r="143" spans="2:12" ht="14" thickBot="1">
      <c r="B143" s="63">
        <v>18.3</v>
      </c>
      <c r="C143" s="62"/>
      <c r="D143" s="62"/>
      <c r="E143" s="62"/>
      <c r="F143" s="62"/>
      <c r="G143" s="63" t="e">
        <f t="shared" ref="G143" si="12">VLOOKUP(C143,$C$4:$G$10,5,FALSE)</f>
        <v>#N/A</v>
      </c>
      <c r="H143" s="63" t="e">
        <f t="shared" ref="H143" si="13">VLOOKUP(D143,$D$4:$G$10,4,FALSE)</f>
        <v>#N/A</v>
      </c>
      <c r="I143" s="63" t="e">
        <f t="shared" ref="I143" si="14">VLOOKUP(E143,$E$4:$G$10,3,FALSE)</f>
        <v>#N/A</v>
      </c>
      <c r="J143" s="63" t="e">
        <f t="shared" ref="J143" si="15">VLOOKUP(F143,$F$4:$G$10,2,FALSE)</f>
        <v>#N/A</v>
      </c>
      <c r="K143" s="63" t="e">
        <f t="shared" ref="K143" si="16">ROUND(AVERAGE(G143:J143),0)</f>
        <v>#N/A</v>
      </c>
      <c r="L143" s="61" t="e">
        <f t="shared" ref="L143" si="17">K143</f>
        <v>#N/A</v>
      </c>
    </row>
  </sheetData>
  <sheetProtection sheet="1" objects="1" scenarios="1"/>
  <mergeCells count="8">
    <mergeCell ref="N19:N21"/>
    <mergeCell ref="P1:Q1"/>
    <mergeCell ref="C12:F12"/>
    <mergeCell ref="G12:J12"/>
    <mergeCell ref="K12:K13"/>
    <mergeCell ref="L12:L13"/>
    <mergeCell ref="B1:L1"/>
    <mergeCell ref="H4:L6"/>
  </mergeCell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E8A94-4ACC-47B0-8528-297945FD8928}">
  <sheetPr codeName="Sheet2">
    <tabColor rgb="FFFF0000"/>
  </sheetPr>
  <dimension ref="B1:O50"/>
  <sheetViews>
    <sheetView showGridLines="0" zoomScaleNormal="100" workbookViewId="0">
      <selection activeCell="B2" sqref="B2"/>
    </sheetView>
  </sheetViews>
  <sheetFormatPr baseColWidth="10" defaultColWidth="9.1640625" defaultRowHeight="14"/>
  <cols>
    <col min="1" max="1" width="9.1640625" style="28"/>
    <col min="2" max="2" width="9.1640625" style="163"/>
    <col min="3" max="3" width="22.6640625" style="7" customWidth="1"/>
    <col min="4" max="4" width="58" style="7" customWidth="1"/>
    <col min="5" max="5" width="47" style="7" customWidth="1"/>
    <col min="6" max="15" width="9.1640625" style="2"/>
    <col min="16" max="16384" width="9.1640625" style="28"/>
  </cols>
  <sheetData>
    <row r="1" spans="2:15" ht="15">
      <c r="D1" s="121" t="s">
        <v>154</v>
      </c>
      <c r="E1" s="131" t="s">
        <v>465</v>
      </c>
    </row>
    <row r="2" spans="2:15" ht="43" thickBot="1">
      <c r="B2" s="123">
        <v>1</v>
      </c>
      <c r="C2" s="123" t="s">
        <v>6</v>
      </c>
      <c r="D2" s="104" t="s">
        <v>464</v>
      </c>
      <c r="E2" s="34" t="s">
        <v>478</v>
      </c>
    </row>
    <row r="3" spans="2:15" ht="15" thickTop="1"/>
    <row r="4" spans="2:15" ht="32.25" customHeight="1">
      <c r="C4" s="253" t="s">
        <v>329</v>
      </c>
      <c r="D4" s="254"/>
      <c r="E4" s="255"/>
      <c r="H4" s="314" t="s">
        <v>479</v>
      </c>
      <c r="I4" s="314"/>
      <c r="J4" s="314"/>
      <c r="K4" s="314"/>
      <c r="L4" s="314"/>
      <c r="M4" s="314"/>
      <c r="N4" s="314"/>
      <c r="O4" s="314"/>
    </row>
    <row r="5" spans="2:15">
      <c r="H5" s="314"/>
      <c r="I5" s="314"/>
      <c r="J5" s="314"/>
      <c r="K5" s="314"/>
      <c r="L5" s="314"/>
      <c r="M5" s="314"/>
      <c r="N5" s="314"/>
      <c r="O5" s="314"/>
    </row>
    <row r="6" spans="2:15" ht="14.25" customHeight="1">
      <c r="C6" s="126" t="s">
        <v>241</v>
      </c>
      <c r="D6" s="126" t="s">
        <v>154</v>
      </c>
      <c r="E6" s="126" t="s">
        <v>465</v>
      </c>
      <c r="H6" s="314"/>
      <c r="I6" s="314"/>
      <c r="J6" s="314"/>
      <c r="K6" s="314"/>
      <c r="L6" s="314"/>
      <c r="M6" s="314"/>
      <c r="N6" s="314"/>
      <c r="O6" s="314"/>
    </row>
    <row r="7" spans="2:15" ht="28">
      <c r="C7" s="164" t="s">
        <v>155</v>
      </c>
      <c r="D7" s="104" t="s">
        <v>139</v>
      </c>
      <c r="E7" s="117" t="s">
        <v>242</v>
      </c>
    </row>
    <row r="8" spans="2:15" ht="42">
      <c r="C8" s="164" t="s">
        <v>136</v>
      </c>
      <c r="D8" s="104" t="s">
        <v>140</v>
      </c>
      <c r="E8" s="117" t="s">
        <v>244</v>
      </c>
    </row>
    <row r="9" spans="2:15" ht="42">
      <c r="C9" s="164" t="s">
        <v>137</v>
      </c>
      <c r="D9" s="104" t="s">
        <v>142</v>
      </c>
      <c r="E9" s="117" t="s">
        <v>245</v>
      </c>
    </row>
    <row r="10" spans="2:15" ht="56">
      <c r="C10" s="164" t="s">
        <v>138</v>
      </c>
      <c r="D10" s="104" t="s">
        <v>141</v>
      </c>
      <c r="E10" s="117" t="s">
        <v>246</v>
      </c>
    </row>
    <row r="11" spans="2:15" ht="28">
      <c r="C11" s="164" t="s">
        <v>143</v>
      </c>
      <c r="D11" s="104" t="s">
        <v>466</v>
      </c>
      <c r="E11" s="117" t="s">
        <v>243</v>
      </c>
    </row>
    <row r="12" spans="2:15">
      <c r="C12" s="165"/>
      <c r="D12" s="166"/>
    </row>
    <row r="13" spans="2:15" s="93" customFormat="1" ht="13">
      <c r="B13" s="163"/>
      <c r="C13" s="102"/>
      <c r="D13" s="102"/>
      <c r="E13" s="101"/>
      <c r="F13" s="2"/>
      <c r="G13" s="2"/>
      <c r="H13" s="2"/>
      <c r="I13" s="2"/>
      <c r="J13" s="2"/>
      <c r="K13" s="2"/>
      <c r="L13" s="2"/>
      <c r="M13" s="2"/>
      <c r="N13" s="2"/>
      <c r="O13" s="2"/>
    </row>
    <row r="14" spans="2:15" ht="15">
      <c r="D14" s="121" t="s">
        <v>154</v>
      </c>
      <c r="E14" s="131" t="s">
        <v>465</v>
      </c>
    </row>
    <row r="15" spans="2:15" ht="45" customHeight="1" thickBot="1">
      <c r="B15" s="123">
        <v>2</v>
      </c>
      <c r="C15" s="123" t="s">
        <v>96</v>
      </c>
      <c r="D15" s="104" t="s">
        <v>144</v>
      </c>
      <c r="E15" s="34" t="s">
        <v>240</v>
      </c>
    </row>
    <row r="16" spans="2:15" ht="15" thickTop="1"/>
    <row r="17" spans="2:15" ht="32.25" customHeight="1">
      <c r="C17" s="253" t="s">
        <v>330</v>
      </c>
      <c r="D17" s="254"/>
      <c r="E17" s="255"/>
    </row>
    <row r="19" spans="2:15" ht="15">
      <c r="C19" s="126" t="s">
        <v>241</v>
      </c>
      <c r="D19" s="126" t="s">
        <v>154</v>
      </c>
      <c r="E19" s="126" t="s">
        <v>465</v>
      </c>
    </row>
    <row r="20" spans="2:15" ht="28">
      <c r="C20" s="164" t="s">
        <v>155</v>
      </c>
      <c r="D20" s="104" t="s">
        <v>146</v>
      </c>
      <c r="E20" s="117" t="s">
        <v>249</v>
      </c>
    </row>
    <row r="21" spans="2:15" ht="28">
      <c r="C21" s="164" t="s">
        <v>136</v>
      </c>
      <c r="D21" s="104" t="s">
        <v>147</v>
      </c>
      <c r="E21" s="117" t="s">
        <v>250</v>
      </c>
    </row>
    <row r="22" spans="2:15" ht="56">
      <c r="C22" s="164" t="s">
        <v>137</v>
      </c>
      <c r="D22" s="104" t="s">
        <v>148</v>
      </c>
      <c r="E22" s="117" t="s">
        <v>251</v>
      </c>
    </row>
    <row r="23" spans="2:15" ht="42">
      <c r="C23" s="164" t="s">
        <v>138</v>
      </c>
      <c r="D23" s="104" t="s">
        <v>149</v>
      </c>
      <c r="E23" s="117" t="s">
        <v>252</v>
      </c>
    </row>
    <row r="24" spans="2:15" ht="42">
      <c r="C24" s="164" t="s">
        <v>143</v>
      </c>
      <c r="D24" s="104" t="s">
        <v>467</v>
      </c>
      <c r="E24" s="117" t="s">
        <v>253</v>
      </c>
    </row>
    <row r="26" spans="2:15" s="93" customFormat="1" ht="13">
      <c r="B26" s="163"/>
      <c r="C26" s="102"/>
      <c r="D26" s="102"/>
      <c r="E26" s="102"/>
      <c r="F26" s="2"/>
      <c r="G26" s="2"/>
      <c r="H26" s="2"/>
      <c r="I26" s="2"/>
      <c r="J26" s="2"/>
      <c r="K26" s="2"/>
      <c r="L26" s="2"/>
      <c r="M26" s="2"/>
      <c r="N26" s="2"/>
      <c r="O26" s="2"/>
    </row>
    <row r="27" spans="2:15" ht="15">
      <c r="D27" s="121" t="s">
        <v>154</v>
      </c>
      <c r="E27" s="131" t="s">
        <v>465</v>
      </c>
    </row>
    <row r="28" spans="2:15" ht="45" customHeight="1">
      <c r="B28" s="129">
        <v>3</v>
      </c>
      <c r="C28" s="129" t="s">
        <v>97</v>
      </c>
      <c r="D28" s="104" t="s">
        <v>145</v>
      </c>
      <c r="E28" s="34" t="s">
        <v>247</v>
      </c>
    </row>
    <row r="30" spans="2:15" ht="32.25" customHeight="1">
      <c r="C30" s="253" t="s">
        <v>331</v>
      </c>
      <c r="D30" s="254"/>
      <c r="E30" s="255"/>
    </row>
    <row r="32" spans="2:15" ht="15">
      <c r="C32" s="126" t="s">
        <v>241</v>
      </c>
      <c r="D32" s="126" t="s">
        <v>154</v>
      </c>
      <c r="E32" s="126" t="s">
        <v>465</v>
      </c>
    </row>
    <row r="33" spans="2:15" ht="28">
      <c r="C33" s="164" t="s">
        <v>155</v>
      </c>
      <c r="D33" s="127" t="s">
        <v>150</v>
      </c>
      <c r="E33" s="167">
        <v>1000</v>
      </c>
    </row>
    <row r="34" spans="2:15" ht="28">
      <c r="C34" s="164" t="s">
        <v>136</v>
      </c>
      <c r="D34" s="127" t="s">
        <v>151</v>
      </c>
      <c r="E34" s="167">
        <v>10000</v>
      </c>
    </row>
    <row r="35" spans="2:15" ht="56">
      <c r="C35" s="164" t="s">
        <v>137</v>
      </c>
      <c r="D35" s="127" t="s">
        <v>152</v>
      </c>
      <c r="E35" s="167">
        <v>500000</v>
      </c>
    </row>
    <row r="36" spans="2:15" ht="42">
      <c r="C36" s="164" t="s">
        <v>138</v>
      </c>
      <c r="D36" s="127" t="s">
        <v>153</v>
      </c>
      <c r="E36" s="167">
        <v>5000000</v>
      </c>
    </row>
    <row r="37" spans="2:15">
      <c r="C37" s="164" t="s">
        <v>143</v>
      </c>
      <c r="D37" s="127" t="s">
        <v>248</v>
      </c>
      <c r="E37" s="130"/>
    </row>
    <row r="39" spans="2:15" s="93" customFormat="1" ht="13">
      <c r="B39" s="163"/>
      <c r="C39" s="102"/>
      <c r="D39" s="102"/>
      <c r="E39" s="102"/>
      <c r="F39" s="2"/>
      <c r="G39" s="2"/>
      <c r="H39" s="2"/>
      <c r="I39" s="2"/>
      <c r="J39" s="2"/>
      <c r="K39" s="2"/>
      <c r="L39" s="2"/>
      <c r="M39" s="2"/>
      <c r="N39" s="2"/>
      <c r="O39" s="2"/>
    </row>
    <row r="40" spans="2:15" ht="15">
      <c r="D40" s="121" t="s">
        <v>154</v>
      </c>
      <c r="E40" s="131" t="s">
        <v>465</v>
      </c>
    </row>
    <row r="41" spans="2:15" ht="45" customHeight="1" thickBot="1">
      <c r="B41" s="123">
        <v>4</v>
      </c>
      <c r="C41" s="123" t="s">
        <v>23</v>
      </c>
      <c r="D41" s="104" t="s">
        <v>468</v>
      </c>
      <c r="E41" s="34" t="s">
        <v>255</v>
      </c>
    </row>
    <row r="42" spans="2:15" ht="15" thickTop="1"/>
    <row r="43" spans="2:15" ht="32.25" customHeight="1">
      <c r="C43" s="253" t="s">
        <v>332</v>
      </c>
      <c r="D43" s="254"/>
      <c r="E43" s="255"/>
    </row>
    <row r="45" spans="2:15" ht="15">
      <c r="C45" s="126" t="s">
        <v>241</v>
      </c>
      <c r="D45" s="126" t="s">
        <v>154</v>
      </c>
      <c r="E45" s="126" t="s">
        <v>465</v>
      </c>
    </row>
    <row r="46" spans="2:15" ht="28">
      <c r="C46" s="164" t="s">
        <v>155</v>
      </c>
      <c r="D46" s="104" t="s">
        <v>256</v>
      </c>
      <c r="E46" s="117" t="s">
        <v>480</v>
      </c>
    </row>
    <row r="47" spans="2:15" ht="28">
      <c r="C47" s="164" t="s">
        <v>136</v>
      </c>
      <c r="D47" s="104" t="s">
        <v>469</v>
      </c>
      <c r="E47" s="117" t="s">
        <v>481</v>
      </c>
    </row>
    <row r="48" spans="2:15" ht="44.75" customHeight="1">
      <c r="C48" s="164" t="s">
        <v>137</v>
      </c>
      <c r="D48" s="104" t="s">
        <v>254</v>
      </c>
      <c r="E48" s="117" t="s">
        <v>482</v>
      </c>
    </row>
    <row r="49" spans="3:5" ht="56">
      <c r="C49" s="164" t="s">
        <v>138</v>
      </c>
      <c r="D49" s="104" t="s">
        <v>470</v>
      </c>
      <c r="E49" s="117" t="s">
        <v>483</v>
      </c>
    </row>
    <row r="50" spans="3:5" ht="28">
      <c r="C50" s="164" t="s">
        <v>143</v>
      </c>
      <c r="D50" s="104" t="s">
        <v>471</v>
      </c>
      <c r="E50" s="117" t="s">
        <v>484</v>
      </c>
    </row>
  </sheetData>
  <sheetProtection sheet="1" objects="1" scenarios="1"/>
  <mergeCells count="5">
    <mergeCell ref="C4:E4"/>
    <mergeCell ref="C17:E17"/>
    <mergeCell ref="C30:E30"/>
    <mergeCell ref="C43:E43"/>
    <mergeCell ref="H4:O6"/>
  </mergeCells>
  <pageMargins left="0.7" right="0.7" top="0.75" bottom="0.75" header="0.3" footer="0.3"/>
  <pageSetup orientation="portrait" r:id="rId1"/>
  <legacyDrawing r:id="rId2"/>
  <tableParts count="4">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B8DA8-23C4-4DF3-BE2D-A7ABDCB0601D}">
  <sheetPr codeName="Sheet5">
    <tabColor rgb="FFFF0000"/>
  </sheetPr>
  <dimension ref="B1:G48"/>
  <sheetViews>
    <sheetView showGridLines="0" zoomScaleNormal="100" workbookViewId="0">
      <selection activeCell="B2" sqref="B2:B4"/>
    </sheetView>
  </sheetViews>
  <sheetFormatPr baseColWidth="10" defaultColWidth="8.83203125" defaultRowHeight="15"/>
  <cols>
    <col min="1" max="1" width="4.1640625" customWidth="1"/>
    <col min="2" max="2" width="8.6640625" style="137" customWidth="1"/>
    <col min="3" max="3" width="41.1640625" customWidth="1"/>
    <col min="4" max="7" width="41" style="85" customWidth="1"/>
  </cols>
  <sheetData>
    <row r="1" spans="2:7" s="2" customFormat="1" ht="13">
      <c r="B1" s="94"/>
      <c r="D1" s="7"/>
      <c r="E1" s="11"/>
      <c r="F1" s="11"/>
    </row>
    <row r="2" spans="2:7" s="2" customFormat="1" ht="12.75" customHeight="1">
      <c r="B2" s="256">
        <v>1</v>
      </c>
      <c r="C2" s="256" t="s">
        <v>157</v>
      </c>
      <c r="D2" s="175" t="s">
        <v>95</v>
      </c>
      <c r="E2" s="115" t="s">
        <v>462</v>
      </c>
      <c r="F2" s="11"/>
    </row>
    <row r="3" spans="2:7" s="2" customFormat="1" ht="12.75" customHeight="1">
      <c r="B3" s="257"/>
      <c r="C3" s="257"/>
      <c r="D3" s="175" t="s">
        <v>24</v>
      </c>
      <c r="E3" s="115" t="s">
        <v>94</v>
      </c>
      <c r="F3" s="11"/>
    </row>
    <row r="4" spans="2:7" s="2" customFormat="1" ht="12.75" customHeight="1">
      <c r="B4" s="258"/>
      <c r="C4" s="258"/>
      <c r="D4" s="175" t="s">
        <v>25</v>
      </c>
      <c r="E4" s="116">
        <v>45870</v>
      </c>
      <c r="F4" s="11"/>
    </row>
    <row r="5" spans="2:7" s="2" customFormat="1" ht="13">
      <c r="B5" s="94"/>
      <c r="D5" s="7"/>
      <c r="E5" s="11"/>
      <c r="F5" s="11"/>
      <c r="G5" s="11"/>
    </row>
    <row r="6" spans="2:7" s="2" customFormat="1" ht="13">
      <c r="B6" s="3"/>
      <c r="C6" s="3"/>
      <c r="D6" s="4"/>
      <c r="E6" s="4"/>
      <c r="F6" s="4"/>
      <c r="G6" s="4"/>
    </row>
    <row r="7" spans="2:7" s="2" customFormat="1" ht="13">
      <c r="B7" s="94"/>
      <c r="D7" s="7"/>
      <c r="E7" s="11"/>
      <c r="F7" s="11"/>
      <c r="G7" s="11"/>
    </row>
    <row r="8" spans="2:7" s="2" customFormat="1" ht="16">
      <c r="B8" s="136">
        <v>2</v>
      </c>
      <c r="C8" s="39" t="s">
        <v>19</v>
      </c>
      <c r="D8" s="262"/>
      <c r="E8" s="262"/>
      <c r="F8" s="262"/>
      <c r="G8" s="262"/>
    </row>
    <row r="9" spans="2:7" s="2" customFormat="1" ht="13">
      <c r="B9" s="94"/>
      <c r="D9" s="11"/>
      <c r="E9" s="11"/>
      <c r="F9" s="11"/>
      <c r="G9" s="11"/>
    </row>
    <row r="10" spans="2:7" s="2" customFormat="1" ht="26.25" customHeight="1">
      <c r="B10" s="94"/>
      <c r="C10" s="138" t="s">
        <v>5</v>
      </c>
      <c r="D10" s="139" t="s">
        <v>6</v>
      </c>
      <c r="E10" s="139" t="s">
        <v>96</v>
      </c>
      <c r="F10" s="140" t="s">
        <v>97</v>
      </c>
      <c r="G10" s="141" t="s">
        <v>23</v>
      </c>
    </row>
    <row r="11" spans="2:7" s="2" customFormat="1" ht="56">
      <c r="B11" s="94"/>
      <c r="C11" s="142" t="s">
        <v>4</v>
      </c>
      <c r="D11" s="117" t="str">
        <f>IF(ISBLANK('Impact Criteria Survey-EXAMPLE'!E2),"",'Impact Criteria Survey-EXAMPLE'!E2)</f>
        <v>Reliably produce just-in-time, custom widgets that meet demanding resiliency and design specifications, and within market-leading turnaround times.</v>
      </c>
      <c r="E11" s="117" t="str">
        <f>IF(ISBLANK('Impact Criteria Survey-EXAMPLE'!E15),"",'Impact Criteria Survey-EXAMPLE'!E15)</f>
        <v>To maintain our market position as the best custom widgets manufacturer.</v>
      </c>
      <c r="F11" s="117" t="str">
        <f>IF(ISBLANK('Impact Criteria Survey-EXAMPLE'!E28),"",'Impact Criteria Survey-EXAMPLE'!E28)</f>
        <v>To achieve our profit goals each year.</v>
      </c>
      <c r="G11" s="118" t="str">
        <f>IF(ISBLANK('Impact Criteria Survey-EXAMPLE'!E41),"",'Impact Criteria Survey-EXAMPLE'!E41)</f>
        <v>To protect our customers from harm due to loss of their intellectual property.</v>
      </c>
    </row>
    <row r="12" spans="2:7" s="2" customFormat="1" ht="28">
      <c r="B12" s="94"/>
      <c r="C12" s="145" t="s">
        <v>131</v>
      </c>
      <c r="D12" s="117" t="str">
        <f>IF(ISBLANK('Impact Criteria Survey-EXAMPLE'!E7),"",'Impact Criteria Survey-EXAMPLE'!E7)</f>
        <v>All orders would be produced within specifications and on time and without unplanned effort.</v>
      </c>
      <c r="E12" s="117" t="str">
        <f>IF(ISBLANK('Impact Criteria Survey-EXAMPLE'!E20),"",'Impact Criteria Survey-EXAMPLE'!E20)</f>
        <v>Ranked as #1 in all categories in annual "Custom Widget World" Magazine poll.</v>
      </c>
      <c r="F12" s="189">
        <f>IF(ISBLANK('Impact Criteria Survey-EXAMPLE'!E33),"",'Impact Criteria Survey-EXAMPLE'!E33)</f>
        <v>1000</v>
      </c>
      <c r="G12" s="118" t="str">
        <f>IF(ISBLANK('Impact Criteria Survey-EXAMPLE'!E46),"",'Impact Criteria Survey-EXAMPLE'!E46)</f>
        <v>No customer would suffer a loss of competitive advantage.</v>
      </c>
    </row>
    <row r="13" spans="2:7" s="2" customFormat="1" ht="42">
      <c r="B13" s="94"/>
      <c r="C13" s="145" t="s">
        <v>132</v>
      </c>
      <c r="D13" s="117" t="str">
        <f>IF(ISBLANK('Impact Criteria Survey-EXAMPLE'!E8),"",'Impact Criteria Survey-EXAMPLE'!E8)</f>
        <v>All orders would be produced within specifications and on time, but some may require unplanned effort to stay within tolerance metrics.</v>
      </c>
      <c r="E13" s="117" t="str">
        <f>IF(ISBLANK('Impact Criteria Survey-EXAMPLE'!E21),"",'Impact Criteria Survey-EXAMPLE'!E21)</f>
        <v>Ranked as #1 in only one category of "Custom Widget World" Magazine poll for only one year.</v>
      </c>
      <c r="F13" s="189">
        <f>IF(ISBLANK('Impact Criteria Survey-EXAMPLE'!E34),"",'Impact Criteria Survey-EXAMPLE'!E34)</f>
        <v>10000</v>
      </c>
      <c r="G13" s="118" t="str">
        <f>IF(ISBLANK('Impact Criteria Survey-EXAMPLE'!E47),"",'Impact Criteria Survey-EXAMPLE'!E47)</f>
        <v>One or few customers may be concerned about potential loss of competitive advantage, but no harm would result.</v>
      </c>
    </row>
    <row r="14" spans="2:7" s="2" customFormat="1" ht="42">
      <c r="B14" s="94"/>
      <c r="C14" s="145" t="s">
        <v>133</v>
      </c>
      <c r="D14" s="117" t="str">
        <f>IF(ISBLANK('Impact Criteria Survey-EXAMPLE'!E9),"",'Impact Criteria Survey-EXAMPLE'!E9)</f>
        <v>Few orders each quarter (outside of our tolerance metrics) may miss targets, but could be corrected with adjustments or discounts.</v>
      </c>
      <c r="E14" s="117" t="str">
        <f>IF(ISBLANK('Impact Criteria Survey-EXAMPLE'!E22),"",'Impact Criteria Survey-EXAMPLE'!E22)</f>
        <v>Not ranked #1 in any category of "Custom Widget World" Magazine poll for one year.</v>
      </c>
      <c r="F14" s="189">
        <f>IF(ISBLANK('Impact Criteria Survey-EXAMPLE'!E35),"",'Impact Criteria Survey-EXAMPLE'!E35)</f>
        <v>500000</v>
      </c>
      <c r="G14" s="118" t="str">
        <f>IF(ISBLANK('Impact Criteria Survey-EXAMPLE'!E48),"",'Impact Criteria Survey-EXAMPLE'!E48)</f>
        <v>One or few customers would suffer minor loss of competitive advantage, but they could be made whole within a fiscal year.</v>
      </c>
    </row>
    <row r="15" spans="2:7" s="2" customFormat="1" ht="70">
      <c r="B15" s="94"/>
      <c r="C15" s="145" t="s">
        <v>134</v>
      </c>
      <c r="D15" s="117" t="str">
        <f>IF(ISBLANK('Impact Criteria Survey-EXAMPLE'!E10),"",'Impact Criteria Survey-EXAMPLE'!E10)</f>
        <v xml:space="preserve">We would repeatedly miss targets outside of tolerance metrics, requiring regular adjustments or discounts per quarter, or would require significant re-investment to operate regularly within our tolerance metrics. </v>
      </c>
      <c r="E15" s="117" t="str">
        <f>IF(ISBLANK('Impact Criteria Survey-EXAMPLE'!E23),"",'Impact Criteria Survey-EXAMPLE'!E23)</f>
        <v>Not ranked in top three in any category of "Custom Widget World" Magazine poll for two years or more.</v>
      </c>
      <c r="F15" s="189">
        <f>IF(ISBLANK('Impact Criteria Survey-EXAMPLE'!E36),"",'Impact Criteria Survey-EXAMPLE'!E36)</f>
        <v>5000000</v>
      </c>
      <c r="G15" s="118" t="str">
        <f>IF(ISBLANK('Impact Criteria Survey-EXAMPLE'!E49),"",'Impact Criteria Survey-EXAMPLE'!E49)</f>
        <v>Many customers would suffer minor loss of competitive advantage, or one to few customers would suffer harm that would require significant business investment or planning to recover.</v>
      </c>
    </row>
    <row r="16" spans="2:7" s="2" customFormat="1" ht="28">
      <c r="B16" s="94"/>
      <c r="C16" s="146" t="s">
        <v>135</v>
      </c>
      <c r="D16" s="190" t="str">
        <f>IF(ISBLANK('Impact Criteria Survey-EXAMPLE'!E11),"",'Impact Criteria Survey-EXAMPLE'!E11)</f>
        <v>We could not meet our mission.</v>
      </c>
      <c r="E16" s="117" t="str">
        <f>IF(ISBLANK('Impact Criteria Survey-EXAMPLE'!E24),"",'Impact Criteria Survey-EXAMPLE'!E24)</f>
        <v>Unable to rank well in annual "Custom Widget World" Magazine poll.</v>
      </c>
      <c r="F16" s="176" t="str">
        <f>IF(ISBLANK('Impact Criteria Survey-EXAMPLE'!F24),"",'Impact Criteria Survey-EXAMPLE'!F24)</f>
        <v/>
      </c>
      <c r="G16" s="118" t="str">
        <f>IF(ISBLANK('Impact Criteria Survey-EXAMPLE'!E50),"",'Impact Criteria Survey-EXAMPLE'!E50)</f>
        <v xml:space="preserve">We would not be able to protect our customers from losses due to intellectual property theft. </v>
      </c>
    </row>
    <row r="17" spans="2:7" s="2" customFormat="1" ht="13">
      <c r="B17" s="94"/>
      <c r="D17" s="7"/>
      <c r="E17" s="11"/>
      <c r="F17" s="11"/>
      <c r="G17" s="11"/>
    </row>
    <row r="18" spans="2:7" s="2" customFormat="1" ht="13">
      <c r="B18" s="3"/>
      <c r="C18" s="3"/>
      <c r="D18" s="4"/>
      <c r="E18" s="4"/>
      <c r="F18" s="4"/>
      <c r="G18" s="4"/>
    </row>
    <row r="19" spans="2:7" s="2" customFormat="1" ht="13">
      <c r="B19" s="94"/>
      <c r="D19" s="7"/>
      <c r="E19" s="11"/>
      <c r="F19" s="11"/>
      <c r="G19" s="11"/>
    </row>
    <row r="20" spans="2:7" s="2" customFormat="1" ht="16">
      <c r="B20" s="136">
        <v>3</v>
      </c>
      <c r="C20" s="39" t="s">
        <v>435</v>
      </c>
      <c r="D20" s="263"/>
      <c r="E20" s="264"/>
      <c r="F20" s="11"/>
      <c r="G20" s="11"/>
    </row>
    <row r="21" spans="2:7" s="2" customFormat="1" ht="16">
      <c r="B21" s="94"/>
      <c r="C21" s="36"/>
      <c r="D21" s="177"/>
      <c r="E21" s="178"/>
      <c r="F21" s="11"/>
      <c r="G21" s="11"/>
    </row>
    <row r="22" spans="2:7" s="2" customFormat="1">
      <c r="B22" s="94"/>
      <c r="C22" s="149" t="s">
        <v>436</v>
      </c>
      <c r="D22" s="179" t="s">
        <v>437</v>
      </c>
      <c r="E22" s="180" t="s">
        <v>232</v>
      </c>
      <c r="F22" s="11"/>
      <c r="G22" s="11"/>
    </row>
    <row r="23" spans="2:7" s="2" customFormat="1" ht="14">
      <c r="B23" s="94"/>
      <c r="C23" s="142">
        <v>1</v>
      </c>
      <c r="D23" s="181" t="s">
        <v>233</v>
      </c>
      <c r="E23" s="152" t="s">
        <v>472</v>
      </c>
      <c r="F23" s="11"/>
      <c r="G23" s="11"/>
    </row>
    <row r="24" spans="2:7" s="2" customFormat="1" ht="28">
      <c r="B24" s="94"/>
      <c r="C24" s="142">
        <v>2</v>
      </c>
      <c r="D24" s="181" t="s">
        <v>234</v>
      </c>
      <c r="E24" s="152" t="s">
        <v>473</v>
      </c>
      <c r="F24" s="11"/>
      <c r="G24" s="11"/>
    </row>
    <row r="25" spans="2:7" s="2" customFormat="1" ht="28">
      <c r="B25" s="94"/>
      <c r="C25" s="142">
        <v>3</v>
      </c>
      <c r="D25" s="181" t="s">
        <v>235</v>
      </c>
      <c r="E25" s="152" t="s">
        <v>474</v>
      </c>
      <c r="F25" s="11"/>
      <c r="G25" s="11"/>
    </row>
    <row r="26" spans="2:7" s="2" customFormat="1" ht="14">
      <c r="B26" s="94"/>
      <c r="C26" s="142">
        <v>4</v>
      </c>
      <c r="D26" s="181" t="s">
        <v>236</v>
      </c>
      <c r="E26" s="152" t="s">
        <v>475</v>
      </c>
      <c r="F26" s="11"/>
      <c r="G26" s="11"/>
    </row>
    <row r="27" spans="2:7" s="2" customFormat="1" ht="14">
      <c r="B27" s="94"/>
      <c r="C27" s="153">
        <v>5</v>
      </c>
      <c r="D27" s="182" t="s">
        <v>237</v>
      </c>
      <c r="E27" s="154" t="s">
        <v>476</v>
      </c>
      <c r="F27" s="11"/>
      <c r="G27" s="11"/>
    </row>
    <row r="28" spans="2:7" s="2" customFormat="1" ht="13">
      <c r="B28" s="94"/>
      <c r="D28" s="7"/>
      <c r="E28" s="11"/>
      <c r="F28" s="11"/>
      <c r="G28" s="11"/>
    </row>
    <row r="29" spans="2:7" s="2" customFormat="1" ht="13">
      <c r="B29" s="3"/>
      <c r="C29" s="3"/>
      <c r="D29" s="4"/>
      <c r="E29" s="4"/>
      <c r="F29" s="4"/>
      <c r="G29" s="4"/>
    </row>
    <row r="30" spans="2:7" s="2" customFormat="1" ht="13">
      <c r="B30" s="94"/>
      <c r="D30" s="7"/>
      <c r="E30" s="11"/>
      <c r="F30" s="11"/>
      <c r="G30" s="11"/>
    </row>
    <row r="31" spans="2:7" s="2" customFormat="1" ht="16">
      <c r="B31" s="136">
        <v>4</v>
      </c>
      <c r="C31" s="39" t="s">
        <v>8</v>
      </c>
      <c r="D31" s="265"/>
      <c r="E31" s="266"/>
      <c r="F31" s="11"/>
      <c r="G31" s="11"/>
    </row>
    <row r="32" spans="2:7" s="2" customFormat="1" ht="13">
      <c r="B32" s="94"/>
      <c r="D32" s="21"/>
      <c r="E32" s="32"/>
      <c r="F32" s="11"/>
      <c r="G32" s="11"/>
    </row>
    <row r="33" spans="2:7" s="2" customFormat="1" ht="12.75" customHeight="1">
      <c r="B33" s="94"/>
      <c r="C33" s="262" t="s">
        <v>477</v>
      </c>
      <c r="D33" s="183" t="s">
        <v>437</v>
      </c>
      <c r="E33" s="184" t="s">
        <v>238</v>
      </c>
      <c r="F33" s="11"/>
      <c r="G33" s="11"/>
    </row>
    <row r="34" spans="2:7" s="2" customFormat="1" ht="14" thickBot="1">
      <c r="B34" s="94"/>
      <c r="C34" s="262"/>
      <c r="D34" s="185">
        <v>3</v>
      </c>
      <c r="E34" s="186">
        <v>3</v>
      </c>
      <c r="F34" s="11"/>
      <c r="G34" s="11"/>
    </row>
    <row r="35" spans="2:7" s="2" customFormat="1" thickBot="1">
      <c r="B35" s="94"/>
      <c r="C35" s="267"/>
      <c r="D35" s="187" t="s">
        <v>239</v>
      </c>
      <c r="E35" s="188">
        <f>D34*E34</f>
        <v>9</v>
      </c>
      <c r="F35" s="11"/>
      <c r="G35" s="11"/>
    </row>
    <row r="36" spans="2:7" s="2" customFormat="1" ht="13">
      <c r="B36" s="94"/>
      <c r="D36" s="7"/>
      <c r="E36" s="11"/>
      <c r="F36" s="11"/>
      <c r="G36" s="11"/>
    </row>
    <row r="37" spans="2:7" s="2" customFormat="1" ht="13">
      <c r="B37" s="3"/>
      <c r="C37" s="3"/>
      <c r="D37" s="4"/>
      <c r="E37" s="4"/>
      <c r="F37" s="4"/>
      <c r="G37" s="4"/>
    </row>
    <row r="38" spans="2:7" s="2" customFormat="1" ht="13">
      <c r="B38" s="94"/>
      <c r="D38" s="7"/>
      <c r="E38" s="11"/>
      <c r="F38" s="11"/>
      <c r="G38" s="11"/>
    </row>
    <row r="39" spans="2:7" s="2" customFormat="1" ht="45" customHeight="1">
      <c r="B39" s="136">
        <v>5</v>
      </c>
      <c r="C39" s="39" t="s">
        <v>27</v>
      </c>
      <c r="D39" s="315" t="s">
        <v>626</v>
      </c>
      <c r="E39" s="316"/>
      <c r="F39" s="316"/>
      <c r="G39" s="316"/>
    </row>
    <row r="40" spans="2:7" s="2" customFormat="1" ht="13">
      <c r="B40" s="94"/>
      <c r="C40" s="6"/>
      <c r="D40" s="7"/>
      <c r="E40" s="7"/>
      <c r="F40" s="7"/>
      <c r="G40" s="11"/>
    </row>
    <row r="41" spans="2:7" s="2" customFormat="1">
      <c r="B41" s="94"/>
      <c r="C41" s="138" t="s">
        <v>22</v>
      </c>
      <c r="D41" s="139" t="s">
        <v>17</v>
      </c>
      <c r="E41" s="139" t="s">
        <v>98</v>
      </c>
      <c r="F41" s="140" t="s">
        <v>156</v>
      </c>
      <c r="G41" s="141" t="s">
        <v>18</v>
      </c>
    </row>
    <row r="42" spans="2:7" s="2" customFormat="1" ht="13">
      <c r="B42" s="94"/>
      <c r="C42" s="155" t="s">
        <v>527</v>
      </c>
      <c r="D42" s="156">
        <v>4</v>
      </c>
      <c r="E42" s="156">
        <v>2</v>
      </c>
      <c r="F42" s="156">
        <v>4</v>
      </c>
      <c r="G42" s="245">
        <v>4</v>
      </c>
    </row>
    <row r="43" spans="2:7" s="2" customFormat="1" ht="13">
      <c r="B43" s="94"/>
      <c r="C43" s="145" t="s">
        <v>90</v>
      </c>
      <c r="D43" s="156">
        <v>3</v>
      </c>
      <c r="E43" s="156">
        <v>4</v>
      </c>
      <c r="F43" s="156">
        <v>5</v>
      </c>
      <c r="G43" s="247">
        <v>4</v>
      </c>
    </row>
    <row r="44" spans="2:7" s="2" customFormat="1" ht="13">
      <c r="B44" s="94"/>
      <c r="C44" s="155" t="s">
        <v>91</v>
      </c>
      <c r="D44" s="158">
        <v>2</v>
      </c>
      <c r="E44" s="158">
        <v>1</v>
      </c>
      <c r="F44" s="158">
        <v>3</v>
      </c>
      <c r="G44" s="248">
        <v>3</v>
      </c>
    </row>
    <row r="45" spans="2:7" s="2" customFormat="1" ht="13">
      <c r="B45" s="94"/>
      <c r="C45" s="145" t="s">
        <v>92</v>
      </c>
      <c r="D45" s="156">
        <v>3</v>
      </c>
      <c r="E45" s="156">
        <v>4</v>
      </c>
      <c r="F45" s="156">
        <v>3</v>
      </c>
      <c r="G45" s="247">
        <v>3</v>
      </c>
    </row>
    <row r="46" spans="2:7" s="2" customFormat="1" ht="13">
      <c r="B46" s="94"/>
      <c r="C46" s="155" t="s">
        <v>93</v>
      </c>
      <c r="D46" s="158">
        <v>3</v>
      </c>
      <c r="E46" s="158">
        <v>3</v>
      </c>
      <c r="F46" s="158">
        <v>4</v>
      </c>
      <c r="G46" s="248">
        <v>3</v>
      </c>
    </row>
    <row r="47" spans="2:7" s="2" customFormat="1" ht="13">
      <c r="B47" s="94"/>
      <c r="C47" s="146" t="s">
        <v>528</v>
      </c>
      <c r="D47" s="160">
        <v>2</v>
      </c>
      <c r="E47" s="160">
        <v>3</v>
      </c>
      <c r="F47" s="156">
        <v>2</v>
      </c>
      <c r="G47" s="247">
        <v>2</v>
      </c>
    </row>
    <row r="48" spans="2:7" s="2" customFormat="1" ht="13">
      <c r="B48" s="94"/>
      <c r="D48" s="7"/>
      <c r="E48" s="11"/>
      <c r="F48" s="11"/>
      <c r="G48" s="11"/>
    </row>
  </sheetData>
  <sheetProtection sheet="1" objects="1" scenarios="1"/>
  <mergeCells count="7">
    <mergeCell ref="B2:B4"/>
    <mergeCell ref="D31:E31"/>
    <mergeCell ref="C33:C35"/>
    <mergeCell ref="D39:G39"/>
    <mergeCell ref="C2:C4"/>
    <mergeCell ref="D8:G8"/>
    <mergeCell ref="D20:E20"/>
  </mergeCells>
  <dataValidations count="1">
    <dataValidation type="list" allowBlank="1" showInputMessage="1" showErrorMessage="1" sqref="D34:E34 D42:F47 G43:G47" xr:uid="{CF7D8B8F-7E25-4F71-9724-E7C259D7E6B2}">
      <formula1>"1,2,3,4,5"</formula1>
    </dataValidation>
  </dataValidations>
  <pageMargins left="0.7" right="0.7" top="0.75" bottom="0.75" header="0.3" footer="0.3"/>
  <pageSetup orientation="portrait" r:id="rId1"/>
  <ignoredErrors>
    <ignoredError sqref="D11 G11:G16" calculatedColumn="1"/>
  </ignoredErrors>
  <legacyDrawing r:id="rId2"/>
  <tableParts count="3">
    <tablePart r:id="rId3"/>
    <tablePart r:id="rId4"/>
    <tablePart r:id="rId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16B9E-0E37-487D-BD2A-09EED4EE213F}">
  <sheetPr>
    <tabColor rgb="FFFF0000"/>
  </sheetPr>
  <dimension ref="B2:AN142"/>
  <sheetViews>
    <sheetView showGridLines="0" zoomScaleNormal="100" workbookViewId="0"/>
  </sheetViews>
  <sheetFormatPr baseColWidth="10" defaultColWidth="9.1640625" defaultRowHeight="13"/>
  <cols>
    <col min="1" max="1" width="9.1640625" style="2"/>
    <col min="2" max="2" width="22.33203125" style="2" customWidth="1"/>
    <col min="3" max="3" width="22.83203125" style="2" customWidth="1"/>
    <col min="4" max="4" width="17" style="2" customWidth="1"/>
    <col min="5" max="5" width="30.33203125" style="8" customWidth="1"/>
    <col min="6" max="6" width="9.33203125" style="8" customWidth="1"/>
    <col min="7" max="7" width="9.1640625" style="8" customWidth="1"/>
    <col min="8" max="9" width="26.1640625" style="8" customWidth="1"/>
    <col min="10" max="10" width="24.6640625" style="8" customWidth="1"/>
    <col min="11" max="11" width="33.5" style="2" customWidth="1"/>
    <col min="12" max="19" width="13.33203125" style="2" customWidth="1"/>
    <col min="20" max="20" width="12.1640625" style="2" customWidth="1"/>
    <col min="21" max="21" width="20.5" style="94" customWidth="1"/>
    <col min="22" max="22" width="26.5" style="2" customWidth="1"/>
    <col min="23" max="23" width="55.33203125" style="2" customWidth="1"/>
    <col min="24" max="24" width="77.6640625" style="2" customWidth="1"/>
    <col min="25" max="25" width="62.33203125" style="2" customWidth="1"/>
    <col min="26" max="26" width="22.1640625" style="2" bestFit="1" customWidth="1"/>
    <col min="27" max="27" width="24.33203125" style="2" customWidth="1"/>
    <col min="28" max="30" width="19.33203125" style="2" customWidth="1"/>
    <col min="31" max="31" width="19.5" style="2" customWidth="1"/>
    <col min="32" max="32" width="19.83203125" style="2" customWidth="1"/>
    <col min="33" max="35" width="20.6640625" style="2" customWidth="1"/>
    <col min="36" max="36" width="20.1640625" style="2" customWidth="1"/>
    <col min="37" max="37" width="13.5" style="2" bestFit="1" customWidth="1"/>
    <col min="38" max="38" width="14.1640625" style="2" bestFit="1" customWidth="1"/>
    <col min="39" max="39" width="13.83203125" style="2" customWidth="1"/>
    <col min="40" max="40" width="13" style="2" customWidth="1"/>
    <col min="41" max="16384" width="9.1640625" style="2"/>
  </cols>
  <sheetData>
    <row r="2" spans="2:40">
      <c r="B2" s="271" t="s">
        <v>157</v>
      </c>
      <c r="C2" s="1" t="s">
        <v>95</v>
      </c>
      <c r="D2" s="324" t="s">
        <v>462</v>
      </c>
      <c r="E2" s="324"/>
      <c r="F2" s="53"/>
      <c r="G2" s="314" t="s">
        <v>432</v>
      </c>
      <c r="H2" s="314"/>
      <c r="I2" s="314"/>
      <c r="J2" s="314"/>
      <c r="K2" s="314"/>
      <c r="L2" s="314"/>
      <c r="M2" s="314"/>
      <c r="N2" s="314"/>
      <c r="O2" s="314"/>
      <c r="P2" s="314"/>
      <c r="Q2" s="314"/>
    </row>
    <row r="3" spans="2:40">
      <c r="B3" s="272"/>
      <c r="C3" s="1" t="s">
        <v>24</v>
      </c>
      <c r="D3" s="324" t="s">
        <v>94</v>
      </c>
      <c r="E3" s="324"/>
      <c r="F3" s="53"/>
      <c r="G3" s="314"/>
      <c r="H3" s="314"/>
      <c r="I3" s="314"/>
      <c r="J3" s="314"/>
      <c r="K3" s="314"/>
      <c r="L3" s="314"/>
      <c r="M3" s="314"/>
      <c r="N3" s="314"/>
      <c r="O3" s="314"/>
      <c r="P3" s="314"/>
      <c r="Q3" s="314"/>
    </row>
    <row r="4" spans="2:40" ht="27" customHeight="1">
      <c r="B4" s="273"/>
      <c r="C4" s="1" t="s">
        <v>25</v>
      </c>
      <c r="D4" s="325">
        <v>45870</v>
      </c>
      <c r="E4" s="324"/>
      <c r="F4" s="100"/>
      <c r="G4" s="314"/>
      <c r="H4" s="314"/>
      <c r="I4" s="314"/>
      <c r="J4" s="314"/>
      <c r="K4" s="314"/>
      <c r="L4" s="314"/>
      <c r="M4" s="314"/>
      <c r="N4" s="314"/>
      <c r="O4" s="314"/>
      <c r="P4" s="314"/>
      <c r="Q4" s="314"/>
    </row>
    <row r="6" spans="2:40">
      <c r="B6" s="3"/>
      <c r="C6" s="3"/>
      <c r="D6" s="3"/>
      <c r="E6" s="4"/>
      <c r="F6" s="4"/>
      <c r="G6" s="4"/>
      <c r="H6" s="4"/>
      <c r="I6" s="4"/>
      <c r="J6" s="4"/>
      <c r="K6" s="4"/>
      <c r="L6" s="4"/>
      <c r="M6" s="4"/>
      <c r="N6" s="4"/>
      <c r="O6" s="4"/>
      <c r="P6" s="4"/>
      <c r="Q6" s="4"/>
      <c r="R6" s="4"/>
      <c r="S6" s="4"/>
      <c r="T6" s="4"/>
      <c r="U6" s="12"/>
      <c r="V6" s="4"/>
      <c r="W6" s="4"/>
      <c r="X6" s="4"/>
      <c r="Y6" s="4"/>
      <c r="Z6" s="4"/>
      <c r="AA6" s="4"/>
      <c r="AB6" s="4"/>
      <c r="AC6" s="4"/>
      <c r="AD6" s="4"/>
      <c r="AE6" s="4"/>
      <c r="AF6" s="4"/>
      <c r="AG6" s="4"/>
      <c r="AH6" s="4"/>
      <c r="AI6" s="4"/>
      <c r="AJ6" s="4"/>
    </row>
    <row r="8" spans="2:40" s="173" customFormat="1" ht="30">
      <c r="B8" s="172" t="s">
        <v>26</v>
      </c>
      <c r="C8" s="317" t="s">
        <v>114</v>
      </c>
      <c r="D8" s="317"/>
      <c r="E8" s="317"/>
      <c r="F8" s="317"/>
      <c r="G8" s="317"/>
      <c r="H8" s="317"/>
      <c r="I8" s="317"/>
      <c r="J8" s="317"/>
      <c r="K8" s="317"/>
      <c r="L8" s="317"/>
      <c r="M8" s="317"/>
      <c r="N8" s="317"/>
      <c r="O8" s="317"/>
      <c r="P8" s="317"/>
      <c r="Q8" s="317"/>
      <c r="R8" s="317"/>
      <c r="S8" s="317"/>
      <c r="T8" s="172" t="s">
        <v>26</v>
      </c>
      <c r="U8" s="321" t="s">
        <v>112</v>
      </c>
      <c r="V8" s="322"/>
      <c r="W8" s="322"/>
      <c r="X8" s="322"/>
      <c r="Y8" s="322"/>
      <c r="Z8" s="322"/>
      <c r="AA8" s="322"/>
      <c r="AB8" s="322"/>
      <c r="AC8" s="322"/>
      <c r="AD8" s="322"/>
      <c r="AE8" s="322"/>
      <c r="AF8" s="322"/>
      <c r="AG8" s="322"/>
      <c r="AH8" s="322"/>
      <c r="AI8" s="322"/>
      <c r="AJ8" s="323"/>
      <c r="AL8" s="318" t="s">
        <v>431</v>
      </c>
      <c r="AM8" s="319"/>
      <c r="AN8" s="320"/>
    </row>
    <row r="10" spans="2:40" s="11" customFormat="1" ht="56">
      <c r="B10" s="9" t="s">
        <v>22</v>
      </c>
      <c r="C10" s="114" t="s">
        <v>257</v>
      </c>
      <c r="D10" s="9" t="s">
        <v>109</v>
      </c>
      <c r="E10" s="9" t="s">
        <v>110</v>
      </c>
      <c r="F10" s="9" t="s">
        <v>427</v>
      </c>
      <c r="G10" s="9" t="s">
        <v>428</v>
      </c>
      <c r="H10" s="9" t="s">
        <v>519</v>
      </c>
      <c r="I10" s="5" t="s">
        <v>444</v>
      </c>
      <c r="J10" s="114" t="s">
        <v>463</v>
      </c>
      <c r="K10" s="5" t="s">
        <v>438</v>
      </c>
      <c r="L10" s="5" t="s">
        <v>124</v>
      </c>
      <c r="M10" s="9" t="s">
        <v>20</v>
      </c>
      <c r="N10" s="9" t="s">
        <v>436</v>
      </c>
      <c r="O10" s="9" t="s">
        <v>0</v>
      </c>
      <c r="P10" s="9" t="s">
        <v>99</v>
      </c>
      <c r="Q10" s="9" t="s">
        <v>101</v>
      </c>
      <c r="R10" s="9" t="s">
        <v>1</v>
      </c>
      <c r="S10" s="9" t="s">
        <v>2</v>
      </c>
      <c r="T10" s="9" t="s">
        <v>3</v>
      </c>
      <c r="U10" s="5" t="s">
        <v>128</v>
      </c>
      <c r="V10" s="10" t="s">
        <v>28</v>
      </c>
      <c r="W10" s="10" t="s">
        <v>32</v>
      </c>
      <c r="X10" s="10" t="s">
        <v>33</v>
      </c>
      <c r="Y10" s="114" t="s">
        <v>111</v>
      </c>
      <c r="Z10" s="5" t="s">
        <v>125</v>
      </c>
      <c r="AA10" s="10" t="s">
        <v>439</v>
      </c>
      <c r="AB10" s="10" t="s">
        <v>34</v>
      </c>
      <c r="AC10" s="10" t="s">
        <v>100</v>
      </c>
      <c r="AD10" s="10" t="s">
        <v>430</v>
      </c>
      <c r="AE10" s="10" t="s">
        <v>35</v>
      </c>
      <c r="AF10" s="10" t="s">
        <v>37</v>
      </c>
      <c r="AG10" s="10" t="s">
        <v>113</v>
      </c>
      <c r="AH10" s="114" t="s">
        <v>36</v>
      </c>
      <c r="AI10" s="114" t="s">
        <v>105</v>
      </c>
      <c r="AJ10" s="114" t="s">
        <v>29</v>
      </c>
      <c r="AL10" s="12" t="s">
        <v>101</v>
      </c>
      <c r="AM10" s="12" t="s">
        <v>30</v>
      </c>
      <c r="AN10" s="12" t="s">
        <v>31</v>
      </c>
    </row>
    <row r="11" spans="2:40" ht="154">
      <c r="B11" s="15" t="s">
        <v>91</v>
      </c>
      <c r="C11" s="15"/>
      <c r="D11" s="13">
        <v>1.1000000000000001</v>
      </c>
      <c r="E11" s="14" t="s">
        <v>38</v>
      </c>
      <c r="F11" s="13" t="s">
        <v>429</v>
      </c>
      <c r="G11" s="13" t="s">
        <v>429</v>
      </c>
      <c r="H11" s="13" t="s">
        <v>521</v>
      </c>
      <c r="I11" s="14"/>
      <c r="J11" s="14"/>
      <c r="K11" s="14"/>
      <c r="L11" s="109">
        <v>5</v>
      </c>
      <c r="M11" s="24">
        <f>IFERROR(VLOOKUP(tblRiskRegister322[[#This Row],[Asset Class]],tblVCDBIndex[],4,FALSE),"")</f>
        <v>4</v>
      </c>
      <c r="N11" s="24">
        <f>IFERROR(VLOOKUP(10*tblRiskRegister322[[#This Row],[Safeguard Maturity Score]]+tblRiskRegister322[[#This Row],[VCDB Index]],tblHITIndexWeightTable[],4,FALSE),"")</f>
        <v>1</v>
      </c>
      <c r="O11" s="24">
        <f>VLOOKUP(tblRiskRegister322[[#This Row],[Asset Class]],tblInherentImpacts3046[],2,FALSE)</f>
        <v>2</v>
      </c>
      <c r="P11" s="24">
        <f>VLOOKUP(tblRiskRegister322[[#This Row],[Asset Class]],tblInherentImpacts3046[],3,FALSE)</f>
        <v>1</v>
      </c>
      <c r="Q11" s="24">
        <f>VLOOKUP(tblRiskRegister322[[#This Row],[Asset Class]],tblInherentImpacts3046[],4,FALSE)</f>
        <v>3</v>
      </c>
      <c r="R11" s="24">
        <f>VLOOKUP(tblRiskRegister322[[#This Row],[Asset Class]],tblInherentImpacts3046[],5,FALSE)</f>
        <v>3</v>
      </c>
      <c r="S11" s="24">
        <f>IFERROR(MAX(tblRiskRegister322[[#This Row],[Impact to Mission]:[Impact to Obligations]])*tblRiskRegister322[[#This Row],[Expectancy Score]],"")</f>
        <v>3</v>
      </c>
      <c r="T11" s="24">
        <f>tblRiskRegister322[[#This Row],[Risk Score]]</f>
        <v>3</v>
      </c>
      <c r="U11" s="13"/>
      <c r="V11" s="86">
        <v>1.1000000000000001</v>
      </c>
      <c r="W11" s="15" t="s">
        <v>38</v>
      </c>
      <c r="X11" s="15" t="s">
        <v>333</v>
      </c>
      <c r="Y11" s="15"/>
      <c r="Z11" s="16"/>
      <c r="AA11" s="23" t="str">
        <f>IFERROR(VLOOKUP(10*tblRiskRegister322[[#This Row],[Risk Treatment Safeguard Maturity Score]]+tblRiskRegister322[[#This Row],[VCDB Index]],tblHITIndexWeightTable[],4,FALSE),"")</f>
        <v/>
      </c>
      <c r="AB11" s="108">
        <f>VLOOKUP(tblRiskRegister322[[#This Row],[Asset Class]],tblInherentImpacts3046[],2,FALSE)</f>
        <v>2</v>
      </c>
      <c r="AC11" s="108">
        <f>VLOOKUP(tblRiskRegister322[[#This Row],[Asset Class]],tblInherentImpacts3046[],3,FALSE)</f>
        <v>1</v>
      </c>
      <c r="AD11" s="108">
        <f>VLOOKUP(tblRiskRegister322[[#This Row],[Asset Class]],tblInherentImpacts3046[],4,FALSE)</f>
        <v>3</v>
      </c>
      <c r="AE11" s="108">
        <f>VLOOKUP(tblRiskRegister322[[#This Row],[Asset Class]],tblInherentImpacts3046[],5,FALSE)</f>
        <v>3</v>
      </c>
      <c r="AF11" s="23" t="str">
        <f>IFERROR(MAX(tblRiskRegister322[[#This Row],[Risk Treatment Safeguard Impact to Mission]:[Risk Treatment Safeguard Impact to Obligations]])*tblRiskRegister322[[#This Row],[Risk Treatment
Safeguard Expectancy Score]],"")</f>
        <v/>
      </c>
      <c r="AG11" s="23" t="str" cm="1">
        <f t="array" ref="AG11">IF(tblRiskRegister322[[#This Row],[Risk Score]]&gt;=AcceptableRisk1,IF(tblRiskRegister322[[#This Row],[Risk Treatment Safeguard Risk Score]]&lt;AcceptableRisk1, IF(tblRiskRegister322[[#This Row],[Risk Treatment Safeguard Risk Score]]&lt;tblRiskRegister322[[#This Row],[Risk Score]],"Yes","No"),"No"),"Yes")</f>
        <v>Yes</v>
      </c>
      <c r="AH11" s="17"/>
      <c r="AI11" s="17"/>
      <c r="AJ11" s="18"/>
      <c r="AL11" s="19">
        <f>SUMIF(tblRiskRegister322[[#All],[Implementation Year]],"="&amp;tblCostImpacts335[[#This Row],[Year]],tblRiskRegister322[[#All],[Risk Treatment Safeguard Cost]])</f>
        <v>0</v>
      </c>
      <c r="AM11" s="6">
        <v>2025</v>
      </c>
      <c r="AN11" s="6" t="str">
        <f>IF(tblCostImpacts335[[#This Row],[Impact to Financial Objectives]]&lt;='Enterprise Parameters -EXAMPLE'!$F$13,"Yes","No")</f>
        <v>Yes</v>
      </c>
    </row>
    <row r="12" spans="2:40" ht="42">
      <c r="B12" s="15" t="s">
        <v>91</v>
      </c>
      <c r="C12" s="15"/>
      <c r="D12" s="13">
        <v>1.2</v>
      </c>
      <c r="E12" s="14" t="s">
        <v>13</v>
      </c>
      <c r="F12" s="13" t="s">
        <v>429</v>
      </c>
      <c r="G12" s="13" t="s">
        <v>429</v>
      </c>
      <c r="H12" s="13" t="s">
        <v>522</v>
      </c>
      <c r="I12" s="14"/>
      <c r="J12" s="14"/>
      <c r="K12" s="14"/>
      <c r="L12" s="109">
        <v>3</v>
      </c>
      <c r="M12" s="24">
        <f>IFERROR(VLOOKUP(tblRiskRegister322[[#This Row],[Asset Class]],tblVCDBIndex[],4,FALSE),"")</f>
        <v>4</v>
      </c>
      <c r="N12" s="24">
        <f>IFERROR(VLOOKUP(10*tblRiskRegister322[[#This Row],[Safeguard Maturity Score]]+tblRiskRegister322[[#This Row],[VCDB Index]],tblHITIndexWeightTable[],4,FALSE),"")</f>
        <v>3</v>
      </c>
      <c r="O12" s="24">
        <f>VLOOKUP(tblRiskRegister322[[#This Row],[Asset Class]],tblInherentImpacts3046[],2,FALSE)</f>
        <v>2</v>
      </c>
      <c r="P12" s="24">
        <f>VLOOKUP(tblRiskRegister322[[#This Row],[Asset Class]],tblInherentImpacts3046[],3,FALSE)</f>
        <v>1</v>
      </c>
      <c r="Q12" s="24">
        <f>VLOOKUP(tblRiskRegister322[[#This Row],[Asset Class]],tblInherentImpacts3046[],4,FALSE)</f>
        <v>3</v>
      </c>
      <c r="R12" s="24">
        <f>VLOOKUP(tblRiskRegister322[[#This Row],[Asset Class]],tblInherentImpacts3046[],5,FALSE)</f>
        <v>3</v>
      </c>
      <c r="S12" s="24">
        <f>IFERROR(MAX(tblRiskRegister322[[#This Row],[Impact to Mission]:[Impact to Obligations]])*tblRiskRegister322[[#This Row],[Expectancy Score]],"")</f>
        <v>9</v>
      </c>
      <c r="T12" s="24">
        <f>tblRiskRegister322[[#This Row],[Risk Score]]</f>
        <v>9</v>
      </c>
      <c r="U12" s="13"/>
      <c r="V12" s="86">
        <v>1.2</v>
      </c>
      <c r="W12" s="15" t="s">
        <v>13</v>
      </c>
      <c r="X12" s="15" t="s">
        <v>334</v>
      </c>
      <c r="Y12" s="26"/>
      <c r="Z12" s="16"/>
      <c r="AA12" s="23" t="str">
        <f>IFERROR(VLOOKUP(10*tblRiskRegister322[[#This Row],[Risk Treatment Safeguard Maturity Score]]+tblRiskRegister322[[#This Row],[VCDB Index]],tblHITIndexWeightTable[],4,FALSE),"")</f>
        <v/>
      </c>
      <c r="AB12" s="108">
        <f>VLOOKUP(tblRiskRegister322[[#This Row],[Asset Class]],tblInherentImpacts3046[],2,FALSE)</f>
        <v>2</v>
      </c>
      <c r="AC12" s="108">
        <f>VLOOKUP(tblRiskRegister322[[#This Row],[Asset Class]],tblInherentImpacts3046[],3,FALSE)</f>
        <v>1</v>
      </c>
      <c r="AD12" s="108">
        <f>VLOOKUP(tblRiskRegister322[[#This Row],[Asset Class]],tblInherentImpacts3046[],4,FALSE)</f>
        <v>3</v>
      </c>
      <c r="AE12" s="108">
        <f>VLOOKUP(tblRiskRegister322[[#This Row],[Asset Class]],tblInherentImpacts3046[],5,FALSE)</f>
        <v>3</v>
      </c>
      <c r="AF12" s="23" t="str">
        <f>IFERROR(MAX(tblRiskRegister322[[#This Row],[Risk Treatment Safeguard Impact to Mission]:[Risk Treatment Safeguard Impact to Obligations]])*tblRiskRegister322[[#This Row],[Risk Treatment
Safeguard Expectancy Score]],"")</f>
        <v/>
      </c>
      <c r="AG12" s="23" t="str" cm="1">
        <f t="array" ref="AG12">IF(tblRiskRegister322[[#This Row],[Risk Score]]&gt;=AcceptableRisk1,IF(tblRiskRegister322[[#This Row],[Risk Treatment Safeguard Risk Score]]&lt;AcceptableRisk1, IF(tblRiskRegister322[[#This Row],[Risk Treatment Safeguard Risk Score]]&lt;tblRiskRegister322[[#This Row],[Risk Score]],"Yes","No"),"No"),"Yes")</f>
        <v>No</v>
      </c>
      <c r="AH12" s="17"/>
      <c r="AI12" s="17"/>
      <c r="AJ12" s="18"/>
      <c r="AL12" s="19">
        <f>SUMIF(tblRiskRegister322[[#All],[Implementation Year]],"="&amp;tblCostImpacts335[[#This Row],[Year]],tblRiskRegister322[[#All],[Risk Treatment Safeguard Cost]])</f>
        <v>501000</v>
      </c>
      <c r="AM12" s="6">
        <v>2026</v>
      </c>
      <c r="AN12" s="6" t="str">
        <f>IF(tblCostImpacts335[[#This Row],[Impact to Financial Objectives]]&lt;='Enterprise Parameters -EXAMPLE'!$F$13,"Yes","No")</f>
        <v>No</v>
      </c>
    </row>
    <row r="13" spans="2:40" ht="28">
      <c r="B13" s="15" t="s">
        <v>91</v>
      </c>
      <c r="C13" s="15"/>
      <c r="D13" s="13">
        <v>1.3</v>
      </c>
      <c r="E13" s="14" t="s">
        <v>181</v>
      </c>
      <c r="F13" s="13"/>
      <c r="G13" s="13" t="s">
        <v>429</v>
      </c>
      <c r="H13" s="13" t="s">
        <v>524</v>
      </c>
      <c r="I13" s="14"/>
      <c r="J13" s="14"/>
      <c r="K13" s="14"/>
      <c r="L13" s="109">
        <v>2</v>
      </c>
      <c r="M13" s="24">
        <f>IFERROR(VLOOKUP(tblRiskRegister322[[#This Row],[Asset Class]],tblVCDBIndex[],4,FALSE),"")</f>
        <v>4</v>
      </c>
      <c r="N13" s="24">
        <f>IFERROR(VLOOKUP(10*tblRiskRegister322[[#This Row],[Safeguard Maturity Score]]+tblRiskRegister322[[#This Row],[VCDB Index]],tblHITIndexWeightTable[],4,FALSE),"")</f>
        <v>4</v>
      </c>
      <c r="O13" s="24">
        <f>VLOOKUP(tblRiskRegister322[[#This Row],[Asset Class]],tblInherentImpacts3046[],2,FALSE)</f>
        <v>2</v>
      </c>
      <c r="P13" s="24">
        <f>VLOOKUP(tblRiskRegister322[[#This Row],[Asset Class]],tblInherentImpacts3046[],3,FALSE)</f>
        <v>1</v>
      </c>
      <c r="Q13" s="24">
        <f>VLOOKUP(tblRiskRegister322[[#This Row],[Asset Class]],tblInherentImpacts3046[],4,FALSE)</f>
        <v>3</v>
      </c>
      <c r="R13" s="24">
        <f>VLOOKUP(tblRiskRegister322[[#This Row],[Asset Class]],tblInherentImpacts3046[],5,FALSE)</f>
        <v>3</v>
      </c>
      <c r="S13" s="24">
        <f>IFERROR(MAX(tblRiskRegister322[[#This Row],[Impact to Mission]:[Impact to Obligations]])*tblRiskRegister322[[#This Row],[Expectancy Score]],"")</f>
        <v>12</v>
      </c>
      <c r="T13" s="24">
        <f>tblRiskRegister322[[#This Row],[Risk Score]]</f>
        <v>12</v>
      </c>
      <c r="U13" s="13"/>
      <c r="V13" s="86">
        <v>1.3</v>
      </c>
      <c r="W13" s="15" t="s">
        <v>181</v>
      </c>
      <c r="X13" s="15" t="s">
        <v>335</v>
      </c>
      <c r="Y13" s="26"/>
      <c r="Z13" s="16"/>
      <c r="AA13" s="23" t="str">
        <f>IFERROR(VLOOKUP(10*tblRiskRegister322[[#This Row],[Risk Treatment Safeguard Maturity Score]]+tblRiskRegister322[[#This Row],[VCDB Index]],tblHITIndexWeightTable[],4,FALSE),"")</f>
        <v/>
      </c>
      <c r="AB13" s="108">
        <f>VLOOKUP(tblRiskRegister322[[#This Row],[Asset Class]],tblInherentImpacts3046[],2,FALSE)</f>
        <v>2</v>
      </c>
      <c r="AC13" s="108">
        <f>VLOOKUP(tblRiskRegister322[[#This Row],[Asset Class]],tblInherentImpacts3046[],3,FALSE)</f>
        <v>1</v>
      </c>
      <c r="AD13" s="108">
        <f>VLOOKUP(tblRiskRegister322[[#This Row],[Asset Class]],tblInherentImpacts3046[],4,FALSE)</f>
        <v>3</v>
      </c>
      <c r="AE13" s="108">
        <f>VLOOKUP(tblRiskRegister322[[#This Row],[Asset Class]],tblInherentImpacts3046[],5,FALSE)</f>
        <v>3</v>
      </c>
      <c r="AF13" s="23" t="str">
        <f>IFERROR(MAX(tblRiskRegister322[[#This Row],[Risk Treatment Safeguard Impact to Mission]:[Risk Treatment Safeguard Impact to Obligations]])*tblRiskRegister322[[#This Row],[Risk Treatment
Safeguard Expectancy Score]],"")</f>
        <v/>
      </c>
      <c r="AG13" s="23" t="str" cm="1">
        <f t="array" ref="AG13">IF(tblRiskRegister322[[#This Row],[Risk Score]]&gt;=AcceptableRisk1,IF(tblRiskRegister322[[#This Row],[Risk Treatment Safeguard Risk Score]]&lt;AcceptableRisk1, IF(tblRiskRegister322[[#This Row],[Risk Treatment Safeguard Risk Score]]&lt;tblRiskRegister322[[#This Row],[Risk Score]],"Yes","No"),"No"),"Yes")</f>
        <v>No</v>
      </c>
      <c r="AH13" s="17"/>
      <c r="AI13" s="17"/>
      <c r="AJ13" s="18"/>
      <c r="AL13" s="19">
        <f>SUMIF(tblRiskRegister322[[#All],[Implementation Year]],"="&amp;tblCostImpacts335[[#This Row],[Year]],tblRiskRegister322[[#All],[Risk Treatment Safeguard Cost]])</f>
        <v>0</v>
      </c>
      <c r="AM13" s="6">
        <v>2027</v>
      </c>
      <c r="AN13" s="6" t="str">
        <f>IF(tblCostImpacts335[[#This Row],[Impact to Financial Objectives]]&lt;='Enterprise Parameters -EXAMPLE'!$F$13,"Yes","No")</f>
        <v>Yes</v>
      </c>
    </row>
    <row r="14" spans="2:40" ht="42">
      <c r="B14" s="15" t="s">
        <v>91</v>
      </c>
      <c r="C14" s="15"/>
      <c r="D14" s="13">
        <v>1.4</v>
      </c>
      <c r="E14" s="14" t="s">
        <v>182</v>
      </c>
      <c r="F14" s="13"/>
      <c r="G14" s="13" t="s">
        <v>429</v>
      </c>
      <c r="H14" s="13" t="s">
        <v>521</v>
      </c>
      <c r="I14" s="14"/>
      <c r="J14" s="14"/>
      <c r="K14" s="14"/>
      <c r="L14" s="109">
        <v>4</v>
      </c>
      <c r="M14" s="24">
        <f>IFERROR(VLOOKUP(tblRiskRegister322[[#This Row],[Asset Class]],tblVCDBIndex[],4,FALSE),"")</f>
        <v>4</v>
      </c>
      <c r="N14" s="24">
        <f>IFERROR(VLOOKUP(10*tblRiskRegister322[[#This Row],[Safeguard Maturity Score]]+tblRiskRegister322[[#This Row],[VCDB Index]],tblHITIndexWeightTable[],4,FALSE),"")</f>
        <v>2</v>
      </c>
      <c r="O14" s="24">
        <f>VLOOKUP(tblRiskRegister322[[#This Row],[Asset Class]],tblInherentImpacts3046[],2,FALSE)</f>
        <v>2</v>
      </c>
      <c r="P14" s="24">
        <f>VLOOKUP(tblRiskRegister322[[#This Row],[Asset Class]],tblInherentImpacts3046[],3,FALSE)</f>
        <v>1</v>
      </c>
      <c r="Q14" s="24">
        <f>VLOOKUP(tblRiskRegister322[[#This Row],[Asset Class]],tblInherentImpacts3046[],4,FALSE)</f>
        <v>3</v>
      </c>
      <c r="R14" s="24">
        <f>VLOOKUP(tblRiskRegister322[[#This Row],[Asset Class]],tblInherentImpacts3046[],5,FALSE)</f>
        <v>3</v>
      </c>
      <c r="S14" s="24">
        <f>IFERROR(MAX(tblRiskRegister322[[#This Row],[Impact to Mission]:[Impact to Obligations]])*tblRiskRegister322[[#This Row],[Expectancy Score]],"")</f>
        <v>6</v>
      </c>
      <c r="T14" s="24">
        <f>tblRiskRegister322[[#This Row],[Risk Score]]</f>
        <v>6</v>
      </c>
      <c r="U14" s="13"/>
      <c r="V14" s="86">
        <v>1.4</v>
      </c>
      <c r="W14" s="15" t="s">
        <v>182</v>
      </c>
      <c r="X14" s="15" t="s">
        <v>336</v>
      </c>
      <c r="Y14" s="26"/>
      <c r="Z14" s="16"/>
      <c r="AA14" s="23" t="str">
        <f>IFERROR(VLOOKUP(10*tblRiskRegister322[[#This Row],[Risk Treatment Safeguard Maturity Score]]+tblRiskRegister322[[#This Row],[VCDB Index]],tblHITIndexWeightTable[],4,FALSE),"")</f>
        <v/>
      </c>
      <c r="AB14" s="108">
        <f>VLOOKUP(tblRiskRegister322[[#This Row],[Asset Class]],tblInherentImpacts3046[],2,FALSE)</f>
        <v>2</v>
      </c>
      <c r="AC14" s="108">
        <f>VLOOKUP(tblRiskRegister322[[#This Row],[Asset Class]],tblInherentImpacts3046[],3,FALSE)</f>
        <v>1</v>
      </c>
      <c r="AD14" s="108">
        <f>VLOOKUP(tblRiskRegister322[[#This Row],[Asset Class]],tblInherentImpacts3046[],4,FALSE)</f>
        <v>3</v>
      </c>
      <c r="AE14" s="108">
        <f>VLOOKUP(tblRiskRegister322[[#This Row],[Asset Class]],tblInherentImpacts3046[],5,FALSE)</f>
        <v>3</v>
      </c>
      <c r="AF14" s="23" t="str">
        <f>IFERROR(MAX(tblRiskRegister322[[#This Row],[Risk Treatment Safeguard Impact to Mission]:[Risk Treatment Safeguard Impact to Obligations]])*tblRiskRegister322[[#This Row],[Risk Treatment
Safeguard Expectancy Score]],"")</f>
        <v/>
      </c>
      <c r="AG14" s="23" t="str" cm="1">
        <f t="array" ref="AG14">IF(tblRiskRegister322[[#This Row],[Risk Score]]&gt;=AcceptableRisk1,IF(tblRiskRegister322[[#This Row],[Risk Treatment Safeguard Risk Score]]&lt;AcceptableRisk1, IF(tblRiskRegister322[[#This Row],[Risk Treatment Safeguard Risk Score]]&lt;tblRiskRegister322[[#This Row],[Risk Score]],"Yes","No"),"No"),"Yes")</f>
        <v>Yes</v>
      </c>
      <c r="AH14" s="17"/>
      <c r="AI14" s="17"/>
      <c r="AJ14" s="18"/>
      <c r="AL14" s="19">
        <f>SUMIF(tblRiskRegister322[[#All],[Implementation Year]],"="&amp;tblCostImpacts335[[#This Row],[Year]],tblRiskRegister322[[#All],[Risk Treatment Safeguard Cost]])</f>
        <v>0</v>
      </c>
      <c r="AM14" s="6">
        <v>2028</v>
      </c>
      <c r="AN14" s="6" t="str">
        <f>IF(tblCostImpacts335[[#This Row],[Impact to Financial Objectives]]&lt;='Enterprise Parameters -EXAMPLE'!$F$13,"Yes","No")</f>
        <v>Yes</v>
      </c>
    </row>
    <row r="15" spans="2:40" ht="70">
      <c r="B15" s="15" t="s">
        <v>527</v>
      </c>
      <c r="C15" s="15" t="s">
        <v>457</v>
      </c>
      <c r="D15" s="13">
        <v>2.1</v>
      </c>
      <c r="E15" s="14" t="s">
        <v>39</v>
      </c>
      <c r="F15" s="13" t="s">
        <v>429</v>
      </c>
      <c r="G15" s="13" t="s">
        <v>429</v>
      </c>
      <c r="H15" s="13" t="s">
        <v>521</v>
      </c>
      <c r="I15" s="14" t="s">
        <v>452</v>
      </c>
      <c r="J15" s="14" t="s">
        <v>510</v>
      </c>
      <c r="K15" s="14" t="s">
        <v>445</v>
      </c>
      <c r="L15" s="109">
        <v>3</v>
      </c>
      <c r="M15" s="24">
        <f>IFERROR(VLOOKUP(tblRiskRegister322[[#This Row],[Asset Class]],tblVCDBIndex[],4,FALSE),"")</f>
        <v>2</v>
      </c>
      <c r="N15" s="24">
        <f>IFERROR(VLOOKUP(10*tblRiskRegister322[[#This Row],[Safeguard Maturity Score]]+tblRiskRegister322[[#This Row],[VCDB Index]],tblHITIndexWeightTable[],4,FALSE),"")</f>
        <v>3</v>
      </c>
      <c r="O15" s="24">
        <f>VLOOKUP(tblRiskRegister322[[#This Row],[Asset Class]],tblInherentImpacts3046[],2,FALSE)</f>
        <v>4</v>
      </c>
      <c r="P15" s="24">
        <f>VLOOKUP(tblRiskRegister322[[#This Row],[Asset Class]],tblInherentImpacts3046[],3,FALSE)</f>
        <v>2</v>
      </c>
      <c r="Q15" s="24">
        <f>VLOOKUP(tblRiskRegister322[[#This Row],[Asset Class]],tblInherentImpacts3046[],4,FALSE)</f>
        <v>4</v>
      </c>
      <c r="R15" s="24">
        <f>VLOOKUP(tblRiskRegister322[[#This Row],[Asset Class]],tblInherentImpacts3046[],5,FALSE)</f>
        <v>4</v>
      </c>
      <c r="S15" s="24">
        <f>IFERROR(MAX(tblRiskRegister322[[#This Row],[Impact to Mission]:[Impact to Obligations]])*tblRiskRegister322[[#This Row],[Expectancy Score]],"")</f>
        <v>12</v>
      </c>
      <c r="T15" s="24">
        <f>tblRiskRegister322[[#This Row],[Risk Score]]</f>
        <v>12</v>
      </c>
      <c r="U15" s="13" t="s">
        <v>460</v>
      </c>
      <c r="V15" s="86">
        <v>2.1</v>
      </c>
      <c r="W15" s="15" t="s">
        <v>39</v>
      </c>
      <c r="X15" s="15" t="s">
        <v>533</v>
      </c>
      <c r="Y15" s="15" t="s">
        <v>503</v>
      </c>
      <c r="Z15" s="16">
        <v>5</v>
      </c>
      <c r="AA15" s="23">
        <f>IFERROR(VLOOKUP(10*tblRiskRegister322[[#This Row],[Risk Treatment Safeguard Maturity Score]]+tblRiskRegister322[[#This Row],[VCDB Index]],tblHITIndexWeightTable[],4,FALSE),"")</f>
        <v>1</v>
      </c>
      <c r="AB15" s="108">
        <f>VLOOKUP(tblRiskRegister322[[#This Row],[Asset Class]],tblInherentImpacts3046[],2,FALSE)</f>
        <v>4</v>
      </c>
      <c r="AC15" s="108">
        <f>VLOOKUP(tblRiskRegister322[[#This Row],[Asset Class]],tblInherentImpacts3046[],3,FALSE)</f>
        <v>2</v>
      </c>
      <c r="AD15" s="108">
        <f>VLOOKUP(tblRiskRegister322[[#This Row],[Asset Class]],tblInherentImpacts3046[],4,FALSE)</f>
        <v>4</v>
      </c>
      <c r="AE15" s="108">
        <f>VLOOKUP(tblRiskRegister322[[#This Row],[Asset Class]],tblInherentImpacts3046[],5,FALSE)</f>
        <v>4</v>
      </c>
      <c r="AF15" s="23">
        <f>IFERROR(MAX(tblRiskRegister322[[#This Row],[Risk Treatment Safeguard Impact to Mission]:[Risk Treatment Safeguard Impact to Obligations]])*tblRiskRegister322[[#This Row],[Risk Treatment
Safeguard Expectancy Score]],"")</f>
        <v>4</v>
      </c>
      <c r="AG15" s="23" t="str" cm="1">
        <f t="array" ref="AG15">IF(tblRiskRegister322[[#This Row],[Risk Score]]&gt;=AcceptableRisk1,IF(tblRiskRegister322[[#This Row],[Risk Treatment Safeguard Risk Score]]&lt;AcceptableRisk1, IF(tblRiskRegister322[[#This Row],[Risk Treatment Safeguard Risk Score]]&lt;tblRiskRegister322[[#This Row],[Risk Score]],"Yes","No"),"No"),"Yes")</f>
        <v>Yes</v>
      </c>
      <c r="AH15" s="17">
        <v>0</v>
      </c>
      <c r="AI15" s="17" t="s">
        <v>459</v>
      </c>
      <c r="AJ15" s="18">
        <v>2025</v>
      </c>
      <c r="AL15" s="19">
        <f>SUMIF(tblRiskRegister322[[#All],[Implementation Year]],"="&amp;tblCostImpacts335[[#This Row],[Year]],tblRiskRegister322[[#All],[Risk Treatment Safeguard Cost]])</f>
        <v>0</v>
      </c>
      <c r="AM15" s="6">
        <v>2029</v>
      </c>
      <c r="AN15" s="6" t="str">
        <f>IF(tblCostImpacts335[[#This Row],[Impact to Financial Objectives]]&lt;='Enterprise Parameters -EXAMPLE'!$F$13,"Yes","No")</f>
        <v>Yes</v>
      </c>
    </row>
    <row r="16" spans="2:40" ht="70">
      <c r="B16" s="15" t="s">
        <v>527</v>
      </c>
      <c r="C16" s="15"/>
      <c r="D16" s="86">
        <v>2.1</v>
      </c>
      <c r="E16" s="14" t="s">
        <v>39</v>
      </c>
      <c r="F16" s="13" t="s">
        <v>429</v>
      </c>
      <c r="G16" s="13" t="s">
        <v>429</v>
      </c>
      <c r="H16" s="13" t="s">
        <v>521</v>
      </c>
      <c r="I16" s="14" t="s">
        <v>517</v>
      </c>
      <c r="J16" s="14" t="s">
        <v>510</v>
      </c>
      <c r="K16" s="14" t="s">
        <v>445</v>
      </c>
      <c r="L16" s="16">
        <v>2</v>
      </c>
      <c r="M16" s="24">
        <f>IFERROR(VLOOKUP(tblRiskRegister322[[#This Row],[Asset Class]],tblVCDBIndex[],4,FALSE),"")</f>
        <v>2</v>
      </c>
      <c r="N16" s="24">
        <f>IFERROR(VLOOKUP(10*tblRiskRegister322[[#This Row],[Safeguard Maturity Score]]+tblRiskRegister322[[#This Row],[VCDB Index]],tblHITIndexWeightTable[],4,FALSE),"")</f>
        <v>3</v>
      </c>
      <c r="O16" s="24">
        <f>VLOOKUP(tblRiskRegister322[[#This Row],[Asset Class]],tblInherentImpacts3046[],2,FALSE)</f>
        <v>4</v>
      </c>
      <c r="P16" s="24">
        <f>VLOOKUP(tblRiskRegister322[[#This Row],[Asset Class]],tblInherentImpacts3046[],3,FALSE)</f>
        <v>2</v>
      </c>
      <c r="Q16" s="24">
        <f>VLOOKUP(tblRiskRegister322[[#This Row],[Asset Class]],tblInherentImpacts3046[],4,FALSE)</f>
        <v>4</v>
      </c>
      <c r="R16" s="24">
        <f>VLOOKUP(tblRiskRegister322[[#This Row],[Asset Class]],tblInherentImpacts3046[],5,FALSE)</f>
        <v>4</v>
      </c>
      <c r="S16" s="24">
        <f>IFERROR(MAX(tblRiskRegister322[[#This Row],[Impact to Mission]:[Impact to Obligations]])*tblRiskRegister322[[#This Row],[Expectancy Score]],"")</f>
        <v>12</v>
      </c>
      <c r="T16" s="24">
        <f>tblRiskRegister322[[#This Row],[Risk Score]]</f>
        <v>12</v>
      </c>
      <c r="U16" s="13" t="s">
        <v>460</v>
      </c>
      <c r="V16" s="86">
        <v>2.1</v>
      </c>
      <c r="W16" s="15" t="s">
        <v>39</v>
      </c>
      <c r="X16" s="15" t="s">
        <v>533</v>
      </c>
      <c r="Y16" s="15"/>
      <c r="Z16" s="16"/>
      <c r="AA16" s="23" t="str">
        <f>IFERROR(VLOOKUP(10*tblRiskRegister322[[#This Row],[Risk Treatment Safeguard Maturity Score]]+tblRiskRegister322[[#This Row],[VCDB Index]],tblHITIndexWeightTable[],4,FALSE),"")</f>
        <v/>
      </c>
      <c r="AB16" s="108">
        <f>VLOOKUP(tblRiskRegister322[[#This Row],[Asset Class]],tblInherentImpacts3046[],2,FALSE)</f>
        <v>4</v>
      </c>
      <c r="AC16" s="108">
        <f>VLOOKUP(tblRiskRegister322[[#This Row],[Asset Class]],tblInherentImpacts3046[],3,FALSE)</f>
        <v>2</v>
      </c>
      <c r="AD16" s="108">
        <f>VLOOKUP(tblRiskRegister322[[#This Row],[Asset Class]],tblInherentImpacts3046[],4,FALSE)</f>
        <v>4</v>
      </c>
      <c r="AE16" s="108">
        <f>VLOOKUP(tblRiskRegister322[[#This Row],[Asset Class]],tblInherentImpacts3046[],5,FALSE)</f>
        <v>4</v>
      </c>
      <c r="AF16" s="23" t="str">
        <f>IFERROR(MAX(tblRiskRegister322[[#This Row],[Risk Treatment Safeguard Impact to Mission]:[Risk Treatment Safeguard Impact to Obligations]])*tblRiskRegister322[[#This Row],[Risk Treatment
Safeguard Expectancy Score]],"")</f>
        <v/>
      </c>
      <c r="AG16" s="23" t="str" cm="1">
        <f t="array" ref="AG16">IF(tblRiskRegister322[[#This Row],[Risk Score]]&gt;=AcceptableRisk1,IF(tblRiskRegister322[[#This Row],[Risk Treatment Safeguard Risk Score]]&lt;AcceptableRisk1, IF(tblRiskRegister322[[#This Row],[Risk Treatment Safeguard Risk Score]]&lt;tblRiskRegister322[[#This Row],[Risk Score]],"Yes","No"),"No"),"Yes")</f>
        <v>No</v>
      </c>
      <c r="AH16" s="17"/>
      <c r="AI16" s="17"/>
      <c r="AJ16" s="18"/>
      <c r="AL16" s="19">
        <f>SUMIF(tblRiskRegister322[[#All],[Implementation Year]],"="&amp;tblCostImpacts335[[#This Row],[Year]],tblRiskRegister322[[#All],[Risk Treatment Safeguard Cost]])</f>
        <v>0</v>
      </c>
      <c r="AM16" s="6">
        <v>2030</v>
      </c>
      <c r="AN16" s="6" t="str">
        <f>IF(tblCostImpacts335[[#This Row],[Impact to Financial Objectives]]&lt;='Enterprise Parameters -EXAMPLE'!$F$13,"Yes","No")</f>
        <v>Yes</v>
      </c>
    </row>
    <row r="17" spans="2:40" ht="84">
      <c r="B17" s="15" t="s">
        <v>527</v>
      </c>
      <c r="C17" s="15" t="s">
        <v>457</v>
      </c>
      <c r="D17" s="13">
        <v>2.2000000000000002</v>
      </c>
      <c r="E17" s="14" t="s">
        <v>40</v>
      </c>
      <c r="F17" s="13" t="s">
        <v>429</v>
      </c>
      <c r="G17" s="13" t="s">
        <v>429</v>
      </c>
      <c r="H17" s="13" t="s">
        <v>521</v>
      </c>
      <c r="I17" s="14" t="s">
        <v>453</v>
      </c>
      <c r="J17" s="14" t="s">
        <v>510</v>
      </c>
      <c r="K17" s="14" t="s">
        <v>446</v>
      </c>
      <c r="L17" s="109">
        <v>5</v>
      </c>
      <c r="M17" s="24">
        <f>IFERROR(VLOOKUP(tblRiskRegister322[[#This Row],[Asset Class]],tblVCDBIndex[],4,FALSE),"")</f>
        <v>2</v>
      </c>
      <c r="N17" s="24">
        <f>IFERROR(VLOOKUP(10*tblRiskRegister322[[#This Row],[Safeguard Maturity Score]]+tblRiskRegister322[[#This Row],[VCDB Index]],tblHITIndexWeightTable[],4,FALSE),"")</f>
        <v>1</v>
      </c>
      <c r="O17" s="24">
        <f>VLOOKUP(tblRiskRegister322[[#This Row],[Asset Class]],tblInherentImpacts3046[],2,FALSE)</f>
        <v>4</v>
      </c>
      <c r="P17" s="24">
        <f>VLOOKUP(tblRiskRegister322[[#This Row],[Asset Class]],tblInherentImpacts3046[],3,FALSE)</f>
        <v>2</v>
      </c>
      <c r="Q17" s="24">
        <f>VLOOKUP(tblRiskRegister322[[#This Row],[Asset Class]],tblInherentImpacts3046[],4,FALSE)</f>
        <v>4</v>
      </c>
      <c r="R17" s="24">
        <f>VLOOKUP(tblRiskRegister322[[#This Row],[Asset Class]],tblInherentImpacts3046[],5,FALSE)</f>
        <v>4</v>
      </c>
      <c r="S17" s="24">
        <f>IFERROR(MAX(tblRiskRegister322[[#This Row],[Impact to Mission]:[Impact to Obligations]])*tblRiskRegister322[[#This Row],[Expectancy Score]],"")</f>
        <v>4</v>
      </c>
      <c r="T17" s="24">
        <f>tblRiskRegister322[[#This Row],[Risk Score]]</f>
        <v>4</v>
      </c>
      <c r="U17" s="13" t="s">
        <v>461</v>
      </c>
      <c r="V17" s="86">
        <v>2.2000000000000002</v>
      </c>
      <c r="W17" s="15" t="s">
        <v>40</v>
      </c>
      <c r="X17" s="15" t="s">
        <v>337</v>
      </c>
      <c r="Y17" s="15"/>
      <c r="Z17" s="16"/>
      <c r="AA17" s="23" t="str">
        <f>IFERROR(VLOOKUP(10*tblRiskRegister322[[#This Row],[Risk Treatment Safeguard Maturity Score]]+tblRiskRegister322[[#This Row],[VCDB Index]],tblHITIndexWeightTable[],4,FALSE),"")</f>
        <v/>
      </c>
      <c r="AB17" s="108">
        <f>VLOOKUP(tblRiskRegister322[[#This Row],[Asset Class]],tblInherentImpacts3046[],2,FALSE)</f>
        <v>4</v>
      </c>
      <c r="AC17" s="108">
        <f>VLOOKUP(tblRiskRegister322[[#This Row],[Asset Class]],tblInherentImpacts3046[],3,FALSE)</f>
        <v>2</v>
      </c>
      <c r="AD17" s="108">
        <f>VLOOKUP(tblRiskRegister322[[#This Row],[Asset Class]],tblInherentImpacts3046[],4,FALSE)</f>
        <v>4</v>
      </c>
      <c r="AE17" s="108">
        <f>VLOOKUP(tblRiskRegister322[[#This Row],[Asset Class]],tblInherentImpacts3046[],5,FALSE)</f>
        <v>4</v>
      </c>
      <c r="AF17" s="23" t="str">
        <f>IFERROR(MAX(tblRiskRegister322[[#This Row],[Risk Treatment Safeguard Impact to Mission]:[Risk Treatment Safeguard Impact to Obligations]])*tblRiskRegister322[[#This Row],[Risk Treatment
Safeguard Expectancy Score]],"")</f>
        <v/>
      </c>
      <c r="AG17" s="23" t="str" cm="1">
        <f t="array" ref="AG17">IF(tblRiskRegister322[[#This Row],[Risk Score]]&gt;=AcceptableRisk1,IF(tblRiskRegister322[[#This Row],[Risk Treatment Safeguard Risk Score]]&lt;AcceptableRisk1, IF(tblRiskRegister322[[#This Row],[Risk Treatment Safeguard Risk Score]]&lt;tblRiskRegister322[[#This Row],[Risk Score]],"Yes","No"),"No"),"Yes")</f>
        <v>Yes</v>
      </c>
      <c r="AH17" s="17"/>
      <c r="AI17" s="17"/>
      <c r="AJ17" s="18"/>
      <c r="AL17" s="19">
        <f>SUMIF(tblRiskRegister322[[#All],[Implementation Year]],"="&amp;tblCostImpacts335[[#This Row],[Year]],tblRiskRegister322[[#All],[Risk Treatment Safeguard Cost]])</f>
        <v>0</v>
      </c>
      <c r="AM17" s="6">
        <v>2031</v>
      </c>
      <c r="AN17" s="6" t="str">
        <f>IF(tblCostImpacts335[[#This Row],[Impact to Financial Objectives]]&lt;='Enterprise Parameters -EXAMPLE'!$F$13,"Yes","No")</f>
        <v>Yes</v>
      </c>
    </row>
    <row r="18" spans="2:40" ht="84">
      <c r="B18" s="15" t="s">
        <v>527</v>
      </c>
      <c r="C18" s="15"/>
      <c r="D18" s="13">
        <v>2.2000000000000002</v>
      </c>
      <c r="E18" s="14" t="s">
        <v>40</v>
      </c>
      <c r="F18" s="13" t="s">
        <v>429</v>
      </c>
      <c r="G18" s="13" t="s">
        <v>429</v>
      </c>
      <c r="H18" s="13" t="s">
        <v>521</v>
      </c>
      <c r="I18" s="14" t="s">
        <v>518</v>
      </c>
      <c r="J18" s="14" t="s">
        <v>510</v>
      </c>
      <c r="K18" s="14" t="s">
        <v>446</v>
      </c>
      <c r="L18" s="16">
        <v>2</v>
      </c>
      <c r="M18" s="24">
        <f>IFERROR(VLOOKUP(tblRiskRegister322[[#This Row],[Asset Class]],tblVCDBIndex[],4,FALSE),"")</f>
        <v>2</v>
      </c>
      <c r="N18" s="24">
        <f>IFERROR(VLOOKUP(10*tblRiskRegister322[[#This Row],[Safeguard Maturity Score]]+tblRiskRegister322[[#This Row],[VCDB Index]],tblHITIndexWeightTable[],4,FALSE),"")</f>
        <v>3</v>
      </c>
      <c r="O18" s="24">
        <f>VLOOKUP(tblRiskRegister322[[#This Row],[Asset Class]],tblInherentImpacts3046[],2,FALSE)</f>
        <v>4</v>
      </c>
      <c r="P18" s="24">
        <f>VLOOKUP(tblRiskRegister322[[#This Row],[Asset Class]],tblInherentImpacts3046[],3,FALSE)</f>
        <v>2</v>
      </c>
      <c r="Q18" s="24">
        <f>VLOOKUP(tblRiskRegister322[[#This Row],[Asset Class]],tblInherentImpacts3046[],4,FALSE)</f>
        <v>4</v>
      </c>
      <c r="R18" s="24">
        <f>VLOOKUP(tblRiskRegister322[[#This Row],[Asset Class]],tblInherentImpacts3046[],5,FALSE)</f>
        <v>4</v>
      </c>
      <c r="S18" s="24">
        <f>IFERROR(MAX(tblRiskRegister322[[#This Row],[Impact to Mission]:[Impact to Obligations]])*tblRiskRegister322[[#This Row],[Expectancy Score]],"")</f>
        <v>12</v>
      </c>
      <c r="T18" s="24">
        <f>tblRiskRegister322[[#This Row],[Risk Score]]</f>
        <v>12</v>
      </c>
      <c r="U18" s="13" t="s">
        <v>460</v>
      </c>
      <c r="V18" s="86">
        <v>2.2000000000000002</v>
      </c>
      <c r="W18" s="15" t="s">
        <v>40</v>
      </c>
      <c r="X18" s="15" t="s">
        <v>337</v>
      </c>
      <c r="Y18" s="26"/>
      <c r="Z18" s="16"/>
      <c r="AA18" s="23" t="str">
        <f>IFERROR(VLOOKUP(10*tblRiskRegister322[[#This Row],[Risk Treatment Safeguard Maturity Score]]+tblRiskRegister322[[#This Row],[VCDB Index]],tblHITIndexWeightTable[],4,FALSE),"")</f>
        <v/>
      </c>
      <c r="AB18" s="108">
        <f>VLOOKUP(tblRiskRegister322[[#This Row],[Asset Class]],tblInherentImpacts3046[],2,FALSE)</f>
        <v>4</v>
      </c>
      <c r="AC18" s="108">
        <f>VLOOKUP(tblRiskRegister322[[#This Row],[Asset Class]],tblInherentImpacts3046[],3,FALSE)</f>
        <v>2</v>
      </c>
      <c r="AD18" s="108">
        <f>VLOOKUP(tblRiskRegister322[[#This Row],[Asset Class]],tblInherentImpacts3046[],4,FALSE)</f>
        <v>4</v>
      </c>
      <c r="AE18" s="108">
        <f>VLOOKUP(tblRiskRegister322[[#This Row],[Asset Class]],tblInherentImpacts3046[],5,FALSE)</f>
        <v>4</v>
      </c>
      <c r="AF18" s="23" t="str">
        <f>IFERROR(MAX(tblRiskRegister322[[#This Row],[Risk Treatment Safeguard Impact to Mission]:[Risk Treatment Safeguard Impact to Obligations]])*tblRiskRegister322[[#This Row],[Risk Treatment
Safeguard Expectancy Score]],"")</f>
        <v/>
      </c>
      <c r="AG18" s="23" t="str" cm="1">
        <f t="array" ref="AG18">IF(tblRiskRegister322[[#This Row],[Risk Score]]&gt;=AcceptableRisk1,IF(tblRiskRegister322[[#This Row],[Risk Treatment Safeguard Risk Score]]&lt;AcceptableRisk1, IF(tblRiskRegister322[[#This Row],[Risk Treatment Safeguard Risk Score]]&lt;tblRiskRegister322[[#This Row],[Risk Score]],"Yes","No"),"No"),"Yes")</f>
        <v>No</v>
      </c>
      <c r="AH18" s="17"/>
      <c r="AI18" s="17"/>
      <c r="AJ18" s="18"/>
      <c r="AL18" s="19">
        <f>SUMIF(tblRiskRegister322[[#All],[Implementation Year]],"="&amp;tblCostImpacts335[[#This Row],[Year]],tblRiskRegister322[[#All],[Risk Treatment Safeguard Cost]])</f>
        <v>0</v>
      </c>
      <c r="AM18" s="6">
        <v>2032</v>
      </c>
      <c r="AN18" s="6" t="str">
        <f>IF(tblCostImpacts335[[#This Row],[Impact to Financial Objectives]]&lt;='Enterprise Parameters -EXAMPLE'!$F$13,"Yes","No")</f>
        <v>Yes</v>
      </c>
    </row>
    <row r="19" spans="2:40" ht="140">
      <c r="B19" s="15" t="s">
        <v>527</v>
      </c>
      <c r="C19" s="15" t="s">
        <v>457</v>
      </c>
      <c r="D19" s="13">
        <v>2.2999999999999998</v>
      </c>
      <c r="E19" s="14" t="s">
        <v>41</v>
      </c>
      <c r="F19" s="13" t="s">
        <v>429</v>
      </c>
      <c r="G19" s="13" t="s">
        <v>429</v>
      </c>
      <c r="H19" s="13" t="s">
        <v>522</v>
      </c>
      <c r="I19" s="14" t="s">
        <v>454</v>
      </c>
      <c r="J19" s="14" t="s">
        <v>511</v>
      </c>
      <c r="K19" s="14" t="s">
        <v>447</v>
      </c>
      <c r="L19" s="109">
        <v>4</v>
      </c>
      <c r="M19" s="24">
        <f>IFERROR(VLOOKUP(tblRiskRegister322[[#This Row],[Asset Class]],tblVCDBIndex[],4,FALSE),"")</f>
        <v>2</v>
      </c>
      <c r="N19" s="24">
        <f>IFERROR(VLOOKUP(10*tblRiskRegister322[[#This Row],[Safeguard Maturity Score]]+tblRiskRegister322[[#This Row],[VCDB Index]],tblHITIndexWeightTable[],4,FALSE),"")</f>
        <v>2</v>
      </c>
      <c r="O19" s="24">
        <f>VLOOKUP(tblRiskRegister322[[#This Row],[Asset Class]],tblInherentImpacts3046[],2,FALSE)</f>
        <v>4</v>
      </c>
      <c r="P19" s="24">
        <f>VLOOKUP(tblRiskRegister322[[#This Row],[Asset Class]],tblInherentImpacts3046[],3,FALSE)</f>
        <v>2</v>
      </c>
      <c r="Q19" s="24">
        <f>VLOOKUP(tblRiskRegister322[[#This Row],[Asset Class]],tblInherentImpacts3046[],4,FALSE)</f>
        <v>4</v>
      </c>
      <c r="R19" s="24">
        <f>VLOOKUP(tblRiskRegister322[[#This Row],[Asset Class]],tblInherentImpacts3046[],5,FALSE)</f>
        <v>4</v>
      </c>
      <c r="S19" s="24">
        <f>IFERROR(MAX(tblRiskRegister322[[#This Row],[Impact to Mission]:[Impact to Obligations]])*tblRiskRegister322[[#This Row],[Expectancy Score]],"")</f>
        <v>8</v>
      </c>
      <c r="T19" s="24">
        <f>tblRiskRegister322[[#This Row],[Risk Score]]</f>
        <v>8</v>
      </c>
      <c r="U19" s="13" t="s">
        <v>460</v>
      </c>
      <c r="V19" s="86">
        <v>2.2999999999999998</v>
      </c>
      <c r="W19" s="15" t="s">
        <v>41</v>
      </c>
      <c r="X19" s="15" t="s">
        <v>338</v>
      </c>
      <c r="Y19" s="15" t="s">
        <v>458</v>
      </c>
      <c r="Z19" s="16">
        <v>5</v>
      </c>
      <c r="AA19" s="23">
        <f>IFERROR(VLOOKUP(10*tblRiskRegister322[[#This Row],[Risk Treatment Safeguard Maturity Score]]+tblRiskRegister322[[#This Row],[VCDB Index]],tblHITIndexWeightTable[],4,FALSE),"")</f>
        <v>1</v>
      </c>
      <c r="AB19" s="108">
        <f>VLOOKUP(tblRiskRegister322[[#This Row],[Asset Class]],tblInherentImpacts3046[],2,FALSE)</f>
        <v>4</v>
      </c>
      <c r="AC19" s="108">
        <f>VLOOKUP(tblRiskRegister322[[#This Row],[Asset Class]],tblInherentImpacts3046[],3,FALSE)</f>
        <v>2</v>
      </c>
      <c r="AD19" s="108">
        <f>VLOOKUP(tblRiskRegister322[[#This Row],[Asset Class]],tblInherentImpacts3046[],4,FALSE)</f>
        <v>4</v>
      </c>
      <c r="AE19" s="108">
        <f>VLOOKUP(tblRiskRegister322[[#This Row],[Asset Class]],tblInherentImpacts3046[],5,FALSE)</f>
        <v>4</v>
      </c>
      <c r="AF19" s="23">
        <f>IFERROR(MAX(tblRiskRegister322[[#This Row],[Risk Treatment Safeguard Impact to Mission]:[Risk Treatment Safeguard Impact to Obligations]])*tblRiskRegister322[[#This Row],[Risk Treatment
Safeguard Expectancy Score]],"")</f>
        <v>4</v>
      </c>
      <c r="AG19" s="23" t="str" cm="1">
        <f t="array" ref="AG19">IF(tblRiskRegister322[[#This Row],[Risk Score]]&gt;=AcceptableRisk1,IF(tblRiskRegister322[[#This Row],[Risk Treatment Safeguard Risk Score]]&lt;AcceptableRisk1, IF(tblRiskRegister322[[#This Row],[Risk Treatment Safeguard Risk Score]]&lt;tblRiskRegister322[[#This Row],[Risk Score]],"Yes","No"),"No"),"Yes")</f>
        <v>Yes</v>
      </c>
      <c r="AH19" s="17">
        <v>0</v>
      </c>
      <c r="AI19" s="17" t="s">
        <v>459</v>
      </c>
      <c r="AJ19" s="18">
        <v>2025</v>
      </c>
      <c r="AL19" s="19">
        <f>SUMIF(tblRiskRegister322[[#All],[Implementation Year]],"="&amp;tblCostImpacts335[[#This Row],[Year]],tblRiskRegister322[[#All],[Risk Treatment Safeguard Cost]])</f>
        <v>0</v>
      </c>
      <c r="AM19" s="6">
        <v>2033</v>
      </c>
      <c r="AN19" s="6" t="str">
        <f>IF(tblCostImpacts335[[#This Row],[Impact to Financial Objectives]]&lt;='Enterprise Parameters -EXAMPLE'!$F$13,"Yes","No")</f>
        <v>Yes</v>
      </c>
    </row>
    <row r="20" spans="2:40" ht="56">
      <c r="B20" s="15" t="s">
        <v>527</v>
      </c>
      <c r="C20" s="15" t="s">
        <v>457</v>
      </c>
      <c r="D20" s="13">
        <v>2.4</v>
      </c>
      <c r="E20" s="14" t="s">
        <v>158</v>
      </c>
      <c r="F20" s="13"/>
      <c r="G20" s="13" t="s">
        <v>429</v>
      </c>
      <c r="H20" s="13" t="s">
        <v>524</v>
      </c>
      <c r="I20" s="14" t="s">
        <v>452</v>
      </c>
      <c r="J20" s="14" t="s">
        <v>510</v>
      </c>
      <c r="K20" s="14" t="s">
        <v>446</v>
      </c>
      <c r="L20" s="109">
        <v>5</v>
      </c>
      <c r="M20" s="24">
        <f>IFERROR(VLOOKUP(tblRiskRegister322[[#This Row],[Asset Class]],tblVCDBIndex[],4,FALSE),"")</f>
        <v>2</v>
      </c>
      <c r="N20" s="24">
        <f>IFERROR(VLOOKUP(10*tblRiskRegister322[[#This Row],[Safeguard Maturity Score]]+tblRiskRegister322[[#This Row],[VCDB Index]],tblHITIndexWeightTable[],4,FALSE),"")</f>
        <v>1</v>
      </c>
      <c r="O20" s="24">
        <f>VLOOKUP(tblRiskRegister322[[#This Row],[Asset Class]],tblInherentImpacts3046[],2,FALSE)</f>
        <v>4</v>
      </c>
      <c r="P20" s="24">
        <f>VLOOKUP(tblRiskRegister322[[#This Row],[Asset Class]],tblInherentImpacts3046[],3,FALSE)</f>
        <v>2</v>
      </c>
      <c r="Q20" s="24">
        <f>VLOOKUP(tblRiskRegister322[[#This Row],[Asset Class]],tblInherentImpacts3046[],4,FALSE)</f>
        <v>4</v>
      </c>
      <c r="R20" s="24">
        <f>VLOOKUP(tblRiskRegister322[[#This Row],[Asset Class]],tblInherentImpacts3046[],5,FALSE)</f>
        <v>4</v>
      </c>
      <c r="S20" s="24">
        <f>IFERROR(MAX(tblRiskRegister322[[#This Row],[Impact to Mission]:[Impact to Obligations]])*tblRiskRegister322[[#This Row],[Expectancy Score]],"")</f>
        <v>4</v>
      </c>
      <c r="T20" s="24">
        <f>tblRiskRegister322[[#This Row],[Risk Score]]</f>
        <v>4</v>
      </c>
      <c r="U20" s="13" t="s">
        <v>461</v>
      </c>
      <c r="V20" s="86">
        <v>2.4</v>
      </c>
      <c r="W20" s="15" t="s">
        <v>158</v>
      </c>
      <c r="X20" s="15" t="s">
        <v>339</v>
      </c>
      <c r="Y20" s="15"/>
      <c r="Z20" s="16"/>
      <c r="AA20" s="23" t="str">
        <f>IFERROR(VLOOKUP(10*tblRiskRegister322[[#This Row],[Risk Treatment Safeguard Maturity Score]]+tblRiskRegister322[[#This Row],[VCDB Index]],tblHITIndexWeightTable[],4,FALSE),"")</f>
        <v/>
      </c>
      <c r="AB20" s="108">
        <f>VLOOKUP(tblRiskRegister322[[#This Row],[Asset Class]],tblInherentImpacts3046[],2,FALSE)</f>
        <v>4</v>
      </c>
      <c r="AC20" s="108">
        <f>VLOOKUP(tblRiskRegister322[[#This Row],[Asset Class]],tblInherentImpacts3046[],3,FALSE)</f>
        <v>2</v>
      </c>
      <c r="AD20" s="108">
        <f>VLOOKUP(tblRiskRegister322[[#This Row],[Asset Class]],tblInherentImpacts3046[],4,FALSE)</f>
        <v>4</v>
      </c>
      <c r="AE20" s="108">
        <f>VLOOKUP(tblRiskRegister322[[#This Row],[Asset Class]],tblInherentImpacts3046[],5,FALSE)</f>
        <v>4</v>
      </c>
      <c r="AF20" s="23" t="str">
        <f>IFERROR(MAX(tblRiskRegister322[[#This Row],[Risk Treatment Safeguard Impact to Mission]:[Risk Treatment Safeguard Impact to Obligations]])*tblRiskRegister322[[#This Row],[Risk Treatment
Safeguard Expectancy Score]],"")</f>
        <v/>
      </c>
      <c r="AG20" s="23" t="str" cm="1">
        <f t="array" ref="AG20">IF(tblRiskRegister322[[#This Row],[Risk Score]]&gt;=AcceptableRisk1,IF(tblRiskRegister322[[#This Row],[Risk Treatment Safeguard Risk Score]]&lt;AcceptableRisk1, IF(tblRiskRegister322[[#This Row],[Risk Treatment Safeguard Risk Score]]&lt;tblRiskRegister322[[#This Row],[Risk Score]],"Yes","No"),"No"),"Yes")</f>
        <v>Yes</v>
      </c>
      <c r="AH20" s="17"/>
      <c r="AI20" s="17"/>
      <c r="AJ20" s="18"/>
      <c r="AL20" s="19">
        <f>SUMIF(tblRiskRegister322[[#All],[Implementation Year]],"="&amp;tblCostImpacts335[[#This Row],[Year]],tblRiskRegister322[[#All],[Risk Treatment Safeguard Cost]])</f>
        <v>0</v>
      </c>
      <c r="AM20" s="6">
        <v>2034</v>
      </c>
      <c r="AN20" s="6" t="str">
        <f>IF(tblCostImpacts335[[#This Row],[Impact to Financial Objectives]]&lt;='Enterprise Parameters -EXAMPLE'!$F$13,"Yes","No")</f>
        <v>Yes</v>
      </c>
    </row>
    <row r="21" spans="2:40" ht="70">
      <c r="B21" s="15" t="s">
        <v>527</v>
      </c>
      <c r="C21" s="15" t="s">
        <v>457</v>
      </c>
      <c r="D21" s="13">
        <v>2.5</v>
      </c>
      <c r="E21" s="14" t="s">
        <v>159</v>
      </c>
      <c r="F21" s="13"/>
      <c r="G21" s="13" t="s">
        <v>429</v>
      </c>
      <c r="H21" s="13" t="s">
        <v>523</v>
      </c>
      <c r="I21" s="14" t="s">
        <v>512</v>
      </c>
      <c r="J21" s="14" t="s">
        <v>513</v>
      </c>
      <c r="K21" s="14" t="s">
        <v>455</v>
      </c>
      <c r="L21" s="109">
        <v>4</v>
      </c>
      <c r="M21" s="24">
        <f>IFERROR(VLOOKUP(tblRiskRegister322[[#This Row],[Asset Class]],tblVCDBIndex[],4,FALSE),"")</f>
        <v>2</v>
      </c>
      <c r="N21" s="24">
        <f>IFERROR(VLOOKUP(10*tblRiskRegister322[[#This Row],[Safeguard Maturity Score]]+tblRiskRegister322[[#This Row],[VCDB Index]],tblHITIndexWeightTable[],4,FALSE),"")</f>
        <v>2</v>
      </c>
      <c r="O21" s="24">
        <f>VLOOKUP(tblRiskRegister322[[#This Row],[Asset Class]],tblInherentImpacts3046[],2,FALSE)</f>
        <v>4</v>
      </c>
      <c r="P21" s="24">
        <f>VLOOKUP(tblRiskRegister322[[#This Row],[Asset Class]],tblInherentImpacts3046[],3,FALSE)</f>
        <v>2</v>
      </c>
      <c r="Q21" s="24">
        <f>VLOOKUP(tblRiskRegister322[[#This Row],[Asset Class]],tblInherentImpacts3046[],4,FALSE)</f>
        <v>4</v>
      </c>
      <c r="R21" s="24">
        <f>VLOOKUP(tblRiskRegister322[[#This Row],[Asset Class]],tblInherentImpacts3046[],5,FALSE)</f>
        <v>4</v>
      </c>
      <c r="S21" s="24">
        <f>IFERROR(MAX(tblRiskRegister322[[#This Row],[Impact to Mission]:[Impact to Obligations]])*tblRiskRegister322[[#This Row],[Expectancy Score]],"")</f>
        <v>8</v>
      </c>
      <c r="T21" s="24">
        <f>tblRiskRegister322[[#This Row],[Risk Score]]</f>
        <v>8</v>
      </c>
      <c r="U21" s="13" t="s">
        <v>460</v>
      </c>
      <c r="V21" s="86">
        <v>2.5</v>
      </c>
      <c r="W21" s="15" t="s">
        <v>159</v>
      </c>
      <c r="X21" s="15" t="s">
        <v>340</v>
      </c>
      <c r="Y21" s="15"/>
      <c r="Z21" s="16"/>
      <c r="AA21" s="23" t="str">
        <f>IFERROR(VLOOKUP(10*tblRiskRegister322[[#This Row],[Risk Treatment Safeguard Maturity Score]]+tblRiskRegister322[[#This Row],[VCDB Index]],tblHITIndexWeightTable[],4,FALSE),"")</f>
        <v/>
      </c>
      <c r="AB21" s="108">
        <f>VLOOKUP(tblRiskRegister322[[#This Row],[Asset Class]],tblInherentImpacts3046[],2,FALSE)</f>
        <v>4</v>
      </c>
      <c r="AC21" s="108">
        <f>VLOOKUP(tblRiskRegister322[[#This Row],[Asset Class]],tblInherentImpacts3046[],3,FALSE)</f>
        <v>2</v>
      </c>
      <c r="AD21" s="108">
        <f>VLOOKUP(tblRiskRegister322[[#This Row],[Asset Class]],tblInherentImpacts3046[],4,FALSE)</f>
        <v>4</v>
      </c>
      <c r="AE21" s="108">
        <f>VLOOKUP(tblRiskRegister322[[#This Row],[Asset Class]],tblInherentImpacts3046[],5,FALSE)</f>
        <v>4</v>
      </c>
      <c r="AF21" s="23" t="str">
        <f>IFERROR(MAX(tblRiskRegister322[[#This Row],[Risk Treatment Safeguard Impact to Mission]:[Risk Treatment Safeguard Impact to Obligations]])*tblRiskRegister322[[#This Row],[Risk Treatment
Safeguard Expectancy Score]],"")</f>
        <v/>
      </c>
      <c r="AG21" s="23" t="str" cm="1">
        <f t="array" ref="AG21">IF(tblRiskRegister322[[#This Row],[Risk Score]]&gt;=AcceptableRisk1,IF(tblRiskRegister322[[#This Row],[Risk Treatment Safeguard Risk Score]]&lt;AcceptableRisk1, IF(tblRiskRegister322[[#This Row],[Risk Treatment Safeguard Risk Score]]&lt;tblRiskRegister322[[#This Row],[Risk Score]],"Yes","No"),"No"),"Yes")</f>
        <v>Yes</v>
      </c>
      <c r="AH21" s="17"/>
      <c r="AI21" s="17"/>
      <c r="AJ21" s="18"/>
    </row>
    <row r="22" spans="2:40" ht="70">
      <c r="B22" s="15" t="s">
        <v>527</v>
      </c>
      <c r="C22" s="15" t="s">
        <v>457</v>
      </c>
      <c r="D22" s="13">
        <v>2.6</v>
      </c>
      <c r="E22" s="14" t="s">
        <v>160</v>
      </c>
      <c r="F22" s="13"/>
      <c r="G22" s="13" t="s">
        <v>429</v>
      </c>
      <c r="H22" s="13" t="s">
        <v>523</v>
      </c>
      <c r="I22" s="14" t="s">
        <v>456</v>
      </c>
      <c r="J22" s="14" t="s">
        <v>513</v>
      </c>
      <c r="K22" s="14" t="s">
        <v>455</v>
      </c>
      <c r="L22" s="109">
        <v>5</v>
      </c>
      <c r="M22" s="24">
        <f>IFERROR(VLOOKUP(tblRiskRegister322[[#This Row],[Asset Class]],tblVCDBIndex[],4,FALSE),"")</f>
        <v>2</v>
      </c>
      <c r="N22" s="24">
        <f>IFERROR(VLOOKUP(10*tblRiskRegister322[[#This Row],[Safeguard Maturity Score]]+tblRiskRegister322[[#This Row],[VCDB Index]],tblHITIndexWeightTable[],4,FALSE),"")</f>
        <v>1</v>
      </c>
      <c r="O22" s="24">
        <f>VLOOKUP(tblRiskRegister322[[#This Row],[Asset Class]],tblInherentImpacts3046[],2,FALSE)</f>
        <v>4</v>
      </c>
      <c r="P22" s="24">
        <f>VLOOKUP(tblRiskRegister322[[#This Row],[Asset Class]],tblInherentImpacts3046[],3,FALSE)</f>
        <v>2</v>
      </c>
      <c r="Q22" s="24">
        <f>VLOOKUP(tblRiskRegister322[[#This Row],[Asset Class]],tblInherentImpacts3046[],4,FALSE)</f>
        <v>4</v>
      </c>
      <c r="R22" s="24">
        <f>VLOOKUP(tblRiskRegister322[[#This Row],[Asset Class]],tblInherentImpacts3046[],5,FALSE)</f>
        <v>4</v>
      </c>
      <c r="S22" s="24">
        <f>IFERROR(MAX(tblRiskRegister322[[#This Row],[Impact to Mission]:[Impact to Obligations]])*tblRiskRegister322[[#This Row],[Expectancy Score]],"")</f>
        <v>4</v>
      </c>
      <c r="T22" s="24">
        <f>tblRiskRegister322[[#This Row],[Risk Score]]</f>
        <v>4</v>
      </c>
      <c r="U22" s="13" t="s">
        <v>461</v>
      </c>
      <c r="V22" s="86">
        <v>2.6</v>
      </c>
      <c r="W22" s="15" t="s">
        <v>160</v>
      </c>
      <c r="X22" s="15" t="s">
        <v>534</v>
      </c>
      <c r="Y22" s="15"/>
      <c r="Z22" s="16"/>
      <c r="AA22" s="23" t="str">
        <f>IFERROR(VLOOKUP(10*tblRiskRegister322[[#This Row],[Risk Treatment Safeguard Maturity Score]]+tblRiskRegister322[[#This Row],[VCDB Index]],tblHITIndexWeightTable[],4,FALSE),"")</f>
        <v/>
      </c>
      <c r="AB22" s="108">
        <f>VLOOKUP(tblRiskRegister322[[#This Row],[Asset Class]],tblInherentImpacts3046[],2,FALSE)</f>
        <v>4</v>
      </c>
      <c r="AC22" s="108">
        <f>VLOOKUP(tblRiskRegister322[[#This Row],[Asset Class]],tblInherentImpacts3046[],3,FALSE)</f>
        <v>2</v>
      </c>
      <c r="AD22" s="108">
        <f>VLOOKUP(tblRiskRegister322[[#This Row],[Asset Class]],tblInherentImpacts3046[],4,FALSE)</f>
        <v>4</v>
      </c>
      <c r="AE22" s="108">
        <f>VLOOKUP(tblRiskRegister322[[#This Row],[Asset Class]],tblInherentImpacts3046[],5,FALSE)</f>
        <v>4</v>
      </c>
      <c r="AF22" s="23" t="str">
        <f>IFERROR(MAX(tblRiskRegister322[[#This Row],[Risk Treatment Safeguard Impact to Mission]:[Risk Treatment Safeguard Impact to Obligations]])*tblRiskRegister322[[#This Row],[Risk Treatment
Safeguard Expectancy Score]],"")</f>
        <v/>
      </c>
      <c r="AG22" s="23" t="str" cm="1">
        <f t="array" ref="AG22">IF(tblRiskRegister322[[#This Row],[Risk Score]]&gt;=AcceptableRisk1,IF(tblRiskRegister322[[#This Row],[Risk Treatment Safeguard Risk Score]]&lt;AcceptableRisk1, IF(tblRiskRegister322[[#This Row],[Risk Treatment Safeguard Risk Score]]&lt;tblRiskRegister322[[#This Row],[Risk Score]],"Yes","No"),"No"),"Yes")</f>
        <v>Yes</v>
      </c>
      <c r="AH22" s="17"/>
      <c r="AI22" s="17"/>
      <c r="AJ22" s="18"/>
    </row>
    <row r="23" spans="2:40" ht="56">
      <c r="B23" s="15" t="s">
        <v>90</v>
      </c>
      <c r="C23" s="15"/>
      <c r="D23" s="13">
        <v>3.1</v>
      </c>
      <c r="E23" s="14" t="s">
        <v>42</v>
      </c>
      <c r="F23" s="13" t="s">
        <v>429</v>
      </c>
      <c r="G23" s="13" t="s">
        <v>429</v>
      </c>
      <c r="H23" s="13" t="s">
        <v>532</v>
      </c>
      <c r="I23" s="14"/>
      <c r="J23" s="14"/>
      <c r="K23" s="14"/>
      <c r="L23" s="109">
        <v>2</v>
      </c>
      <c r="M23" s="24">
        <f>IFERROR(VLOOKUP(tblRiskRegister322[[#This Row],[Asset Class]],tblVCDBIndex[],4,FALSE),"")</f>
        <v>2</v>
      </c>
      <c r="N23" s="24">
        <f>IFERROR(VLOOKUP(10*tblRiskRegister322[[#This Row],[Safeguard Maturity Score]]+tblRiskRegister322[[#This Row],[VCDB Index]],tblHITIndexWeightTable[],4,FALSE),"")</f>
        <v>3</v>
      </c>
      <c r="O23" s="24">
        <f>VLOOKUP(tblRiskRegister322[[#This Row],[Asset Class]],tblInherentImpacts3046[],2,FALSE)</f>
        <v>3</v>
      </c>
      <c r="P23" s="24">
        <f>VLOOKUP(tblRiskRegister322[[#This Row],[Asset Class]],tblInherentImpacts3046[],3,FALSE)</f>
        <v>4</v>
      </c>
      <c r="Q23" s="24">
        <f>VLOOKUP(tblRiskRegister322[[#This Row],[Asset Class]],tblInherentImpacts3046[],4,FALSE)</f>
        <v>5</v>
      </c>
      <c r="R23" s="24">
        <f>VLOOKUP(tblRiskRegister322[[#This Row],[Asset Class]],tblInherentImpacts3046[],5,FALSE)</f>
        <v>4</v>
      </c>
      <c r="S23" s="24">
        <f>IFERROR(MAX(tblRiskRegister322[[#This Row],[Impact to Mission]:[Impact to Obligations]])*tblRiskRegister322[[#This Row],[Expectancy Score]],"")</f>
        <v>15</v>
      </c>
      <c r="T23" s="24">
        <f>tblRiskRegister322[[#This Row],[Risk Score]]</f>
        <v>15</v>
      </c>
      <c r="U23" s="13"/>
      <c r="V23" s="86">
        <v>3.1</v>
      </c>
      <c r="W23" s="15" t="s">
        <v>42</v>
      </c>
      <c r="X23" s="15" t="s">
        <v>535</v>
      </c>
      <c r="Y23" s="15"/>
      <c r="Z23" s="16"/>
      <c r="AA23" s="23" t="str">
        <f>IFERROR(VLOOKUP(10*tblRiskRegister322[[#This Row],[Risk Treatment Safeguard Maturity Score]]+tblRiskRegister322[[#This Row],[VCDB Index]],tblHITIndexWeightTable[],4,FALSE),"")</f>
        <v/>
      </c>
      <c r="AB23" s="108">
        <f>VLOOKUP(tblRiskRegister322[[#This Row],[Asset Class]],tblInherentImpacts3046[],2,FALSE)</f>
        <v>3</v>
      </c>
      <c r="AC23" s="108">
        <f>VLOOKUP(tblRiskRegister322[[#This Row],[Asset Class]],tblInherentImpacts3046[],3,FALSE)</f>
        <v>4</v>
      </c>
      <c r="AD23" s="108">
        <f>VLOOKUP(tblRiskRegister322[[#This Row],[Asset Class]],tblInherentImpacts3046[],4,FALSE)</f>
        <v>5</v>
      </c>
      <c r="AE23" s="108">
        <f>VLOOKUP(tblRiskRegister322[[#This Row],[Asset Class]],tblInherentImpacts3046[],5,FALSE)</f>
        <v>4</v>
      </c>
      <c r="AF23" s="23" t="str">
        <f>IFERROR(MAX(tblRiskRegister322[[#This Row],[Risk Treatment Safeguard Impact to Mission]:[Risk Treatment Safeguard Impact to Obligations]])*tblRiskRegister322[[#This Row],[Risk Treatment
Safeguard Expectancy Score]],"")</f>
        <v/>
      </c>
      <c r="AG23" s="23" t="str" cm="1">
        <f t="array" ref="AG23">IF(tblRiskRegister322[[#This Row],[Risk Score]]&gt;=AcceptableRisk1,IF(tblRiskRegister322[[#This Row],[Risk Treatment Safeguard Risk Score]]&lt;AcceptableRisk1, IF(tblRiskRegister322[[#This Row],[Risk Treatment Safeguard Risk Score]]&lt;tblRiskRegister322[[#This Row],[Risk Score]],"Yes","No"),"No"),"Yes")</f>
        <v>No</v>
      </c>
      <c r="AH23" s="17"/>
      <c r="AI23" s="17"/>
      <c r="AJ23" s="18"/>
    </row>
    <row r="24" spans="2:40" ht="42">
      <c r="B24" s="15" t="s">
        <v>90</v>
      </c>
      <c r="C24" s="15"/>
      <c r="D24" s="13">
        <v>3.2</v>
      </c>
      <c r="E24" s="14" t="s">
        <v>43</v>
      </c>
      <c r="F24" s="13" t="s">
        <v>429</v>
      </c>
      <c r="G24" s="13" t="s">
        <v>429</v>
      </c>
      <c r="H24" s="13" t="s">
        <v>521</v>
      </c>
      <c r="I24" s="14"/>
      <c r="J24" s="14"/>
      <c r="K24" s="14"/>
      <c r="L24" s="109">
        <v>2</v>
      </c>
      <c r="M24" s="24">
        <f>IFERROR(VLOOKUP(tblRiskRegister322[[#This Row],[Asset Class]],tblVCDBIndex[],4,FALSE),"")</f>
        <v>2</v>
      </c>
      <c r="N24" s="24">
        <f>IFERROR(VLOOKUP(10*tblRiskRegister322[[#This Row],[Safeguard Maturity Score]]+tblRiskRegister322[[#This Row],[VCDB Index]],tblHITIndexWeightTable[],4,FALSE),"")</f>
        <v>3</v>
      </c>
      <c r="O24" s="24">
        <f>VLOOKUP(tblRiskRegister322[[#This Row],[Asset Class]],tblInherentImpacts3046[],2,FALSE)</f>
        <v>3</v>
      </c>
      <c r="P24" s="24">
        <f>VLOOKUP(tblRiskRegister322[[#This Row],[Asset Class]],tblInherentImpacts3046[],3,FALSE)</f>
        <v>4</v>
      </c>
      <c r="Q24" s="24">
        <f>VLOOKUP(tblRiskRegister322[[#This Row],[Asset Class]],tblInherentImpacts3046[],4,FALSE)</f>
        <v>5</v>
      </c>
      <c r="R24" s="24">
        <f>VLOOKUP(tblRiskRegister322[[#This Row],[Asset Class]],tblInherentImpacts3046[],5,FALSE)</f>
        <v>4</v>
      </c>
      <c r="S24" s="24">
        <f>IFERROR(MAX(tblRiskRegister322[[#This Row],[Impact to Mission]:[Impact to Obligations]])*tblRiskRegister322[[#This Row],[Expectancy Score]],"")</f>
        <v>15</v>
      </c>
      <c r="T24" s="24">
        <f>tblRiskRegister322[[#This Row],[Risk Score]]</f>
        <v>15</v>
      </c>
      <c r="U24" s="13"/>
      <c r="V24" s="86">
        <v>3.2</v>
      </c>
      <c r="W24" s="15" t="s">
        <v>43</v>
      </c>
      <c r="X24" s="15" t="s">
        <v>536</v>
      </c>
      <c r="Y24" s="15"/>
      <c r="Z24" s="16"/>
      <c r="AA24" s="23" t="str">
        <f>IFERROR(VLOOKUP(10*tblRiskRegister322[[#This Row],[Risk Treatment Safeguard Maturity Score]]+tblRiskRegister322[[#This Row],[VCDB Index]],tblHITIndexWeightTable[],4,FALSE),"")</f>
        <v/>
      </c>
      <c r="AB24" s="108">
        <f>VLOOKUP(tblRiskRegister322[[#This Row],[Asset Class]],tblInherentImpacts3046[],2,FALSE)</f>
        <v>3</v>
      </c>
      <c r="AC24" s="108">
        <f>VLOOKUP(tblRiskRegister322[[#This Row],[Asset Class]],tblInherentImpacts3046[],3,FALSE)</f>
        <v>4</v>
      </c>
      <c r="AD24" s="108">
        <f>VLOOKUP(tblRiskRegister322[[#This Row],[Asset Class]],tblInherentImpacts3046[],4,FALSE)</f>
        <v>5</v>
      </c>
      <c r="AE24" s="108">
        <f>VLOOKUP(tblRiskRegister322[[#This Row],[Asset Class]],tblInherentImpacts3046[],5,FALSE)</f>
        <v>4</v>
      </c>
      <c r="AF24" s="23" t="str">
        <f>IFERROR(MAX(tblRiskRegister322[[#This Row],[Risk Treatment Safeguard Impact to Mission]:[Risk Treatment Safeguard Impact to Obligations]])*tblRiskRegister322[[#This Row],[Risk Treatment
Safeguard Expectancy Score]],"")</f>
        <v/>
      </c>
      <c r="AG24" s="23" t="str" cm="1">
        <f t="array" ref="AG24">IF(tblRiskRegister322[[#This Row],[Risk Score]]&gt;=AcceptableRisk1,IF(tblRiskRegister322[[#This Row],[Risk Treatment Safeguard Risk Score]]&lt;AcceptableRisk1, IF(tblRiskRegister322[[#This Row],[Risk Treatment Safeguard Risk Score]]&lt;tblRiskRegister322[[#This Row],[Risk Score]],"Yes","No"),"No"),"Yes")</f>
        <v>No</v>
      </c>
      <c r="AH24" s="17"/>
      <c r="AI24" s="17"/>
      <c r="AJ24" s="18"/>
    </row>
    <row r="25" spans="2:40" ht="42">
      <c r="B25" s="15" t="s">
        <v>90</v>
      </c>
      <c r="C25" s="15"/>
      <c r="D25" s="13">
        <v>3.3</v>
      </c>
      <c r="E25" s="14" t="s">
        <v>44</v>
      </c>
      <c r="F25" s="13" t="s">
        <v>429</v>
      </c>
      <c r="G25" s="13" t="s">
        <v>429</v>
      </c>
      <c r="H25" s="13" t="s">
        <v>523</v>
      </c>
      <c r="I25" s="14"/>
      <c r="J25" s="14"/>
      <c r="K25" s="14"/>
      <c r="L25" s="109">
        <v>1</v>
      </c>
      <c r="M25" s="24">
        <f>IFERROR(VLOOKUP(tblRiskRegister322[[#This Row],[Asset Class]],tblVCDBIndex[],4,FALSE),"")</f>
        <v>2</v>
      </c>
      <c r="N25" s="24">
        <f>IFERROR(VLOOKUP(10*tblRiskRegister322[[#This Row],[Safeguard Maturity Score]]+tblRiskRegister322[[#This Row],[VCDB Index]],tblHITIndexWeightTable[],4,FALSE),"")</f>
        <v>5</v>
      </c>
      <c r="O25" s="24">
        <f>VLOOKUP(tblRiskRegister322[[#This Row],[Asset Class]],tblInherentImpacts3046[],2,FALSE)</f>
        <v>3</v>
      </c>
      <c r="P25" s="24">
        <f>VLOOKUP(tblRiskRegister322[[#This Row],[Asset Class]],tblInherentImpacts3046[],3,FALSE)</f>
        <v>4</v>
      </c>
      <c r="Q25" s="24">
        <f>VLOOKUP(tblRiskRegister322[[#This Row],[Asset Class]],tblInherentImpacts3046[],4,FALSE)</f>
        <v>5</v>
      </c>
      <c r="R25" s="24">
        <f>VLOOKUP(tblRiskRegister322[[#This Row],[Asset Class]],tblInherentImpacts3046[],5,FALSE)</f>
        <v>4</v>
      </c>
      <c r="S25" s="24">
        <f>IFERROR(MAX(tblRiskRegister322[[#This Row],[Impact to Mission]:[Impact to Obligations]])*tblRiskRegister322[[#This Row],[Expectancy Score]],"")</f>
        <v>25</v>
      </c>
      <c r="T25" s="24">
        <f>tblRiskRegister322[[#This Row],[Risk Score]]</f>
        <v>25</v>
      </c>
      <c r="U25" s="13"/>
      <c r="V25" s="86">
        <v>3.3</v>
      </c>
      <c r="W25" s="15" t="s">
        <v>44</v>
      </c>
      <c r="X25" s="15" t="s">
        <v>341</v>
      </c>
      <c r="Y25" s="15"/>
      <c r="Z25" s="16"/>
      <c r="AA25" s="23" t="str">
        <f>IFERROR(VLOOKUP(10*tblRiskRegister322[[#This Row],[Risk Treatment Safeguard Maturity Score]]+tblRiskRegister322[[#This Row],[VCDB Index]],tblHITIndexWeightTable[],4,FALSE),"")</f>
        <v/>
      </c>
      <c r="AB25" s="108">
        <f>VLOOKUP(tblRiskRegister322[[#This Row],[Asset Class]],tblInherentImpacts3046[],2,FALSE)</f>
        <v>3</v>
      </c>
      <c r="AC25" s="108">
        <f>VLOOKUP(tblRiskRegister322[[#This Row],[Asset Class]],tblInherentImpacts3046[],3,FALSE)</f>
        <v>4</v>
      </c>
      <c r="AD25" s="108">
        <f>VLOOKUP(tblRiskRegister322[[#This Row],[Asset Class]],tblInherentImpacts3046[],4,FALSE)</f>
        <v>5</v>
      </c>
      <c r="AE25" s="108">
        <f>VLOOKUP(tblRiskRegister322[[#This Row],[Asset Class]],tblInherentImpacts3046[],5,FALSE)</f>
        <v>4</v>
      </c>
      <c r="AF25" s="23" t="str">
        <f>IFERROR(MAX(tblRiskRegister322[[#This Row],[Risk Treatment Safeguard Impact to Mission]:[Risk Treatment Safeguard Impact to Obligations]])*tblRiskRegister322[[#This Row],[Risk Treatment
Safeguard Expectancy Score]],"")</f>
        <v/>
      </c>
      <c r="AG25" s="23" t="str" cm="1">
        <f t="array" ref="AG25">IF(tblRiskRegister322[[#This Row],[Risk Score]]&gt;=AcceptableRisk1,IF(tblRiskRegister322[[#This Row],[Risk Treatment Safeguard Risk Score]]&lt;AcceptableRisk1, IF(tblRiskRegister322[[#This Row],[Risk Treatment Safeguard Risk Score]]&lt;tblRiskRegister322[[#This Row],[Risk Score]],"Yes","No"),"No"),"Yes")</f>
        <v>No</v>
      </c>
      <c r="AH25" s="17"/>
      <c r="AI25" s="17"/>
      <c r="AJ25" s="18"/>
    </row>
    <row r="26" spans="2:40" ht="28">
      <c r="B26" s="15" t="s">
        <v>90</v>
      </c>
      <c r="C26" s="15"/>
      <c r="D26" s="13">
        <v>3.4</v>
      </c>
      <c r="E26" s="14" t="s">
        <v>45</v>
      </c>
      <c r="F26" s="13" t="s">
        <v>429</v>
      </c>
      <c r="G26" s="13" t="s">
        <v>429</v>
      </c>
      <c r="H26" s="13" t="s">
        <v>523</v>
      </c>
      <c r="I26" s="14"/>
      <c r="J26" s="14"/>
      <c r="K26" s="14"/>
      <c r="L26" s="109">
        <v>2</v>
      </c>
      <c r="M26" s="24">
        <f>IFERROR(VLOOKUP(tblRiskRegister322[[#This Row],[Asset Class]],tblVCDBIndex[],4,FALSE),"")</f>
        <v>2</v>
      </c>
      <c r="N26" s="24">
        <f>IFERROR(VLOOKUP(10*tblRiskRegister322[[#This Row],[Safeguard Maturity Score]]+tblRiskRegister322[[#This Row],[VCDB Index]],tblHITIndexWeightTable[],4,FALSE),"")</f>
        <v>3</v>
      </c>
      <c r="O26" s="24">
        <f>VLOOKUP(tblRiskRegister322[[#This Row],[Asset Class]],tblInherentImpacts3046[],2,FALSE)</f>
        <v>3</v>
      </c>
      <c r="P26" s="24">
        <f>VLOOKUP(tblRiskRegister322[[#This Row],[Asset Class]],tblInherentImpacts3046[],3,FALSE)</f>
        <v>4</v>
      </c>
      <c r="Q26" s="24">
        <f>VLOOKUP(tblRiskRegister322[[#This Row],[Asset Class]],tblInherentImpacts3046[],4,FALSE)</f>
        <v>5</v>
      </c>
      <c r="R26" s="24">
        <f>VLOOKUP(tblRiskRegister322[[#This Row],[Asset Class]],tblInherentImpacts3046[],5,FALSE)</f>
        <v>4</v>
      </c>
      <c r="S26" s="24">
        <f>IFERROR(MAX(tblRiskRegister322[[#This Row],[Impact to Mission]:[Impact to Obligations]])*tblRiskRegister322[[#This Row],[Expectancy Score]],"")</f>
        <v>15</v>
      </c>
      <c r="T26" s="24">
        <f>tblRiskRegister322[[#This Row],[Risk Score]]</f>
        <v>15</v>
      </c>
      <c r="U26" s="13"/>
      <c r="V26" s="86">
        <v>3.4</v>
      </c>
      <c r="W26" s="15" t="s">
        <v>45</v>
      </c>
      <c r="X26" s="15" t="s">
        <v>537</v>
      </c>
      <c r="Y26" s="15"/>
      <c r="Z26" s="16"/>
      <c r="AA26" s="23" t="str">
        <f>IFERROR(VLOOKUP(10*tblRiskRegister322[[#This Row],[Risk Treatment Safeguard Maturity Score]]+tblRiskRegister322[[#This Row],[VCDB Index]],tblHITIndexWeightTable[],4,FALSE),"")</f>
        <v/>
      </c>
      <c r="AB26" s="108">
        <f>VLOOKUP(tblRiskRegister322[[#This Row],[Asset Class]],tblInherentImpacts3046[],2,FALSE)</f>
        <v>3</v>
      </c>
      <c r="AC26" s="108">
        <f>VLOOKUP(tblRiskRegister322[[#This Row],[Asset Class]],tblInherentImpacts3046[],3,FALSE)</f>
        <v>4</v>
      </c>
      <c r="AD26" s="108">
        <f>VLOOKUP(tblRiskRegister322[[#This Row],[Asset Class]],tblInherentImpacts3046[],4,FALSE)</f>
        <v>5</v>
      </c>
      <c r="AE26" s="108">
        <f>VLOOKUP(tblRiskRegister322[[#This Row],[Asset Class]],tblInherentImpacts3046[],5,FALSE)</f>
        <v>4</v>
      </c>
      <c r="AF26" s="23" t="str">
        <f>IFERROR(MAX(tblRiskRegister322[[#This Row],[Risk Treatment Safeguard Impact to Mission]:[Risk Treatment Safeguard Impact to Obligations]])*tblRiskRegister322[[#This Row],[Risk Treatment
Safeguard Expectancy Score]],"")</f>
        <v/>
      </c>
      <c r="AG26" s="23" t="str" cm="1">
        <f t="array" ref="AG26">IF(tblRiskRegister322[[#This Row],[Risk Score]]&gt;=AcceptableRisk1,IF(tblRiskRegister322[[#This Row],[Risk Treatment Safeguard Risk Score]]&lt;AcceptableRisk1, IF(tblRiskRegister322[[#This Row],[Risk Treatment Safeguard Risk Score]]&lt;tblRiskRegister322[[#This Row],[Risk Score]],"Yes","No"),"No"),"Yes")</f>
        <v>No</v>
      </c>
      <c r="AH26" s="17"/>
      <c r="AI26" s="17"/>
      <c r="AJ26" s="18"/>
    </row>
    <row r="27" spans="2:40" ht="28">
      <c r="B27" s="15" t="s">
        <v>90</v>
      </c>
      <c r="C27" s="15"/>
      <c r="D27" s="13">
        <v>3.5</v>
      </c>
      <c r="E27" s="14" t="s">
        <v>46</v>
      </c>
      <c r="F27" s="13" t="s">
        <v>429</v>
      </c>
      <c r="G27" s="13" t="s">
        <v>429</v>
      </c>
      <c r="H27" s="13" t="s">
        <v>523</v>
      </c>
      <c r="I27" s="14"/>
      <c r="J27" s="14"/>
      <c r="K27" s="14"/>
      <c r="L27" s="109">
        <v>4</v>
      </c>
      <c r="M27" s="24">
        <f>IFERROR(VLOOKUP(tblRiskRegister322[[#This Row],[Asset Class]],tblVCDBIndex[],4,FALSE),"")</f>
        <v>2</v>
      </c>
      <c r="N27" s="24">
        <f>IFERROR(VLOOKUP(10*tblRiskRegister322[[#This Row],[Safeguard Maturity Score]]+tblRiskRegister322[[#This Row],[VCDB Index]],tblHITIndexWeightTable[],4,FALSE),"")</f>
        <v>2</v>
      </c>
      <c r="O27" s="24">
        <f>VLOOKUP(tblRiskRegister322[[#This Row],[Asset Class]],tblInherentImpacts3046[],2,FALSE)</f>
        <v>3</v>
      </c>
      <c r="P27" s="24">
        <f>VLOOKUP(tblRiskRegister322[[#This Row],[Asset Class]],tblInherentImpacts3046[],3,FALSE)</f>
        <v>4</v>
      </c>
      <c r="Q27" s="24">
        <f>VLOOKUP(tblRiskRegister322[[#This Row],[Asset Class]],tblInherentImpacts3046[],4,FALSE)</f>
        <v>5</v>
      </c>
      <c r="R27" s="24">
        <f>VLOOKUP(tblRiskRegister322[[#This Row],[Asset Class]],tblInherentImpacts3046[],5,FALSE)</f>
        <v>4</v>
      </c>
      <c r="S27" s="24">
        <f>IFERROR(MAX(tblRiskRegister322[[#This Row],[Impact to Mission]:[Impact to Obligations]])*tblRiskRegister322[[#This Row],[Expectancy Score]],"")</f>
        <v>10</v>
      </c>
      <c r="T27" s="24">
        <f>tblRiskRegister322[[#This Row],[Risk Score]]</f>
        <v>10</v>
      </c>
      <c r="U27" s="13"/>
      <c r="V27" s="86">
        <v>3.5</v>
      </c>
      <c r="W27" s="15" t="s">
        <v>46</v>
      </c>
      <c r="X27" s="15" t="s">
        <v>538</v>
      </c>
      <c r="Y27" s="15"/>
      <c r="Z27" s="16"/>
      <c r="AA27" s="23" t="str">
        <f>IFERROR(VLOOKUP(10*tblRiskRegister322[[#This Row],[Risk Treatment Safeguard Maturity Score]]+tblRiskRegister322[[#This Row],[VCDB Index]],tblHITIndexWeightTable[],4,FALSE),"")</f>
        <v/>
      </c>
      <c r="AB27" s="108">
        <f>VLOOKUP(tblRiskRegister322[[#This Row],[Asset Class]],tblInherentImpacts3046[],2,FALSE)</f>
        <v>3</v>
      </c>
      <c r="AC27" s="108">
        <f>VLOOKUP(tblRiskRegister322[[#This Row],[Asset Class]],tblInherentImpacts3046[],3,FALSE)</f>
        <v>4</v>
      </c>
      <c r="AD27" s="108">
        <f>VLOOKUP(tblRiskRegister322[[#This Row],[Asset Class]],tblInherentImpacts3046[],4,FALSE)</f>
        <v>5</v>
      </c>
      <c r="AE27" s="108">
        <f>VLOOKUP(tblRiskRegister322[[#This Row],[Asset Class]],tblInherentImpacts3046[],5,FALSE)</f>
        <v>4</v>
      </c>
      <c r="AF27" s="23" t="str">
        <f>IFERROR(MAX(tblRiskRegister322[[#This Row],[Risk Treatment Safeguard Impact to Mission]:[Risk Treatment Safeguard Impact to Obligations]])*tblRiskRegister322[[#This Row],[Risk Treatment
Safeguard Expectancy Score]],"")</f>
        <v/>
      </c>
      <c r="AG27" s="23" t="str" cm="1">
        <f t="array" ref="AG27">IF(tblRiskRegister322[[#This Row],[Risk Score]]&gt;=AcceptableRisk1,IF(tblRiskRegister322[[#This Row],[Risk Treatment Safeguard Risk Score]]&lt;AcceptableRisk1, IF(tblRiskRegister322[[#This Row],[Risk Treatment Safeguard Risk Score]]&lt;tblRiskRegister322[[#This Row],[Risk Score]],"Yes","No"),"No"),"Yes")</f>
        <v>No</v>
      </c>
      <c r="AH27" s="17"/>
      <c r="AI27" s="17"/>
      <c r="AJ27" s="18"/>
    </row>
    <row r="28" spans="2:40" ht="28">
      <c r="B28" s="15" t="s">
        <v>90</v>
      </c>
      <c r="C28" s="15"/>
      <c r="D28" s="13">
        <v>3.6</v>
      </c>
      <c r="E28" s="14" t="s">
        <v>47</v>
      </c>
      <c r="F28" s="13" t="s">
        <v>429</v>
      </c>
      <c r="G28" s="13" t="s">
        <v>429</v>
      </c>
      <c r="H28" s="13" t="s">
        <v>523</v>
      </c>
      <c r="I28" s="14"/>
      <c r="J28" s="14"/>
      <c r="K28" s="14"/>
      <c r="L28" s="109">
        <v>3</v>
      </c>
      <c r="M28" s="24">
        <f>IFERROR(VLOOKUP(tblRiskRegister322[[#This Row],[Asset Class]],tblVCDBIndex[],4,FALSE),"")</f>
        <v>2</v>
      </c>
      <c r="N28" s="24">
        <f>IFERROR(VLOOKUP(10*tblRiskRegister322[[#This Row],[Safeguard Maturity Score]]+tblRiskRegister322[[#This Row],[VCDB Index]],tblHITIndexWeightTable[],4,FALSE),"")</f>
        <v>3</v>
      </c>
      <c r="O28" s="24">
        <f>VLOOKUP(tblRiskRegister322[[#This Row],[Asset Class]],tblInherentImpacts3046[],2,FALSE)</f>
        <v>3</v>
      </c>
      <c r="P28" s="24">
        <f>VLOOKUP(tblRiskRegister322[[#This Row],[Asset Class]],tblInherentImpacts3046[],3,FALSE)</f>
        <v>4</v>
      </c>
      <c r="Q28" s="24">
        <f>VLOOKUP(tblRiskRegister322[[#This Row],[Asset Class]],tblInherentImpacts3046[],4,FALSE)</f>
        <v>5</v>
      </c>
      <c r="R28" s="24">
        <f>VLOOKUP(tblRiskRegister322[[#This Row],[Asset Class]],tblInherentImpacts3046[],5,FALSE)</f>
        <v>4</v>
      </c>
      <c r="S28" s="24">
        <f>IFERROR(MAX(tblRiskRegister322[[#This Row],[Impact to Mission]:[Impact to Obligations]])*tblRiskRegister322[[#This Row],[Expectancy Score]],"")</f>
        <v>15</v>
      </c>
      <c r="T28" s="24">
        <f>tblRiskRegister322[[#This Row],[Risk Score]]</f>
        <v>15</v>
      </c>
      <c r="U28" s="13"/>
      <c r="V28" s="86">
        <v>3.6</v>
      </c>
      <c r="W28" s="15" t="s">
        <v>47</v>
      </c>
      <c r="X28" s="15" t="s">
        <v>342</v>
      </c>
      <c r="Y28" s="26"/>
      <c r="Z28" s="16"/>
      <c r="AA28" s="23" t="str">
        <f>IFERROR(VLOOKUP(10*tblRiskRegister322[[#This Row],[Risk Treatment Safeguard Maturity Score]]+tblRiskRegister322[[#This Row],[VCDB Index]],tblHITIndexWeightTable[],4,FALSE),"")</f>
        <v/>
      </c>
      <c r="AB28" s="108">
        <f>VLOOKUP(tblRiskRegister322[[#This Row],[Asset Class]],tblInherentImpacts3046[],2,FALSE)</f>
        <v>3</v>
      </c>
      <c r="AC28" s="108">
        <f>VLOOKUP(tblRiskRegister322[[#This Row],[Asset Class]],tblInherentImpacts3046[],3,FALSE)</f>
        <v>4</v>
      </c>
      <c r="AD28" s="108">
        <f>VLOOKUP(tblRiskRegister322[[#This Row],[Asset Class]],tblInherentImpacts3046[],4,FALSE)</f>
        <v>5</v>
      </c>
      <c r="AE28" s="108">
        <f>VLOOKUP(tblRiskRegister322[[#This Row],[Asset Class]],tblInherentImpacts3046[],5,FALSE)</f>
        <v>4</v>
      </c>
      <c r="AF28" s="23" t="str">
        <f>IFERROR(MAX(tblRiskRegister322[[#This Row],[Risk Treatment Safeguard Impact to Mission]:[Risk Treatment Safeguard Impact to Obligations]])*tblRiskRegister322[[#This Row],[Risk Treatment
Safeguard Expectancy Score]],"")</f>
        <v/>
      </c>
      <c r="AG28" s="23" t="str" cm="1">
        <f t="array" ref="AG28">IF(tblRiskRegister322[[#This Row],[Risk Score]]&gt;=AcceptableRisk1,IF(tblRiskRegister322[[#This Row],[Risk Treatment Safeguard Risk Score]]&lt;AcceptableRisk1, IF(tblRiskRegister322[[#This Row],[Risk Treatment Safeguard Risk Score]]&lt;tblRiskRegister322[[#This Row],[Risk Score]],"Yes","No"),"No"),"Yes")</f>
        <v>No</v>
      </c>
      <c r="AH28" s="17"/>
      <c r="AI28" s="17"/>
      <c r="AJ28" s="18"/>
    </row>
    <row r="29" spans="2:40" ht="56">
      <c r="B29" s="15" t="s">
        <v>90</v>
      </c>
      <c r="C29" s="15"/>
      <c r="D29" s="13">
        <v>3.7</v>
      </c>
      <c r="E29" s="14" t="s">
        <v>175</v>
      </c>
      <c r="F29" s="13"/>
      <c r="G29" s="13" t="s">
        <v>429</v>
      </c>
      <c r="H29" s="13" t="s">
        <v>521</v>
      </c>
      <c r="I29" s="14"/>
      <c r="J29" s="14"/>
      <c r="K29" s="14"/>
      <c r="L29" s="109">
        <v>3</v>
      </c>
      <c r="M29" s="24">
        <f>IFERROR(VLOOKUP(tblRiskRegister322[[#This Row],[Asset Class]],tblVCDBIndex[],4,FALSE),"")</f>
        <v>2</v>
      </c>
      <c r="N29" s="24">
        <f>IFERROR(VLOOKUP(10*tblRiskRegister322[[#This Row],[Safeguard Maturity Score]]+tblRiskRegister322[[#This Row],[VCDB Index]],tblHITIndexWeightTable[],4,FALSE),"")</f>
        <v>3</v>
      </c>
      <c r="O29" s="24">
        <f>VLOOKUP(tblRiskRegister322[[#This Row],[Asset Class]],tblInherentImpacts3046[],2,FALSE)</f>
        <v>3</v>
      </c>
      <c r="P29" s="24">
        <f>VLOOKUP(tblRiskRegister322[[#This Row],[Asset Class]],tblInherentImpacts3046[],3,FALSE)</f>
        <v>4</v>
      </c>
      <c r="Q29" s="24">
        <f>VLOOKUP(tblRiskRegister322[[#This Row],[Asset Class]],tblInherentImpacts3046[],4,FALSE)</f>
        <v>5</v>
      </c>
      <c r="R29" s="24">
        <f>VLOOKUP(tblRiskRegister322[[#This Row],[Asset Class]],tblInherentImpacts3046[],5,FALSE)</f>
        <v>4</v>
      </c>
      <c r="S29" s="24">
        <f>IFERROR(MAX(tblRiskRegister322[[#This Row],[Impact to Mission]:[Impact to Obligations]])*tblRiskRegister322[[#This Row],[Expectancy Score]],"")</f>
        <v>15</v>
      </c>
      <c r="T29" s="24">
        <f>tblRiskRegister322[[#This Row],[Risk Score]]</f>
        <v>15</v>
      </c>
      <c r="U29" s="13"/>
      <c r="V29" s="86">
        <v>3.7</v>
      </c>
      <c r="W29" s="15" t="s">
        <v>175</v>
      </c>
      <c r="X29" s="15" t="s">
        <v>343</v>
      </c>
      <c r="Y29" s="15"/>
      <c r="Z29" s="16"/>
      <c r="AA29" s="23" t="str">
        <f>IFERROR(VLOOKUP(10*tblRiskRegister322[[#This Row],[Risk Treatment Safeguard Maturity Score]]+tblRiskRegister322[[#This Row],[VCDB Index]],tblHITIndexWeightTable[],4,FALSE),"")</f>
        <v/>
      </c>
      <c r="AB29" s="108">
        <f>VLOOKUP(tblRiskRegister322[[#This Row],[Asset Class]],tblInherentImpacts3046[],2,FALSE)</f>
        <v>3</v>
      </c>
      <c r="AC29" s="108">
        <f>VLOOKUP(tblRiskRegister322[[#This Row],[Asset Class]],tblInherentImpacts3046[],3,FALSE)</f>
        <v>4</v>
      </c>
      <c r="AD29" s="108">
        <f>VLOOKUP(tblRiskRegister322[[#This Row],[Asset Class]],tblInherentImpacts3046[],4,FALSE)</f>
        <v>5</v>
      </c>
      <c r="AE29" s="108">
        <f>VLOOKUP(tblRiskRegister322[[#This Row],[Asset Class]],tblInherentImpacts3046[],5,FALSE)</f>
        <v>4</v>
      </c>
      <c r="AF29" s="23" t="str">
        <f>IFERROR(MAX(tblRiskRegister322[[#This Row],[Risk Treatment Safeguard Impact to Mission]:[Risk Treatment Safeguard Impact to Obligations]])*tblRiskRegister322[[#This Row],[Risk Treatment
Safeguard Expectancy Score]],"")</f>
        <v/>
      </c>
      <c r="AG29" s="23" t="str" cm="1">
        <f t="array" ref="AG29">IF(tblRiskRegister322[[#This Row],[Risk Score]]&gt;=AcceptableRisk1,IF(tblRiskRegister322[[#This Row],[Risk Treatment Safeguard Risk Score]]&lt;AcceptableRisk1, IF(tblRiskRegister322[[#This Row],[Risk Treatment Safeguard Risk Score]]&lt;tblRiskRegister322[[#This Row],[Risk Score]],"Yes","No"),"No"),"Yes")</f>
        <v>No</v>
      </c>
      <c r="AH29" s="17"/>
      <c r="AI29" s="17"/>
      <c r="AJ29" s="18"/>
    </row>
    <row r="30" spans="2:40" ht="42">
      <c r="B30" s="15" t="s">
        <v>90</v>
      </c>
      <c r="C30" s="15"/>
      <c r="D30" s="13">
        <v>3.8</v>
      </c>
      <c r="E30" s="14" t="s">
        <v>176</v>
      </c>
      <c r="F30" s="13"/>
      <c r="G30" s="13" t="s">
        <v>429</v>
      </c>
      <c r="H30" s="13" t="s">
        <v>521</v>
      </c>
      <c r="I30" s="14"/>
      <c r="J30" s="14"/>
      <c r="K30" s="14"/>
      <c r="L30" s="109">
        <v>3</v>
      </c>
      <c r="M30" s="24">
        <f>IFERROR(VLOOKUP(tblRiskRegister322[[#This Row],[Asset Class]],tblVCDBIndex[],4,FALSE),"")</f>
        <v>2</v>
      </c>
      <c r="N30" s="24">
        <f>IFERROR(VLOOKUP(10*tblRiskRegister322[[#This Row],[Safeguard Maturity Score]]+tblRiskRegister322[[#This Row],[VCDB Index]],tblHITIndexWeightTable[],4,FALSE),"")</f>
        <v>3</v>
      </c>
      <c r="O30" s="24">
        <f>VLOOKUP(tblRiskRegister322[[#This Row],[Asset Class]],tblInherentImpacts3046[],2,FALSE)</f>
        <v>3</v>
      </c>
      <c r="P30" s="24">
        <f>VLOOKUP(tblRiskRegister322[[#This Row],[Asset Class]],tblInherentImpacts3046[],3,FALSE)</f>
        <v>4</v>
      </c>
      <c r="Q30" s="24">
        <f>VLOOKUP(tblRiskRegister322[[#This Row],[Asset Class]],tblInherentImpacts3046[],4,FALSE)</f>
        <v>5</v>
      </c>
      <c r="R30" s="24">
        <f>VLOOKUP(tblRiskRegister322[[#This Row],[Asset Class]],tblInherentImpacts3046[],5,FALSE)</f>
        <v>4</v>
      </c>
      <c r="S30" s="24">
        <f>IFERROR(MAX(tblRiskRegister322[[#This Row],[Impact to Mission]:[Impact to Obligations]])*tblRiskRegister322[[#This Row],[Expectancy Score]],"")</f>
        <v>15</v>
      </c>
      <c r="T30" s="24">
        <f>tblRiskRegister322[[#This Row],[Risk Score]]</f>
        <v>15</v>
      </c>
      <c r="U30" s="13"/>
      <c r="V30" s="86">
        <v>3.8</v>
      </c>
      <c r="W30" s="15" t="s">
        <v>176</v>
      </c>
      <c r="X30" s="15" t="s">
        <v>344</v>
      </c>
      <c r="Y30" s="15"/>
      <c r="Z30" s="16"/>
      <c r="AA30" s="23" t="str">
        <f>IFERROR(VLOOKUP(10*tblRiskRegister322[[#This Row],[Risk Treatment Safeguard Maturity Score]]+tblRiskRegister322[[#This Row],[VCDB Index]],tblHITIndexWeightTable[],4,FALSE),"")</f>
        <v/>
      </c>
      <c r="AB30" s="108">
        <f>VLOOKUP(tblRiskRegister322[[#This Row],[Asset Class]],tblInherentImpacts3046[],2,FALSE)</f>
        <v>3</v>
      </c>
      <c r="AC30" s="108">
        <f>VLOOKUP(tblRiskRegister322[[#This Row],[Asset Class]],tblInherentImpacts3046[],3,FALSE)</f>
        <v>4</v>
      </c>
      <c r="AD30" s="108">
        <f>VLOOKUP(tblRiskRegister322[[#This Row],[Asset Class]],tblInherentImpacts3046[],4,FALSE)</f>
        <v>5</v>
      </c>
      <c r="AE30" s="108">
        <f>VLOOKUP(tblRiskRegister322[[#This Row],[Asset Class]],tblInherentImpacts3046[],5,FALSE)</f>
        <v>4</v>
      </c>
      <c r="AF30" s="23" t="str">
        <f>IFERROR(MAX(tblRiskRegister322[[#This Row],[Risk Treatment Safeguard Impact to Mission]:[Risk Treatment Safeguard Impact to Obligations]])*tblRiskRegister322[[#This Row],[Risk Treatment
Safeguard Expectancy Score]],"")</f>
        <v/>
      </c>
      <c r="AG30" s="23" t="str" cm="1">
        <f t="array" ref="AG30">IF(tblRiskRegister322[[#This Row],[Risk Score]]&gt;=AcceptableRisk1,IF(tblRiskRegister322[[#This Row],[Risk Treatment Safeguard Risk Score]]&lt;AcceptableRisk1, IF(tblRiskRegister322[[#This Row],[Risk Treatment Safeguard Risk Score]]&lt;tblRiskRegister322[[#This Row],[Risk Score]],"Yes","No"),"No"),"Yes")</f>
        <v>No</v>
      </c>
      <c r="AH30" s="17"/>
      <c r="AI30" s="17"/>
      <c r="AJ30" s="18"/>
    </row>
    <row r="31" spans="2:40" ht="14">
      <c r="B31" s="15" t="s">
        <v>90</v>
      </c>
      <c r="C31" s="15"/>
      <c r="D31" s="13">
        <v>3.9</v>
      </c>
      <c r="E31" s="14" t="s">
        <v>177</v>
      </c>
      <c r="F31" s="13"/>
      <c r="G31" s="13" t="s">
        <v>429</v>
      </c>
      <c r="H31" s="13" t="s">
        <v>523</v>
      </c>
      <c r="I31" s="14"/>
      <c r="J31" s="14"/>
      <c r="K31" s="14"/>
      <c r="L31" s="109">
        <v>1</v>
      </c>
      <c r="M31" s="24">
        <f>IFERROR(VLOOKUP(tblRiskRegister322[[#This Row],[Asset Class]],tblVCDBIndex[],4,FALSE),"")</f>
        <v>2</v>
      </c>
      <c r="N31" s="24">
        <f>IFERROR(VLOOKUP(10*tblRiskRegister322[[#This Row],[Safeguard Maturity Score]]+tblRiskRegister322[[#This Row],[VCDB Index]],tblHITIndexWeightTable[],4,FALSE),"")</f>
        <v>5</v>
      </c>
      <c r="O31" s="24">
        <f>VLOOKUP(tblRiskRegister322[[#This Row],[Asset Class]],tblInherentImpacts3046[],2,FALSE)</f>
        <v>3</v>
      </c>
      <c r="P31" s="24">
        <f>VLOOKUP(tblRiskRegister322[[#This Row],[Asset Class]],tblInherentImpacts3046[],3,FALSE)</f>
        <v>4</v>
      </c>
      <c r="Q31" s="24">
        <f>VLOOKUP(tblRiskRegister322[[#This Row],[Asset Class]],tblInherentImpacts3046[],4,FALSE)</f>
        <v>5</v>
      </c>
      <c r="R31" s="24">
        <f>VLOOKUP(tblRiskRegister322[[#This Row],[Asset Class]],tblInherentImpacts3046[],5,FALSE)</f>
        <v>4</v>
      </c>
      <c r="S31" s="24">
        <f>IFERROR(MAX(tblRiskRegister322[[#This Row],[Impact to Mission]:[Impact to Obligations]])*tblRiskRegister322[[#This Row],[Expectancy Score]],"")</f>
        <v>25</v>
      </c>
      <c r="T31" s="24">
        <f>tblRiskRegister322[[#This Row],[Risk Score]]</f>
        <v>25</v>
      </c>
      <c r="U31" s="13"/>
      <c r="V31" s="86">
        <v>3.9</v>
      </c>
      <c r="W31" s="15" t="s">
        <v>177</v>
      </c>
      <c r="X31" s="15" t="s">
        <v>345</v>
      </c>
      <c r="Y31" s="15"/>
      <c r="Z31" s="16"/>
      <c r="AA31" s="23" t="str">
        <f>IFERROR(VLOOKUP(10*tblRiskRegister322[[#This Row],[Risk Treatment Safeguard Maturity Score]]+tblRiskRegister322[[#This Row],[VCDB Index]],tblHITIndexWeightTable[],4,FALSE),"")</f>
        <v/>
      </c>
      <c r="AB31" s="108">
        <f>VLOOKUP(tblRiskRegister322[[#This Row],[Asset Class]],tblInherentImpacts3046[],2,FALSE)</f>
        <v>3</v>
      </c>
      <c r="AC31" s="108">
        <f>VLOOKUP(tblRiskRegister322[[#This Row],[Asset Class]],tblInherentImpacts3046[],3,FALSE)</f>
        <v>4</v>
      </c>
      <c r="AD31" s="108">
        <f>VLOOKUP(tblRiskRegister322[[#This Row],[Asset Class]],tblInherentImpacts3046[],4,FALSE)</f>
        <v>5</v>
      </c>
      <c r="AE31" s="108">
        <f>VLOOKUP(tblRiskRegister322[[#This Row],[Asset Class]],tblInherentImpacts3046[],5,FALSE)</f>
        <v>4</v>
      </c>
      <c r="AF31" s="23" t="str">
        <f>IFERROR(MAX(tblRiskRegister322[[#This Row],[Risk Treatment Safeguard Impact to Mission]:[Risk Treatment Safeguard Impact to Obligations]])*tblRiskRegister322[[#This Row],[Risk Treatment
Safeguard Expectancy Score]],"")</f>
        <v/>
      </c>
      <c r="AG31" s="23" t="str" cm="1">
        <f t="array" ref="AG31">IF(tblRiskRegister322[[#This Row],[Risk Score]]&gt;=AcceptableRisk1,IF(tblRiskRegister322[[#This Row],[Risk Treatment Safeguard Risk Score]]&lt;AcceptableRisk1, IF(tblRiskRegister322[[#This Row],[Risk Treatment Safeguard Risk Score]]&lt;tblRiskRegister322[[#This Row],[Risk Score]],"Yes","No"),"No"),"Yes")</f>
        <v>No</v>
      </c>
      <c r="AH31" s="17"/>
      <c r="AI31" s="17"/>
      <c r="AJ31" s="18"/>
    </row>
    <row r="32" spans="2:40" ht="28">
      <c r="B32" s="15" t="s">
        <v>90</v>
      </c>
      <c r="C32" s="15"/>
      <c r="D32" s="98">
        <v>3.1</v>
      </c>
      <c r="E32" s="14" t="s">
        <v>178</v>
      </c>
      <c r="F32" s="13"/>
      <c r="G32" s="13" t="s">
        <v>429</v>
      </c>
      <c r="H32" s="13" t="s">
        <v>523</v>
      </c>
      <c r="I32" s="14"/>
      <c r="J32" s="14"/>
      <c r="K32" s="14"/>
      <c r="L32" s="109">
        <v>1</v>
      </c>
      <c r="M32" s="24">
        <f>IFERROR(VLOOKUP(tblRiskRegister322[[#This Row],[Asset Class]],tblVCDBIndex[],4,FALSE),"")</f>
        <v>2</v>
      </c>
      <c r="N32" s="24">
        <f>IFERROR(VLOOKUP(10*tblRiskRegister322[[#This Row],[Safeguard Maturity Score]]+tblRiskRegister322[[#This Row],[VCDB Index]],tblHITIndexWeightTable[],4,FALSE),"")</f>
        <v>5</v>
      </c>
      <c r="O32" s="24">
        <f>VLOOKUP(tblRiskRegister322[[#This Row],[Asset Class]],tblInherentImpacts3046[],2,FALSE)</f>
        <v>3</v>
      </c>
      <c r="P32" s="24">
        <f>VLOOKUP(tblRiskRegister322[[#This Row],[Asset Class]],tblInherentImpacts3046[],3,FALSE)</f>
        <v>4</v>
      </c>
      <c r="Q32" s="24">
        <f>VLOOKUP(tblRiskRegister322[[#This Row],[Asset Class]],tblInherentImpacts3046[],4,FALSE)</f>
        <v>5</v>
      </c>
      <c r="R32" s="24">
        <f>VLOOKUP(tblRiskRegister322[[#This Row],[Asset Class]],tblInherentImpacts3046[],5,FALSE)</f>
        <v>4</v>
      </c>
      <c r="S32" s="24">
        <f>IFERROR(MAX(tblRiskRegister322[[#This Row],[Impact to Mission]:[Impact to Obligations]])*tblRiskRegister322[[#This Row],[Expectancy Score]],"")</f>
        <v>25</v>
      </c>
      <c r="T32" s="24">
        <f>tblRiskRegister322[[#This Row],[Risk Score]]</f>
        <v>25</v>
      </c>
      <c r="U32" s="13"/>
      <c r="V32" s="219">
        <v>3.1</v>
      </c>
      <c r="W32" s="15" t="s">
        <v>178</v>
      </c>
      <c r="X32" s="15" t="s">
        <v>346</v>
      </c>
      <c r="Y32" s="15"/>
      <c r="Z32" s="16"/>
      <c r="AA32" s="23" t="str">
        <f>IFERROR(VLOOKUP(10*tblRiskRegister322[[#This Row],[Risk Treatment Safeguard Maturity Score]]+tblRiskRegister322[[#This Row],[VCDB Index]],tblHITIndexWeightTable[],4,FALSE),"")</f>
        <v/>
      </c>
      <c r="AB32" s="108">
        <f>VLOOKUP(tblRiskRegister322[[#This Row],[Asset Class]],tblInherentImpacts3046[],2,FALSE)</f>
        <v>3</v>
      </c>
      <c r="AC32" s="108">
        <f>VLOOKUP(tblRiskRegister322[[#This Row],[Asset Class]],tblInherentImpacts3046[],3,FALSE)</f>
        <v>4</v>
      </c>
      <c r="AD32" s="108">
        <f>VLOOKUP(tblRiskRegister322[[#This Row],[Asset Class]],tblInherentImpacts3046[],4,FALSE)</f>
        <v>5</v>
      </c>
      <c r="AE32" s="108">
        <f>VLOOKUP(tblRiskRegister322[[#This Row],[Asset Class]],tblInherentImpacts3046[],5,FALSE)</f>
        <v>4</v>
      </c>
      <c r="AF32" s="23" t="str">
        <f>IFERROR(MAX(tblRiskRegister322[[#This Row],[Risk Treatment Safeguard Impact to Mission]:[Risk Treatment Safeguard Impact to Obligations]])*tblRiskRegister322[[#This Row],[Risk Treatment
Safeguard Expectancy Score]],"")</f>
        <v/>
      </c>
      <c r="AG32" s="23" t="str" cm="1">
        <f t="array" ref="AG32">IF(tblRiskRegister322[[#This Row],[Risk Score]]&gt;=AcceptableRisk1,IF(tblRiskRegister322[[#This Row],[Risk Treatment Safeguard Risk Score]]&lt;AcceptableRisk1, IF(tblRiskRegister322[[#This Row],[Risk Treatment Safeguard Risk Score]]&lt;tblRiskRegister322[[#This Row],[Risk Score]],"Yes","No"),"No"),"Yes")</f>
        <v>No</v>
      </c>
      <c r="AH32" s="17"/>
      <c r="AI32" s="17"/>
      <c r="AJ32" s="18"/>
    </row>
    <row r="33" spans="2:36" ht="70">
      <c r="B33" s="15" t="s">
        <v>90</v>
      </c>
      <c r="C33" s="15"/>
      <c r="D33" s="13">
        <v>3.11</v>
      </c>
      <c r="E33" s="14" t="s">
        <v>179</v>
      </c>
      <c r="F33" s="13"/>
      <c r="G33" s="13" t="s">
        <v>429</v>
      </c>
      <c r="H33" s="13" t="s">
        <v>523</v>
      </c>
      <c r="I33" s="14"/>
      <c r="J33" s="14"/>
      <c r="K33" s="14"/>
      <c r="L33" s="109">
        <v>2</v>
      </c>
      <c r="M33" s="24">
        <f>IFERROR(VLOOKUP(tblRiskRegister322[[#This Row],[Asset Class]],tblVCDBIndex[],4,FALSE),"")</f>
        <v>2</v>
      </c>
      <c r="N33" s="24">
        <f>IFERROR(VLOOKUP(10*tblRiskRegister322[[#This Row],[Safeguard Maturity Score]]+tblRiskRegister322[[#This Row],[VCDB Index]],tblHITIndexWeightTable[],4,FALSE),"")</f>
        <v>3</v>
      </c>
      <c r="O33" s="24">
        <f>VLOOKUP(tblRiskRegister322[[#This Row],[Asset Class]],tblInherentImpacts3046[],2,FALSE)</f>
        <v>3</v>
      </c>
      <c r="P33" s="24">
        <f>VLOOKUP(tblRiskRegister322[[#This Row],[Asset Class]],tblInherentImpacts3046[],3,FALSE)</f>
        <v>4</v>
      </c>
      <c r="Q33" s="24">
        <f>VLOOKUP(tblRiskRegister322[[#This Row],[Asset Class]],tblInherentImpacts3046[],4,FALSE)</f>
        <v>5</v>
      </c>
      <c r="R33" s="24">
        <f>VLOOKUP(tblRiskRegister322[[#This Row],[Asset Class]],tblInherentImpacts3046[],5,FALSE)</f>
        <v>4</v>
      </c>
      <c r="S33" s="24">
        <f>IFERROR(MAX(tblRiskRegister322[[#This Row],[Impact to Mission]:[Impact to Obligations]])*tblRiskRegister322[[#This Row],[Expectancy Score]],"")</f>
        <v>15</v>
      </c>
      <c r="T33" s="24">
        <f>tblRiskRegister322[[#This Row],[Risk Score]]</f>
        <v>15</v>
      </c>
      <c r="U33" s="13"/>
      <c r="V33" s="86">
        <v>3.11</v>
      </c>
      <c r="W33" s="15" t="s">
        <v>179</v>
      </c>
      <c r="X33" s="15" t="s">
        <v>539</v>
      </c>
      <c r="Y33" s="15"/>
      <c r="Z33" s="16"/>
      <c r="AA33" s="23" t="str">
        <f>IFERROR(VLOOKUP(10*tblRiskRegister322[[#This Row],[Risk Treatment Safeguard Maturity Score]]+tblRiskRegister322[[#This Row],[VCDB Index]],tblHITIndexWeightTable[],4,FALSE),"")</f>
        <v/>
      </c>
      <c r="AB33" s="108">
        <f>VLOOKUP(tblRiskRegister322[[#This Row],[Asset Class]],tblInherentImpacts3046[],2,FALSE)</f>
        <v>3</v>
      </c>
      <c r="AC33" s="108">
        <f>VLOOKUP(tblRiskRegister322[[#This Row],[Asset Class]],tblInherentImpacts3046[],3,FALSE)</f>
        <v>4</v>
      </c>
      <c r="AD33" s="108">
        <f>VLOOKUP(tblRiskRegister322[[#This Row],[Asset Class]],tblInherentImpacts3046[],4,FALSE)</f>
        <v>5</v>
      </c>
      <c r="AE33" s="108">
        <f>VLOOKUP(tblRiskRegister322[[#This Row],[Asset Class]],tblInherentImpacts3046[],5,FALSE)</f>
        <v>4</v>
      </c>
      <c r="AF33" s="23" t="str">
        <f>IFERROR(MAX(tblRiskRegister322[[#This Row],[Risk Treatment Safeguard Impact to Mission]:[Risk Treatment Safeguard Impact to Obligations]])*tblRiskRegister322[[#This Row],[Risk Treatment
Safeguard Expectancy Score]],"")</f>
        <v/>
      </c>
      <c r="AG33" s="23" t="str" cm="1">
        <f t="array" ref="AG33">IF(tblRiskRegister322[[#This Row],[Risk Score]]&gt;=AcceptableRisk1,IF(tblRiskRegister322[[#This Row],[Risk Treatment Safeguard Risk Score]]&lt;AcceptableRisk1, IF(tblRiskRegister322[[#This Row],[Risk Treatment Safeguard Risk Score]]&lt;tblRiskRegister322[[#This Row],[Risk Score]],"Yes","No"),"No"),"Yes")</f>
        <v>No</v>
      </c>
      <c r="AH33" s="17"/>
      <c r="AI33" s="17"/>
      <c r="AJ33" s="18"/>
    </row>
    <row r="34" spans="2:36" ht="28">
      <c r="B34" s="15" t="s">
        <v>90</v>
      </c>
      <c r="C34" s="15"/>
      <c r="D34" s="13">
        <v>3.12</v>
      </c>
      <c r="E34" s="14" t="s">
        <v>205</v>
      </c>
      <c r="F34" s="13"/>
      <c r="G34" s="13" t="s">
        <v>429</v>
      </c>
      <c r="H34" s="13" t="s">
        <v>523</v>
      </c>
      <c r="I34" s="14"/>
      <c r="J34" s="14"/>
      <c r="K34" s="14"/>
      <c r="L34" s="109">
        <v>4</v>
      </c>
      <c r="M34" s="24">
        <f>IFERROR(VLOOKUP(tblRiskRegister322[[#This Row],[Asset Class]],tblVCDBIndex[],4,FALSE),"")</f>
        <v>2</v>
      </c>
      <c r="N34" s="24">
        <f>IFERROR(VLOOKUP(10*tblRiskRegister322[[#This Row],[Safeguard Maturity Score]]+tblRiskRegister322[[#This Row],[VCDB Index]],tblHITIndexWeightTable[],4,FALSE),"")</f>
        <v>2</v>
      </c>
      <c r="O34" s="24">
        <f>VLOOKUP(tblRiskRegister322[[#This Row],[Asset Class]],tblInherentImpacts3046[],2,FALSE)</f>
        <v>3</v>
      </c>
      <c r="P34" s="24">
        <f>VLOOKUP(tblRiskRegister322[[#This Row],[Asset Class]],tblInherentImpacts3046[],3,FALSE)</f>
        <v>4</v>
      </c>
      <c r="Q34" s="24">
        <f>VLOOKUP(tblRiskRegister322[[#This Row],[Asset Class]],tblInherentImpacts3046[],4,FALSE)</f>
        <v>5</v>
      </c>
      <c r="R34" s="24">
        <f>VLOOKUP(tblRiskRegister322[[#This Row],[Asset Class]],tblInherentImpacts3046[],5,FALSE)</f>
        <v>4</v>
      </c>
      <c r="S34" s="24">
        <f>IFERROR(MAX(tblRiskRegister322[[#This Row],[Impact to Mission]:[Impact to Obligations]])*tblRiskRegister322[[#This Row],[Expectancy Score]],"")</f>
        <v>10</v>
      </c>
      <c r="T34" s="24">
        <f>tblRiskRegister322[[#This Row],[Risk Score]]</f>
        <v>10</v>
      </c>
      <c r="U34" s="13"/>
      <c r="V34" s="86">
        <v>3.12</v>
      </c>
      <c r="W34" s="15" t="s">
        <v>205</v>
      </c>
      <c r="X34" s="15" t="s">
        <v>347</v>
      </c>
      <c r="Y34" s="26"/>
      <c r="Z34" s="16"/>
      <c r="AA34" s="23" t="str">
        <f>IFERROR(VLOOKUP(10*tblRiskRegister322[[#This Row],[Risk Treatment Safeguard Maturity Score]]+tblRiskRegister322[[#This Row],[VCDB Index]],tblHITIndexWeightTable[],4,FALSE),"")</f>
        <v/>
      </c>
      <c r="AB34" s="108">
        <f>VLOOKUP(tblRiskRegister322[[#This Row],[Asset Class]],tblInherentImpacts3046[],2,FALSE)</f>
        <v>3</v>
      </c>
      <c r="AC34" s="108">
        <f>VLOOKUP(tblRiskRegister322[[#This Row],[Asset Class]],tblInherentImpacts3046[],3,FALSE)</f>
        <v>4</v>
      </c>
      <c r="AD34" s="108">
        <f>VLOOKUP(tblRiskRegister322[[#This Row],[Asset Class]],tblInherentImpacts3046[],4,FALSE)</f>
        <v>5</v>
      </c>
      <c r="AE34" s="108">
        <f>VLOOKUP(tblRiskRegister322[[#This Row],[Asset Class]],tblInherentImpacts3046[],5,FALSE)</f>
        <v>4</v>
      </c>
      <c r="AF34" s="23" t="str">
        <f>IFERROR(MAX(tblRiskRegister322[[#This Row],[Risk Treatment Safeguard Impact to Mission]:[Risk Treatment Safeguard Impact to Obligations]])*tblRiskRegister322[[#This Row],[Risk Treatment
Safeguard Expectancy Score]],"")</f>
        <v/>
      </c>
      <c r="AG34" s="23" t="str" cm="1">
        <f t="array" ref="AG34">IF(tblRiskRegister322[[#This Row],[Risk Score]]&gt;=AcceptableRisk1,IF(tblRiskRegister322[[#This Row],[Risk Treatment Safeguard Risk Score]]&lt;AcceptableRisk1, IF(tblRiskRegister322[[#This Row],[Risk Treatment Safeguard Risk Score]]&lt;tblRiskRegister322[[#This Row],[Risk Score]],"Yes","No"),"No"),"Yes")</f>
        <v>No</v>
      </c>
      <c r="AH34" s="17"/>
      <c r="AI34" s="17"/>
      <c r="AJ34" s="18"/>
    </row>
    <row r="35" spans="2:36" ht="112">
      <c r="B35" s="15" t="s">
        <v>528</v>
      </c>
      <c r="C35" s="15" t="s">
        <v>457</v>
      </c>
      <c r="D35" s="13">
        <v>4.0999999999999996</v>
      </c>
      <c r="E35" s="14" t="s">
        <v>48</v>
      </c>
      <c r="F35" s="13" t="s">
        <v>429</v>
      </c>
      <c r="G35" s="13" t="s">
        <v>429</v>
      </c>
      <c r="H35" s="13" t="s">
        <v>532</v>
      </c>
      <c r="I35" s="14" t="s">
        <v>448</v>
      </c>
      <c r="J35" s="14" t="s">
        <v>515</v>
      </c>
      <c r="K35" s="14" t="s">
        <v>514</v>
      </c>
      <c r="L35" s="109">
        <v>2</v>
      </c>
      <c r="M35" s="24">
        <f>IFERROR(VLOOKUP(tblRiskRegister322[[#This Row],[Asset Class]],tblVCDBIndex[],4,FALSE),"")</f>
        <v>2</v>
      </c>
      <c r="N35" s="24">
        <f>IFERROR(VLOOKUP(10*tblRiskRegister322[[#This Row],[Safeguard Maturity Score]]+tblRiskRegister322[[#This Row],[VCDB Index]],tblHITIndexWeightTable[],4,FALSE),"")</f>
        <v>3</v>
      </c>
      <c r="O35" s="24">
        <f>VLOOKUP(tblRiskRegister322[[#This Row],[Asset Class]],tblInherentImpacts3046[],2,FALSE)</f>
        <v>2</v>
      </c>
      <c r="P35" s="24">
        <f>VLOOKUP(tblRiskRegister322[[#This Row],[Asset Class]],tblInherentImpacts3046[],3,FALSE)</f>
        <v>3</v>
      </c>
      <c r="Q35" s="24">
        <f>VLOOKUP(tblRiskRegister322[[#This Row],[Asset Class]],tblInherentImpacts3046[],4,FALSE)</f>
        <v>2</v>
      </c>
      <c r="R35" s="24">
        <f>VLOOKUP(tblRiskRegister322[[#This Row],[Asset Class]],tblInherentImpacts3046[],5,FALSE)</f>
        <v>2</v>
      </c>
      <c r="S35" s="24">
        <f>IFERROR(MAX(tblRiskRegister322[[#This Row],[Impact to Mission]:[Impact to Obligations]])*tblRiskRegister322[[#This Row],[Expectancy Score]],"")</f>
        <v>9</v>
      </c>
      <c r="T35" s="24">
        <f>tblRiskRegister322[[#This Row],[Risk Score]]</f>
        <v>9</v>
      </c>
      <c r="U35" s="13" t="s">
        <v>460</v>
      </c>
      <c r="V35" s="86">
        <v>4.0999999999999996</v>
      </c>
      <c r="W35" s="15" t="s">
        <v>48</v>
      </c>
      <c r="X35" s="15" t="s">
        <v>540</v>
      </c>
      <c r="Y35" s="15" t="s">
        <v>504</v>
      </c>
      <c r="Z35" s="16">
        <v>4</v>
      </c>
      <c r="AA35" s="23">
        <f>IFERROR(VLOOKUP(10*tblRiskRegister322[[#This Row],[Risk Treatment Safeguard Maturity Score]]+tblRiskRegister322[[#This Row],[VCDB Index]],tblHITIndexWeightTable[],4,FALSE),"")</f>
        <v>2</v>
      </c>
      <c r="AB35" s="108">
        <f>VLOOKUP(tblRiskRegister322[[#This Row],[Asset Class]],tblInherentImpacts3046[],2,FALSE)</f>
        <v>2</v>
      </c>
      <c r="AC35" s="108">
        <f>VLOOKUP(tblRiskRegister322[[#This Row],[Asset Class]],tblInherentImpacts3046[],3,FALSE)</f>
        <v>3</v>
      </c>
      <c r="AD35" s="108">
        <f>VLOOKUP(tblRiskRegister322[[#This Row],[Asset Class]],tblInherentImpacts3046[],4,FALSE)</f>
        <v>2</v>
      </c>
      <c r="AE35" s="108">
        <f>VLOOKUP(tblRiskRegister322[[#This Row],[Asset Class]],tblInherentImpacts3046[],5,FALSE)</f>
        <v>2</v>
      </c>
      <c r="AF35" s="23">
        <f>IFERROR(MAX(tblRiskRegister322[[#This Row],[Risk Treatment Safeguard Impact to Mission]:[Risk Treatment Safeguard Impact to Obligations]])*tblRiskRegister322[[#This Row],[Risk Treatment
Safeguard Expectancy Score]],"")</f>
        <v>6</v>
      </c>
      <c r="AG35" s="23" t="str" cm="1">
        <f t="array" ref="AG35">IF(tblRiskRegister322[[#This Row],[Risk Score]]&gt;=AcceptableRisk1,IF(tblRiskRegister322[[#This Row],[Risk Treatment Safeguard Risk Score]]&lt;AcceptableRisk1, IF(tblRiskRegister322[[#This Row],[Risk Treatment Safeguard Risk Score]]&lt;tblRiskRegister322[[#This Row],[Risk Score]],"Yes","No"),"No"),"Yes")</f>
        <v>Yes</v>
      </c>
      <c r="AH35" s="17">
        <v>501000</v>
      </c>
      <c r="AI35" s="17" t="s">
        <v>459</v>
      </c>
      <c r="AJ35" s="18">
        <v>2026</v>
      </c>
    </row>
    <row r="36" spans="2:36" ht="42">
      <c r="B36" s="15" t="s">
        <v>528</v>
      </c>
      <c r="C36" s="15"/>
      <c r="D36" s="13">
        <v>4.2</v>
      </c>
      <c r="E36" s="14" t="s">
        <v>49</v>
      </c>
      <c r="F36" s="13" t="s">
        <v>429</v>
      </c>
      <c r="G36" s="13" t="s">
        <v>429</v>
      </c>
      <c r="H36" s="13" t="s">
        <v>532</v>
      </c>
      <c r="I36" s="14"/>
      <c r="J36" s="14"/>
      <c r="K36" s="14"/>
      <c r="L36" s="109">
        <v>1</v>
      </c>
      <c r="M36" s="24">
        <f>IFERROR(VLOOKUP(tblRiskRegister322[[#This Row],[Asset Class]],tblVCDBIndex[],4,FALSE),"")</f>
        <v>2</v>
      </c>
      <c r="N36" s="24">
        <f>IFERROR(VLOOKUP(10*tblRiskRegister322[[#This Row],[Safeguard Maturity Score]]+tblRiskRegister322[[#This Row],[VCDB Index]],tblHITIndexWeightTable[],4,FALSE),"")</f>
        <v>5</v>
      </c>
      <c r="O36" s="24">
        <f>VLOOKUP(tblRiskRegister322[[#This Row],[Asset Class]],tblInherentImpacts3046[],2,FALSE)</f>
        <v>2</v>
      </c>
      <c r="P36" s="24">
        <f>VLOOKUP(tblRiskRegister322[[#This Row],[Asset Class]],tblInherentImpacts3046[],3,FALSE)</f>
        <v>3</v>
      </c>
      <c r="Q36" s="24">
        <f>VLOOKUP(tblRiskRegister322[[#This Row],[Asset Class]],tblInherentImpacts3046[],4,FALSE)</f>
        <v>2</v>
      </c>
      <c r="R36" s="24">
        <f>VLOOKUP(tblRiskRegister322[[#This Row],[Asset Class]],tblInherentImpacts3046[],5,FALSE)</f>
        <v>2</v>
      </c>
      <c r="S36" s="24">
        <f>IFERROR(MAX(tblRiskRegister322[[#This Row],[Impact to Mission]:[Impact to Obligations]])*tblRiskRegister322[[#This Row],[Expectancy Score]],"")</f>
        <v>15</v>
      </c>
      <c r="T36" s="24">
        <f>tblRiskRegister322[[#This Row],[Risk Score]]</f>
        <v>15</v>
      </c>
      <c r="U36" s="13"/>
      <c r="V36" s="86">
        <v>4.2</v>
      </c>
      <c r="W36" s="15" t="s">
        <v>49</v>
      </c>
      <c r="X36" s="15" t="s">
        <v>541</v>
      </c>
      <c r="Y36" s="26"/>
      <c r="Z36" s="16"/>
      <c r="AA36" s="23" t="str">
        <f>IFERROR(VLOOKUP(10*tblRiskRegister322[[#This Row],[Risk Treatment Safeguard Maturity Score]]+tblRiskRegister322[[#This Row],[VCDB Index]],tblHITIndexWeightTable[],4,FALSE),"")</f>
        <v/>
      </c>
      <c r="AB36" s="108">
        <f>VLOOKUP(tblRiskRegister322[[#This Row],[Asset Class]],tblInherentImpacts3046[],2,FALSE)</f>
        <v>2</v>
      </c>
      <c r="AC36" s="108">
        <f>VLOOKUP(tblRiskRegister322[[#This Row],[Asset Class]],tblInherentImpacts3046[],3,FALSE)</f>
        <v>3</v>
      </c>
      <c r="AD36" s="108">
        <f>VLOOKUP(tblRiskRegister322[[#This Row],[Asset Class]],tblInherentImpacts3046[],4,FALSE)</f>
        <v>2</v>
      </c>
      <c r="AE36" s="108">
        <f>VLOOKUP(tblRiskRegister322[[#This Row],[Asset Class]],tblInherentImpacts3046[],5,FALSE)</f>
        <v>2</v>
      </c>
      <c r="AF36" s="23" t="str">
        <f>IFERROR(MAX(tblRiskRegister322[[#This Row],[Risk Treatment Safeguard Impact to Mission]:[Risk Treatment Safeguard Impact to Obligations]])*tblRiskRegister322[[#This Row],[Risk Treatment
Safeguard Expectancy Score]],"")</f>
        <v/>
      </c>
      <c r="AG36" s="23" t="str" cm="1">
        <f t="array" ref="AG36">IF(tblRiskRegister322[[#This Row],[Risk Score]]&gt;=AcceptableRisk1,IF(tblRiskRegister322[[#This Row],[Risk Treatment Safeguard Risk Score]]&lt;AcceptableRisk1, IF(tblRiskRegister322[[#This Row],[Risk Treatment Safeguard Risk Score]]&lt;tblRiskRegister322[[#This Row],[Risk Score]],"Yes","No"),"No"),"Yes")</f>
        <v>No</v>
      </c>
      <c r="AH36" s="17"/>
      <c r="AI36" s="17"/>
      <c r="AJ36" s="18"/>
    </row>
    <row r="37" spans="2:36" ht="42">
      <c r="B37" s="15" t="s">
        <v>91</v>
      </c>
      <c r="C37" s="15"/>
      <c r="D37" s="13">
        <v>4.3</v>
      </c>
      <c r="E37" s="14" t="s">
        <v>50</v>
      </c>
      <c r="F37" s="13" t="s">
        <v>429</v>
      </c>
      <c r="G37" s="13" t="s">
        <v>429</v>
      </c>
      <c r="H37" s="13" t="s">
        <v>523</v>
      </c>
      <c r="I37" s="14"/>
      <c r="J37" s="14"/>
      <c r="K37" s="14"/>
      <c r="L37" s="109">
        <v>1</v>
      </c>
      <c r="M37" s="24">
        <f>IFERROR(VLOOKUP(tblRiskRegister322[[#This Row],[Asset Class]],tblVCDBIndex[],4,FALSE),"")</f>
        <v>4</v>
      </c>
      <c r="N37" s="24">
        <f>IFERROR(VLOOKUP(10*tblRiskRegister322[[#This Row],[Safeguard Maturity Score]]+tblRiskRegister322[[#This Row],[VCDB Index]],tblHITIndexWeightTable[],4,FALSE),"")</f>
        <v>5</v>
      </c>
      <c r="O37" s="24">
        <f>VLOOKUP(tblRiskRegister322[[#This Row],[Asset Class]],tblInherentImpacts3046[],2,FALSE)</f>
        <v>2</v>
      </c>
      <c r="P37" s="24">
        <f>VLOOKUP(tblRiskRegister322[[#This Row],[Asset Class]],tblInherentImpacts3046[],3,FALSE)</f>
        <v>1</v>
      </c>
      <c r="Q37" s="24">
        <f>VLOOKUP(tblRiskRegister322[[#This Row],[Asset Class]],tblInherentImpacts3046[],4,FALSE)</f>
        <v>3</v>
      </c>
      <c r="R37" s="24">
        <f>VLOOKUP(tblRiskRegister322[[#This Row],[Asset Class]],tblInherentImpacts3046[],5,FALSE)</f>
        <v>3</v>
      </c>
      <c r="S37" s="24">
        <f>IFERROR(MAX(tblRiskRegister322[[#This Row],[Impact to Mission]:[Impact to Obligations]])*tblRiskRegister322[[#This Row],[Expectancy Score]],"")</f>
        <v>15</v>
      </c>
      <c r="T37" s="24">
        <f>tblRiskRegister322[[#This Row],[Risk Score]]</f>
        <v>15</v>
      </c>
      <c r="U37" s="13"/>
      <c r="V37" s="86">
        <v>4.3</v>
      </c>
      <c r="W37" s="15" t="s">
        <v>50</v>
      </c>
      <c r="X37" s="15" t="s">
        <v>348</v>
      </c>
      <c r="Y37" s="26"/>
      <c r="Z37" s="16"/>
      <c r="AA37" s="23" t="str">
        <f>IFERROR(VLOOKUP(10*tblRiskRegister322[[#This Row],[Risk Treatment Safeguard Maturity Score]]+tblRiskRegister322[[#This Row],[VCDB Index]],tblHITIndexWeightTable[],4,FALSE),"")</f>
        <v/>
      </c>
      <c r="AB37" s="108">
        <f>VLOOKUP(tblRiskRegister322[[#This Row],[Asset Class]],tblInherentImpacts3046[],2,FALSE)</f>
        <v>2</v>
      </c>
      <c r="AC37" s="108">
        <f>VLOOKUP(tblRiskRegister322[[#This Row],[Asset Class]],tblInherentImpacts3046[],3,FALSE)</f>
        <v>1</v>
      </c>
      <c r="AD37" s="108">
        <f>VLOOKUP(tblRiskRegister322[[#This Row],[Asset Class]],tblInherentImpacts3046[],4,FALSE)</f>
        <v>3</v>
      </c>
      <c r="AE37" s="108">
        <f>VLOOKUP(tblRiskRegister322[[#This Row],[Asset Class]],tblInherentImpacts3046[],5,FALSE)</f>
        <v>3</v>
      </c>
      <c r="AF37" s="23" t="str">
        <f>IFERROR(MAX(tblRiskRegister322[[#This Row],[Risk Treatment Safeguard Impact to Mission]:[Risk Treatment Safeguard Impact to Obligations]])*tblRiskRegister322[[#This Row],[Risk Treatment
Safeguard Expectancy Score]],"")</f>
        <v/>
      </c>
      <c r="AG37" s="23" t="str" cm="1">
        <f t="array" ref="AG37">IF(tblRiskRegister322[[#This Row],[Risk Score]]&gt;=AcceptableRisk1,IF(tblRiskRegister322[[#This Row],[Risk Treatment Safeguard Risk Score]]&lt;AcceptableRisk1, IF(tblRiskRegister322[[#This Row],[Risk Treatment Safeguard Risk Score]]&lt;tblRiskRegister322[[#This Row],[Risk Score]],"Yes","No"),"No"),"Yes")</f>
        <v>No</v>
      </c>
      <c r="AH37" s="17"/>
      <c r="AI37" s="17"/>
      <c r="AJ37" s="18"/>
    </row>
    <row r="38" spans="2:36" ht="28">
      <c r="B38" s="15" t="s">
        <v>91</v>
      </c>
      <c r="C38" s="15"/>
      <c r="D38" s="13">
        <v>4.4000000000000004</v>
      </c>
      <c r="E38" s="14" t="s">
        <v>51</v>
      </c>
      <c r="F38" s="13" t="s">
        <v>429</v>
      </c>
      <c r="G38" s="13" t="s">
        <v>429</v>
      </c>
      <c r="H38" s="13" t="s">
        <v>523</v>
      </c>
      <c r="I38" s="14"/>
      <c r="J38" s="14"/>
      <c r="K38" s="14"/>
      <c r="L38" s="109">
        <v>1</v>
      </c>
      <c r="M38" s="24">
        <f>IFERROR(VLOOKUP(tblRiskRegister322[[#This Row],[Asset Class]],tblVCDBIndex[],4,FALSE),"")</f>
        <v>4</v>
      </c>
      <c r="N38" s="24">
        <f>IFERROR(VLOOKUP(10*tblRiskRegister322[[#This Row],[Safeguard Maturity Score]]+tblRiskRegister322[[#This Row],[VCDB Index]],tblHITIndexWeightTable[],4,FALSE),"")</f>
        <v>5</v>
      </c>
      <c r="O38" s="24">
        <f>VLOOKUP(tblRiskRegister322[[#This Row],[Asset Class]],tblInherentImpacts3046[],2,FALSE)</f>
        <v>2</v>
      </c>
      <c r="P38" s="24">
        <f>VLOOKUP(tblRiskRegister322[[#This Row],[Asset Class]],tblInherentImpacts3046[],3,FALSE)</f>
        <v>1</v>
      </c>
      <c r="Q38" s="24">
        <f>VLOOKUP(tblRiskRegister322[[#This Row],[Asset Class]],tblInherentImpacts3046[],4,FALSE)</f>
        <v>3</v>
      </c>
      <c r="R38" s="24">
        <f>VLOOKUP(tblRiskRegister322[[#This Row],[Asset Class]],tblInherentImpacts3046[],5,FALSE)</f>
        <v>3</v>
      </c>
      <c r="S38" s="24">
        <f>IFERROR(MAX(tblRiskRegister322[[#This Row],[Impact to Mission]:[Impact to Obligations]])*tblRiskRegister322[[#This Row],[Expectancy Score]],"")</f>
        <v>15</v>
      </c>
      <c r="T38" s="24">
        <f>tblRiskRegister322[[#This Row],[Risk Score]]</f>
        <v>15</v>
      </c>
      <c r="U38" s="13"/>
      <c r="V38" s="86">
        <v>4.4000000000000004</v>
      </c>
      <c r="W38" s="15" t="s">
        <v>51</v>
      </c>
      <c r="X38" s="15" t="s">
        <v>349</v>
      </c>
      <c r="Y38" s="26"/>
      <c r="Z38" s="16"/>
      <c r="AA38" s="23" t="str">
        <f>IFERROR(VLOOKUP(10*tblRiskRegister322[[#This Row],[Risk Treatment Safeguard Maturity Score]]+tblRiskRegister322[[#This Row],[VCDB Index]],tblHITIndexWeightTable[],4,FALSE),"")</f>
        <v/>
      </c>
      <c r="AB38" s="108">
        <f>VLOOKUP(tblRiskRegister322[[#This Row],[Asset Class]],tblInherentImpacts3046[],2,FALSE)</f>
        <v>2</v>
      </c>
      <c r="AC38" s="108">
        <f>VLOOKUP(tblRiskRegister322[[#This Row],[Asset Class]],tblInherentImpacts3046[],3,FALSE)</f>
        <v>1</v>
      </c>
      <c r="AD38" s="108">
        <f>VLOOKUP(tblRiskRegister322[[#This Row],[Asset Class]],tblInherentImpacts3046[],4,FALSE)</f>
        <v>3</v>
      </c>
      <c r="AE38" s="108">
        <f>VLOOKUP(tblRiskRegister322[[#This Row],[Asset Class]],tblInherentImpacts3046[],5,FALSE)</f>
        <v>3</v>
      </c>
      <c r="AF38" s="23" t="str">
        <f>IFERROR(MAX(tblRiskRegister322[[#This Row],[Risk Treatment Safeguard Impact to Mission]:[Risk Treatment Safeguard Impact to Obligations]])*tblRiskRegister322[[#This Row],[Risk Treatment
Safeguard Expectancy Score]],"")</f>
        <v/>
      </c>
      <c r="AG38" s="23" t="str" cm="1">
        <f t="array" ref="AG38">IF(tblRiskRegister322[[#This Row],[Risk Score]]&gt;=AcceptableRisk1,IF(tblRiskRegister322[[#This Row],[Risk Treatment Safeguard Risk Score]]&lt;AcceptableRisk1, IF(tblRiskRegister322[[#This Row],[Risk Treatment Safeguard Risk Score]]&lt;tblRiskRegister322[[#This Row],[Risk Score]],"Yes","No"),"No"),"Yes")</f>
        <v>No</v>
      </c>
      <c r="AH38" s="17"/>
      <c r="AI38" s="17"/>
      <c r="AJ38" s="18"/>
    </row>
    <row r="39" spans="2:36" ht="28">
      <c r="B39" s="15" t="s">
        <v>91</v>
      </c>
      <c r="C39" s="15"/>
      <c r="D39" s="13">
        <v>4.5</v>
      </c>
      <c r="E39" s="14" t="s">
        <v>52</v>
      </c>
      <c r="F39" s="13" t="s">
        <v>429</v>
      </c>
      <c r="G39" s="13" t="s">
        <v>429</v>
      </c>
      <c r="H39" s="13" t="s">
        <v>523</v>
      </c>
      <c r="I39" s="14"/>
      <c r="J39" s="14"/>
      <c r="K39" s="14"/>
      <c r="L39" s="109">
        <v>2</v>
      </c>
      <c r="M39" s="24">
        <f>IFERROR(VLOOKUP(tblRiskRegister322[[#This Row],[Asset Class]],tblVCDBIndex[],4,FALSE),"")</f>
        <v>4</v>
      </c>
      <c r="N39" s="24">
        <f>IFERROR(VLOOKUP(10*tblRiskRegister322[[#This Row],[Safeguard Maturity Score]]+tblRiskRegister322[[#This Row],[VCDB Index]],tblHITIndexWeightTable[],4,FALSE),"")</f>
        <v>4</v>
      </c>
      <c r="O39" s="24">
        <f>VLOOKUP(tblRiskRegister322[[#This Row],[Asset Class]],tblInherentImpacts3046[],2,FALSE)</f>
        <v>2</v>
      </c>
      <c r="P39" s="24">
        <f>VLOOKUP(tblRiskRegister322[[#This Row],[Asset Class]],tblInherentImpacts3046[],3,FALSE)</f>
        <v>1</v>
      </c>
      <c r="Q39" s="24">
        <f>VLOOKUP(tblRiskRegister322[[#This Row],[Asset Class]],tblInherentImpacts3046[],4,FALSE)</f>
        <v>3</v>
      </c>
      <c r="R39" s="24">
        <f>VLOOKUP(tblRiskRegister322[[#This Row],[Asset Class]],tblInherentImpacts3046[],5,FALSE)</f>
        <v>3</v>
      </c>
      <c r="S39" s="24">
        <f>IFERROR(MAX(tblRiskRegister322[[#This Row],[Impact to Mission]:[Impact to Obligations]])*tblRiskRegister322[[#This Row],[Expectancy Score]],"")</f>
        <v>12</v>
      </c>
      <c r="T39" s="24">
        <f>tblRiskRegister322[[#This Row],[Risk Score]]</f>
        <v>12</v>
      </c>
      <c r="U39" s="13"/>
      <c r="V39" s="86">
        <v>4.5</v>
      </c>
      <c r="W39" s="15" t="s">
        <v>52</v>
      </c>
      <c r="X39" s="15" t="s">
        <v>350</v>
      </c>
      <c r="Y39" s="26"/>
      <c r="Z39" s="16"/>
      <c r="AA39" s="23" t="str">
        <f>IFERROR(VLOOKUP(10*tblRiskRegister322[[#This Row],[Risk Treatment Safeguard Maturity Score]]+tblRiskRegister322[[#This Row],[VCDB Index]],tblHITIndexWeightTable[],4,FALSE),"")</f>
        <v/>
      </c>
      <c r="AB39" s="108">
        <f>VLOOKUP(tblRiskRegister322[[#This Row],[Asset Class]],tblInherentImpacts3046[],2,FALSE)</f>
        <v>2</v>
      </c>
      <c r="AC39" s="108">
        <f>VLOOKUP(tblRiskRegister322[[#This Row],[Asset Class]],tblInherentImpacts3046[],3,FALSE)</f>
        <v>1</v>
      </c>
      <c r="AD39" s="108">
        <f>VLOOKUP(tblRiskRegister322[[#This Row],[Asset Class]],tblInherentImpacts3046[],4,FALSE)</f>
        <v>3</v>
      </c>
      <c r="AE39" s="108">
        <f>VLOOKUP(tblRiskRegister322[[#This Row],[Asset Class]],tblInherentImpacts3046[],5,FALSE)</f>
        <v>3</v>
      </c>
      <c r="AF39" s="23" t="str">
        <f>IFERROR(MAX(tblRiskRegister322[[#This Row],[Risk Treatment Safeguard Impact to Mission]:[Risk Treatment Safeguard Impact to Obligations]])*tblRiskRegister322[[#This Row],[Risk Treatment
Safeguard Expectancy Score]],"")</f>
        <v/>
      </c>
      <c r="AG39" s="23" t="str" cm="1">
        <f t="array" ref="AG39">IF(tblRiskRegister322[[#This Row],[Risk Score]]&gt;=AcceptableRisk1,IF(tblRiskRegister322[[#This Row],[Risk Treatment Safeguard Risk Score]]&lt;AcceptableRisk1, IF(tblRiskRegister322[[#This Row],[Risk Treatment Safeguard Risk Score]]&lt;tblRiskRegister322[[#This Row],[Risk Score]],"Yes","No"),"No"),"Yes")</f>
        <v>No</v>
      </c>
      <c r="AH39" s="17"/>
      <c r="AI39" s="17"/>
      <c r="AJ39" s="18"/>
    </row>
    <row r="40" spans="2:36" ht="70">
      <c r="B40" s="15" t="s">
        <v>91</v>
      </c>
      <c r="C40" s="15"/>
      <c r="D40" s="13">
        <v>4.5999999999999996</v>
      </c>
      <c r="E40" s="14" t="s">
        <v>53</v>
      </c>
      <c r="F40" s="13" t="s">
        <v>429</v>
      </c>
      <c r="G40" s="13" t="s">
        <v>429</v>
      </c>
      <c r="H40" s="13" t="s">
        <v>523</v>
      </c>
      <c r="I40" s="14"/>
      <c r="J40" s="14"/>
      <c r="K40" s="14"/>
      <c r="L40" s="109">
        <v>4</v>
      </c>
      <c r="M40" s="24">
        <f>IFERROR(VLOOKUP(tblRiskRegister322[[#This Row],[Asset Class]],tblVCDBIndex[],4,FALSE),"")</f>
        <v>4</v>
      </c>
      <c r="N40" s="24">
        <f>IFERROR(VLOOKUP(10*tblRiskRegister322[[#This Row],[Safeguard Maturity Score]]+tblRiskRegister322[[#This Row],[VCDB Index]],tblHITIndexWeightTable[],4,FALSE),"")</f>
        <v>2</v>
      </c>
      <c r="O40" s="24">
        <f>VLOOKUP(tblRiskRegister322[[#This Row],[Asset Class]],tblInherentImpacts3046[],2,FALSE)</f>
        <v>2</v>
      </c>
      <c r="P40" s="24">
        <f>VLOOKUP(tblRiskRegister322[[#This Row],[Asset Class]],tblInherentImpacts3046[],3,FALSE)</f>
        <v>1</v>
      </c>
      <c r="Q40" s="24">
        <f>VLOOKUP(tblRiskRegister322[[#This Row],[Asset Class]],tblInherentImpacts3046[],4,FALSE)</f>
        <v>3</v>
      </c>
      <c r="R40" s="24">
        <f>VLOOKUP(tblRiskRegister322[[#This Row],[Asset Class]],tblInherentImpacts3046[],5,FALSE)</f>
        <v>3</v>
      </c>
      <c r="S40" s="24">
        <f>IFERROR(MAX(tblRiskRegister322[[#This Row],[Impact to Mission]:[Impact to Obligations]])*tblRiskRegister322[[#This Row],[Expectancy Score]],"")</f>
        <v>6</v>
      </c>
      <c r="T40" s="24">
        <f>tblRiskRegister322[[#This Row],[Risk Score]]</f>
        <v>6</v>
      </c>
      <c r="U40" s="13"/>
      <c r="V40" s="86">
        <v>4.5999999999999996</v>
      </c>
      <c r="W40" s="15" t="s">
        <v>53</v>
      </c>
      <c r="X40" s="15" t="s">
        <v>542</v>
      </c>
      <c r="Y40" s="26"/>
      <c r="Z40" s="16"/>
      <c r="AA40" s="23" t="str">
        <f>IFERROR(VLOOKUP(10*tblRiskRegister322[[#This Row],[Risk Treatment Safeguard Maturity Score]]+tblRiskRegister322[[#This Row],[VCDB Index]],tblHITIndexWeightTable[],4,FALSE),"")</f>
        <v/>
      </c>
      <c r="AB40" s="108">
        <f>VLOOKUP(tblRiskRegister322[[#This Row],[Asset Class]],tblInherentImpacts3046[],2,FALSE)</f>
        <v>2</v>
      </c>
      <c r="AC40" s="108">
        <f>VLOOKUP(tblRiskRegister322[[#This Row],[Asset Class]],tblInherentImpacts3046[],3,FALSE)</f>
        <v>1</v>
      </c>
      <c r="AD40" s="108">
        <f>VLOOKUP(tblRiskRegister322[[#This Row],[Asset Class]],tblInherentImpacts3046[],4,FALSE)</f>
        <v>3</v>
      </c>
      <c r="AE40" s="108">
        <f>VLOOKUP(tblRiskRegister322[[#This Row],[Asset Class]],tblInherentImpacts3046[],5,FALSE)</f>
        <v>3</v>
      </c>
      <c r="AF40" s="23" t="str">
        <f>IFERROR(MAX(tblRiskRegister322[[#This Row],[Risk Treatment Safeguard Impact to Mission]:[Risk Treatment Safeguard Impact to Obligations]])*tblRiskRegister322[[#This Row],[Risk Treatment
Safeguard Expectancy Score]],"")</f>
        <v/>
      </c>
      <c r="AG40" s="23" t="str" cm="1">
        <f t="array" ref="AG40">IF(tblRiskRegister322[[#This Row],[Risk Score]]&gt;=AcceptableRisk1,IF(tblRiskRegister322[[#This Row],[Risk Treatment Safeguard Risk Score]]&lt;AcceptableRisk1, IF(tblRiskRegister322[[#This Row],[Risk Treatment Safeguard Risk Score]]&lt;tblRiskRegister322[[#This Row],[Risk Score]],"Yes","No"),"No"),"Yes")</f>
        <v>Yes</v>
      </c>
      <c r="AH40" s="17"/>
      <c r="AI40" s="17"/>
      <c r="AJ40" s="18"/>
    </row>
    <row r="41" spans="2:36" ht="42">
      <c r="B41" s="15" t="s">
        <v>93</v>
      </c>
      <c r="C41" s="15"/>
      <c r="D41" s="13">
        <v>4.7</v>
      </c>
      <c r="E41" s="14" t="s">
        <v>54</v>
      </c>
      <c r="F41" s="13" t="s">
        <v>429</v>
      </c>
      <c r="G41" s="13" t="s">
        <v>429</v>
      </c>
      <c r="H41" s="13" t="s">
        <v>523</v>
      </c>
      <c r="I41" s="14"/>
      <c r="J41" s="14"/>
      <c r="K41" s="14"/>
      <c r="L41" s="109">
        <v>3</v>
      </c>
      <c r="M41" s="24">
        <f>IFERROR(VLOOKUP(tblRiskRegister322[[#This Row],[Asset Class]],tblVCDBIndex[],4,FALSE),"")</f>
        <v>2</v>
      </c>
      <c r="N41" s="24">
        <f>IFERROR(VLOOKUP(10*tblRiskRegister322[[#This Row],[Safeguard Maturity Score]]+tblRiskRegister322[[#This Row],[VCDB Index]],tblHITIndexWeightTable[],4,FALSE),"")</f>
        <v>3</v>
      </c>
      <c r="O41" s="24">
        <f>VLOOKUP(tblRiskRegister322[[#This Row],[Asset Class]],tblInherentImpacts3046[],2,FALSE)</f>
        <v>3</v>
      </c>
      <c r="P41" s="24">
        <f>VLOOKUP(tblRiskRegister322[[#This Row],[Asset Class]],tblInherentImpacts3046[],3,FALSE)</f>
        <v>3</v>
      </c>
      <c r="Q41" s="24">
        <f>VLOOKUP(tblRiskRegister322[[#This Row],[Asset Class]],tblInherentImpacts3046[],4,FALSE)</f>
        <v>4</v>
      </c>
      <c r="R41" s="24">
        <f>VLOOKUP(tblRiskRegister322[[#This Row],[Asset Class]],tblInherentImpacts3046[],5,FALSE)</f>
        <v>3</v>
      </c>
      <c r="S41" s="24">
        <f>IFERROR(MAX(tblRiskRegister322[[#This Row],[Impact to Mission]:[Impact to Obligations]])*tblRiskRegister322[[#This Row],[Expectancy Score]],"")</f>
        <v>12</v>
      </c>
      <c r="T41" s="24">
        <f>tblRiskRegister322[[#This Row],[Risk Score]]</f>
        <v>12</v>
      </c>
      <c r="U41" s="13"/>
      <c r="V41" s="86">
        <v>4.7</v>
      </c>
      <c r="W41" s="15" t="s">
        <v>54</v>
      </c>
      <c r="X41" s="15" t="s">
        <v>351</v>
      </c>
      <c r="Y41" s="26"/>
      <c r="Z41" s="16"/>
      <c r="AA41" s="23" t="str">
        <f>IFERROR(VLOOKUP(10*tblRiskRegister322[[#This Row],[Risk Treatment Safeguard Maturity Score]]+tblRiskRegister322[[#This Row],[VCDB Index]],tblHITIndexWeightTable[],4,FALSE),"")</f>
        <v/>
      </c>
      <c r="AB41" s="108">
        <f>VLOOKUP(tblRiskRegister322[[#This Row],[Asset Class]],tblInherentImpacts3046[],2,FALSE)</f>
        <v>3</v>
      </c>
      <c r="AC41" s="108">
        <f>VLOOKUP(tblRiskRegister322[[#This Row],[Asset Class]],tblInherentImpacts3046[],3,FALSE)</f>
        <v>3</v>
      </c>
      <c r="AD41" s="108">
        <f>VLOOKUP(tblRiskRegister322[[#This Row],[Asset Class]],tblInherentImpacts3046[],4,FALSE)</f>
        <v>4</v>
      </c>
      <c r="AE41" s="108">
        <f>VLOOKUP(tblRiskRegister322[[#This Row],[Asset Class]],tblInherentImpacts3046[],5,FALSE)</f>
        <v>3</v>
      </c>
      <c r="AF41" s="23" t="str">
        <f>IFERROR(MAX(tblRiskRegister322[[#This Row],[Risk Treatment Safeguard Impact to Mission]:[Risk Treatment Safeguard Impact to Obligations]])*tblRiskRegister322[[#This Row],[Risk Treatment
Safeguard Expectancy Score]],"")</f>
        <v/>
      </c>
      <c r="AG41" s="23" t="str" cm="1">
        <f t="array" ref="AG41">IF(tblRiskRegister322[[#This Row],[Risk Score]]&gt;=AcceptableRisk1,IF(tblRiskRegister322[[#This Row],[Risk Treatment Safeguard Risk Score]]&lt;AcceptableRisk1, IF(tblRiskRegister322[[#This Row],[Risk Treatment Safeguard Risk Score]]&lt;tblRiskRegister322[[#This Row],[Risk Score]],"Yes","No"),"No"),"Yes")</f>
        <v>No</v>
      </c>
      <c r="AH41" s="17"/>
      <c r="AI41" s="17"/>
      <c r="AJ41" s="18"/>
    </row>
    <row r="42" spans="2:36" ht="42">
      <c r="B42" s="15" t="s">
        <v>91</v>
      </c>
      <c r="C42" s="15"/>
      <c r="D42" s="13">
        <v>4.8</v>
      </c>
      <c r="E42" s="14" t="s">
        <v>183</v>
      </c>
      <c r="F42" s="13"/>
      <c r="G42" s="13" t="s">
        <v>429</v>
      </c>
      <c r="H42" s="13" t="s">
        <v>523</v>
      </c>
      <c r="I42" s="14"/>
      <c r="J42" s="14"/>
      <c r="K42" s="14"/>
      <c r="L42" s="109">
        <v>1</v>
      </c>
      <c r="M42" s="24">
        <f>IFERROR(VLOOKUP(tblRiskRegister322[[#This Row],[Asset Class]],tblVCDBIndex[],4,FALSE),"")</f>
        <v>4</v>
      </c>
      <c r="N42" s="24">
        <f>IFERROR(VLOOKUP(10*tblRiskRegister322[[#This Row],[Safeguard Maturity Score]]+tblRiskRegister322[[#This Row],[VCDB Index]],tblHITIndexWeightTable[],4,FALSE),"")</f>
        <v>5</v>
      </c>
      <c r="O42" s="24">
        <f>VLOOKUP(tblRiskRegister322[[#This Row],[Asset Class]],tblInherentImpacts3046[],2,FALSE)</f>
        <v>2</v>
      </c>
      <c r="P42" s="24">
        <f>VLOOKUP(tblRiskRegister322[[#This Row],[Asset Class]],tblInherentImpacts3046[],3,FALSE)</f>
        <v>1</v>
      </c>
      <c r="Q42" s="24">
        <f>VLOOKUP(tblRiskRegister322[[#This Row],[Asset Class]],tblInherentImpacts3046[],4,FALSE)</f>
        <v>3</v>
      </c>
      <c r="R42" s="24">
        <f>VLOOKUP(tblRiskRegister322[[#This Row],[Asset Class]],tblInherentImpacts3046[],5,FALSE)</f>
        <v>3</v>
      </c>
      <c r="S42" s="24">
        <f>IFERROR(MAX(tblRiskRegister322[[#This Row],[Impact to Mission]:[Impact to Obligations]])*tblRiskRegister322[[#This Row],[Expectancy Score]],"")</f>
        <v>15</v>
      </c>
      <c r="T42" s="24">
        <f>tblRiskRegister322[[#This Row],[Risk Score]]</f>
        <v>15</v>
      </c>
      <c r="U42" s="13"/>
      <c r="V42" s="86">
        <v>4.8</v>
      </c>
      <c r="W42" s="15" t="s">
        <v>183</v>
      </c>
      <c r="X42" s="15" t="s">
        <v>352</v>
      </c>
      <c r="Y42" s="26"/>
      <c r="Z42" s="16"/>
      <c r="AA42" s="23" t="str">
        <f>IFERROR(VLOOKUP(10*tblRiskRegister322[[#This Row],[Risk Treatment Safeguard Maturity Score]]+tblRiskRegister322[[#This Row],[VCDB Index]],tblHITIndexWeightTable[],4,FALSE),"")</f>
        <v/>
      </c>
      <c r="AB42" s="108">
        <f>VLOOKUP(tblRiskRegister322[[#This Row],[Asset Class]],tblInherentImpacts3046[],2,FALSE)</f>
        <v>2</v>
      </c>
      <c r="AC42" s="108">
        <f>VLOOKUP(tblRiskRegister322[[#This Row],[Asset Class]],tblInherentImpacts3046[],3,FALSE)</f>
        <v>1</v>
      </c>
      <c r="AD42" s="108">
        <f>VLOOKUP(tblRiskRegister322[[#This Row],[Asset Class]],tblInherentImpacts3046[],4,FALSE)</f>
        <v>3</v>
      </c>
      <c r="AE42" s="108">
        <f>VLOOKUP(tblRiskRegister322[[#This Row],[Asset Class]],tblInherentImpacts3046[],5,FALSE)</f>
        <v>3</v>
      </c>
      <c r="AF42" s="23" t="str">
        <f>IFERROR(MAX(tblRiskRegister322[[#This Row],[Risk Treatment Safeguard Impact to Mission]:[Risk Treatment Safeguard Impact to Obligations]])*tblRiskRegister322[[#This Row],[Risk Treatment
Safeguard Expectancy Score]],"")</f>
        <v/>
      </c>
      <c r="AG42" s="23" t="str" cm="1">
        <f t="array" ref="AG42">IF(tblRiskRegister322[[#This Row],[Risk Score]]&gt;=AcceptableRisk1,IF(tblRiskRegister322[[#This Row],[Risk Treatment Safeguard Risk Score]]&lt;AcceptableRisk1, IF(tblRiskRegister322[[#This Row],[Risk Treatment Safeguard Risk Score]]&lt;tblRiskRegister322[[#This Row],[Risk Score]],"Yes","No"),"No"),"Yes")</f>
        <v>No</v>
      </c>
      <c r="AH42" s="17"/>
      <c r="AI42" s="17"/>
      <c r="AJ42" s="18"/>
    </row>
    <row r="43" spans="2:36" ht="42">
      <c r="B43" s="15" t="s">
        <v>91</v>
      </c>
      <c r="C43" s="15"/>
      <c r="D43" s="13">
        <v>4.9000000000000004</v>
      </c>
      <c r="E43" s="14" t="s">
        <v>184</v>
      </c>
      <c r="F43" s="13"/>
      <c r="G43" s="13" t="s">
        <v>429</v>
      </c>
      <c r="H43" s="13" t="s">
        <v>523</v>
      </c>
      <c r="I43" s="14"/>
      <c r="J43" s="14"/>
      <c r="K43" s="14"/>
      <c r="L43" s="109">
        <v>2</v>
      </c>
      <c r="M43" s="24">
        <f>IFERROR(VLOOKUP(tblRiskRegister322[[#This Row],[Asset Class]],tblVCDBIndex[],4,FALSE),"")</f>
        <v>4</v>
      </c>
      <c r="N43" s="24">
        <f>IFERROR(VLOOKUP(10*tblRiskRegister322[[#This Row],[Safeguard Maturity Score]]+tblRiskRegister322[[#This Row],[VCDB Index]],tblHITIndexWeightTable[],4,FALSE),"")</f>
        <v>4</v>
      </c>
      <c r="O43" s="24">
        <f>VLOOKUP(tblRiskRegister322[[#This Row],[Asset Class]],tblInherentImpacts3046[],2,FALSE)</f>
        <v>2</v>
      </c>
      <c r="P43" s="24">
        <f>VLOOKUP(tblRiskRegister322[[#This Row],[Asset Class]],tblInherentImpacts3046[],3,FALSE)</f>
        <v>1</v>
      </c>
      <c r="Q43" s="24">
        <f>VLOOKUP(tblRiskRegister322[[#This Row],[Asset Class]],tblInherentImpacts3046[],4,FALSE)</f>
        <v>3</v>
      </c>
      <c r="R43" s="24">
        <f>VLOOKUP(tblRiskRegister322[[#This Row],[Asset Class]],tblInherentImpacts3046[],5,FALSE)</f>
        <v>3</v>
      </c>
      <c r="S43" s="24">
        <f>IFERROR(MAX(tblRiskRegister322[[#This Row],[Impact to Mission]:[Impact to Obligations]])*tblRiskRegister322[[#This Row],[Expectancy Score]],"")</f>
        <v>12</v>
      </c>
      <c r="T43" s="24">
        <f>tblRiskRegister322[[#This Row],[Risk Score]]</f>
        <v>12</v>
      </c>
      <c r="U43" s="13"/>
      <c r="V43" s="86">
        <v>4.9000000000000004</v>
      </c>
      <c r="W43" s="15" t="s">
        <v>184</v>
      </c>
      <c r="X43" s="15" t="s">
        <v>543</v>
      </c>
      <c r="Y43" s="26"/>
      <c r="Z43" s="16"/>
      <c r="AA43" s="23" t="str">
        <f>IFERROR(VLOOKUP(10*tblRiskRegister322[[#This Row],[Risk Treatment Safeguard Maturity Score]]+tblRiskRegister322[[#This Row],[VCDB Index]],tblHITIndexWeightTable[],4,FALSE),"")</f>
        <v/>
      </c>
      <c r="AB43" s="108">
        <f>VLOOKUP(tblRiskRegister322[[#This Row],[Asset Class]],tblInherentImpacts3046[],2,FALSE)</f>
        <v>2</v>
      </c>
      <c r="AC43" s="108">
        <f>VLOOKUP(tblRiskRegister322[[#This Row],[Asset Class]],tblInherentImpacts3046[],3,FALSE)</f>
        <v>1</v>
      </c>
      <c r="AD43" s="108">
        <f>VLOOKUP(tblRiskRegister322[[#This Row],[Asset Class]],tblInherentImpacts3046[],4,FALSE)</f>
        <v>3</v>
      </c>
      <c r="AE43" s="108">
        <f>VLOOKUP(tblRiskRegister322[[#This Row],[Asset Class]],tblInherentImpacts3046[],5,FALSE)</f>
        <v>3</v>
      </c>
      <c r="AF43" s="23" t="str">
        <f>IFERROR(MAX(tblRiskRegister322[[#This Row],[Risk Treatment Safeguard Impact to Mission]:[Risk Treatment Safeguard Impact to Obligations]])*tblRiskRegister322[[#This Row],[Risk Treatment
Safeguard Expectancy Score]],"")</f>
        <v/>
      </c>
      <c r="AG43" s="23" t="str" cm="1">
        <f t="array" ref="AG43">IF(tblRiskRegister322[[#This Row],[Risk Score]]&gt;=AcceptableRisk1,IF(tblRiskRegister322[[#This Row],[Risk Treatment Safeguard Risk Score]]&lt;AcceptableRisk1, IF(tblRiskRegister322[[#This Row],[Risk Treatment Safeguard Risk Score]]&lt;tblRiskRegister322[[#This Row],[Risk Score]],"Yes","No"),"No"),"Yes")</f>
        <v>No</v>
      </c>
      <c r="AH43" s="17"/>
      <c r="AI43" s="17"/>
      <c r="AJ43" s="18"/>
    </row>
    <row r="44" spans="2:36" ht="70">
      <c r="B44" s="15" t="s">
        <v>91</v>
      </c>
      <c r="C44" s="15"/>
      <c r="D44" s="98">
        <v>4.0999999999999996</v>
      </c>
      <c r="E44" s="14" t="s">
        <v>185</v>
      </c>
      <c r="F44" s="13"/>
      <c r="G44" s="13" t="s">
        <v>429</v>
      </c>
      <c r="H44" s="13" t="s">
        <v>523</v>
      </c>
      <c r="I44" s="14"/>
      <c r="J44" s="14"/>
      <c r="K44" s="14"/>
      <c r="L44" s="109">
        <v>4</v>
      </c>
      <c r="M44" s="24">
        <f>IFERROR(VLOOKUP(tblRiskRegister322[[#This Row],[Asset Class]],tblVCDBIndex[],4,FALSE),"")</f>
        <v>4</v>
      </c>
      <c r="N44" s="24">
        <f>IFERROR(VLOOKUP(10*tblRiskRegister322[[#This Row],[Safeguard Maturity Score]]+tblRiskRegister322[[#This Row],[VCDB Index]],tblHITIndexWeightTable[],4,FALSE),"")</f>
        <v>2</v>
      </c>
      <c r="O44" s="24">
        <f>VLOOKUP(tblRiskRegister322[[#This Row],[Asset Class]],tblInherentImpacts3046[],2,FALSE)</f>
        <v>2</v>
      </c>
      <c r="P44" s="24">
        <f>VLOOKUP(tblRiskRegister322[[#This Row],[Asset Class]],tblInherentImpacts3046[],3,FALSE)</f>
        <v>1</v>
      </c>
      <c r="Q44" s="24">
        <f>VLOOKUP(tblRiskRegister322[[#This Row],[Asset Class]],tblInherentImpacts3046[],4,FALSE)</f>
        <v>3</v>
      </c>
      <c r="R44" s="24">
        <f>VLOOKUP(tblRiskRegister322[[#This Row],[Asset Class]],tblInherentImpacts3046[],5,FALSE)</f>
        <v>3</v>
      </c>
      <c r="S44" s="24">
        <f>IFERROR(MAX(tblRiskRegister322[[#This Row],[Impact to Mission]:[Impact to Obligations]])*tblRiskRegister322[[#This Row],[Expectancy Score]],"")</f>
        <v>6</v>
      </c>
      <c r="T44" s="24">
        <f>tblRiskRegister322[[#This Row],[Risk Score]]</f>
        <v>6</v>
      </c>
      <c r="U44" s="13"/>
      <c r="V44" s="86">
        <v>4.0999999999999996</v>
      </c>
      <c r="W44" s="15" t="s">
        <v>185</v>
      </c>
      <c r="X44" s="15" t="s">
        <v>353</v>
      </c>
      <c r="Y44" s="26"/>
      <c r="Z44" s="16"/>
      <c r="AA44" s="23" t="str">
        <f>IFERROR(VLOOKUP(10*tblRiskRegister322[[#This Row],[Risk Treatment Safeguard Maturity Score]]+tblRiskRegister322[[#This Row],[VCDB Index]],tblHITIndexWeightTable[],4,FALSE),"")</f>
        <v/>
      </c>
      <c r="AB44" s="108">
        <f>VLOOKUP(tblRiskRegister322[[#This Row],[Asset Class]],tblInherentImpacts3046[],2,FALSE)</f>
        <v>2</v>
      </c>
      <c r="AC44" s="108">
        <f>VLOOKUP(tblRiskRegister322[[#This Row],[Asset Class]],tblInherentImpacts3046[],3,FALSE)</f>
        <v>1</v>
      </c>
      <c r="AD44" s="108">
        <f>VLOOKUP(tblRiskRegister322[[#This Row],[Asset Class]],tblInherentImpacts3046[],4,FALSE)</f>
        <v>3</v>
      </c>
      <c r="AE44" s="108">
        <f>VLOOKUP(tblRiskRegister322[[#This Row],[Asset Class]],tblInherentImpacts3046[],5,FALSE)</f>
        <v>3</v>
      </c>
      <c r="AF44" s="23" t="str">
        <f>IFERROR(MAX(tblRiskRegister322[[#This Row],[Risk Treatment Safeguard Impact to Mission]:[Risk Treatment Safeguard Impact to Obligations]])*tblRiskRegister322[[#This Row],[Risk Treatment
Safeguard Expectancy Score]],"")</f>
        <v/>
      </c>
      <c r="AG44" s="23" t="str" cm="1">
        <f t="array" ref="AG44">IF(tblRiskRegister322[[#This Row],[Risk Score]]&gt;=AcceptableRisk1,IF(tblRiskRegister322[[#This Row],[Risk Treatment Safeguard Risk Score]]&lt;AcceptableRisk1, IF(tblRiskRegister322[[#This Row],[Risk Treatment Safeguard Risk Score]]&lt;tblRiskRegister322[[#This Row],[Risk Score]],"Yes","No"),"No"),"Yes")</f>
        <v>Yes</v>
      </c>
      <c r="AH44" s="17"/>
      <c r="AI44" s="17"/>
      <c r="AJ44" s="18"/>
    </row>
    <row r="45" spans="2:36" ht="42">
      <c r="B45" s="15" t="s">
        <v>90</v>
      </c>
      <c r="C45" s="15"/>
      <c r="D45" s="13">
        <v>4.1100000000000003</v>
      </c>
      <c r="E45" s="14" t="s">
        <v>186</v>
      </c>
      <c r="F45" s="13"/>
      <c r="G45" s="13" t="s">
        <v>429</v>
      </c>
      <c r="H45" s="13" t="s">
        <v>523</v>
      </c>
      <c r="I45" s="14"/>
      <c r="J45" s="14"/>
      <c r="K45" s="14"/>
      <c r="L45" s="109">
        <v>2</v>
      </c>
      <c r="M45" s="24">
        <f>IFERROR(VLOOKUP(tblRiskRegister322[[#This Row],[Asset Class]],tblVCDBIndex[],4,FALSE),"")</f>
        <v>2</v>
      </c>
      <c r="N45" s="24">
        <f>IFERROR(VLOOKUP(10*tblRiskRegister322[[#This Row],[Safeguard Maturity Score]]+tblRiskRegister322[[#This Row],[VCDB Index]],tblHITIndexWeightTable[],4,FALSE),"")</f>
        <v>3</v>
      </c>
      <c r="O45" s="24">
        <f>VLOOKUP(tblRiskRegister322[[#This Row],[Asset Class]],tblInherentImpacts3046[],2,FALSE)</f>
        <v>3</v>
      </c>
      <c r="P45" s="24">
        <f>VLOOKUP(tblRiskRegister322[[#This Row],[Asset Class]],tblInherentImpacts3046[],3,FALSE)</f>
        <v>4</v>
      </c>
      <c r="Q45" s="24">
        <f>VLOOKUP(tblRiskRegister322[[#This Row],[Asset Class]],tblInherentImpacts3046[],4,FALSE)</f>
        <v>5</v>
      </c>
      <c r="R45" s="24">
        <f>VLOOKUP(tblRiskRegister322[[#This Row],[Asset Class]],tblInherentImpacts3046[],5,FALSE)</f>
        <v>4</v>
      </c>
      <c r="S45" s="24">
        <f>IFERROR(MAX(tblRiskRegister322[[#This Row],[Impact to Mission]:[Impact to Obligations]])*tblRiskRegister322[[#This Row],[Expectancy Score]],"")</f>
        <v>15</v>
      </c>
      <c r="T45" s="24">
        <f>tblRiskRegister322[[#This Row],[Risk Score]]</f>
        <v>15</v>
      </c>
      <c r="U45" s="13"/>
      <c r="V45" s="86">
        <v>4.1100000000000003</v>
      </c>
      <c r="W45" s="15" t="s">
        <v>186</v>
      </c>
      <c r="X45" s="15" t="s">
        <v>354</v>
      </c>
      <c r="Y45" s="26"/>
      <c r="Z45" s="16"/>
      <c r="AA45" s="23" t="str">
        <f>IFERROR(VLOOKUP(10*tblRiskRegister322[[#This Row],[Risk Treatment Safeguard Maturity Score]]+tblRiskRegister322[[#This Row],[VCDB Index]],tblHITIndexWeightTable[],4,FALSE),"")</f>
        <v/>
      </c>
      <c r="AB45" s="108">
        <f>VLOOKUP(tblRiskRegister322[[#This Row],[Asset Class]],tblInherentImpacts3046[],2,FALSE)</f>
        <v>3</v>
      </c>
      <c r="AC45" s="108">
        <f>VLOOKUP(tblRiskRegister322[[#This Row],[Asset Class]],tblInherentImpacts3046[],3,FALSE)</f>
        <v>4</v>
      </c>
      <c r="AD45" s="108">
        <f>VLOOKUP(tblRiskRegister322[[#This Row],[Asset Class]],tblInherentImpacts3046[],4,FALSE)</f>
        <v>5</v>
      </c>
      <c r="AE45" s="108">
        <f>VLOOKUP(tblRiskRegister322[[#This Row],[Asset Class]],tblInherentImpacts3046[],5,FALSE)</f>
        <v>4</v>
      </c>
      <c r="AF45" s="23" t="str">
        <f>IFERROR(MAX(tblRiskRegister322[[#This Row],[Risk Treatment Safeguard Impact to Mission]:[Risk Treatment Safeguard Impact to Obligations]])*tblRiskRegister322[[#This Row],[Risk Treatment
Safeguard Expectancy Score]],"")</f>
        <v/>
      </c>
      <c r="AG45" s="23" t="str" cm="1">
        <f t="array" ref="AG45">IF(tblRiskRegister322[[#This Row],[Risk Score]]&gt;=AcceptableRisk1,IF(tblRiskRegister322[[#This Row],[Risk Treatment Safeguard Risk Score]]&lt;AcceptableRisk1, IF(tblRiskRegister322[[#This Row],[Risk Treatment Safeguard Risk Score]]&lt;tblRiskRegister322[[#This Row],[Risk Score]],"Yes","No"),"No"),"Yes")</f>
        <v>No</v>
      </c>
      <c r="AH45" s="17"/>
      <c r="AI45" s="17"/>
      <c r="AJ45" s="18"/>
    </row>
    <row r="46" spans="2:36" ht="70">
      <c r="B46" s="15" t="s">
        <v>93</v>
      </c>
      <c r="C46" s="15"/>
      <c r="D46" s="13">
        <v>5.0999999999999996</v>
      </c>
      <c r="E46" s="14" t="s">
        <v>55</v>
      </c>
      <c r="F46" s="13" t="s">
        <v>429</v>
      </c>
      <c r="G46" s="13" t="s">
        <v>429</v>
      </c>
      <c r="H46" s="13" t="s">
        <v>521</v>
      </c>
      <c r="I46" s="14"/>
      <c r="J46" s="14"/>
      <c r="K46" s="14"/>
      <c r="L46" s="109">
        <v>5</v>
      </c>
      <c r="M46" s="24">
        <f>IFERROR(VLOOKUP(tblRiskRegister322[[#This Row],[Asset Class]],tblVCDBIndex[],4,FALSE),"")</f>
        <v>2</v>
      </c>
      <c r="N46" s="24">
        <f>IFERROR(VLOOKUP(10*tblRiskRegister322[[#This Row],[Safeguard Maturity Score]]+tblRiskRegister322[[#This Row],[VCDB Index]],tblHITIndexWeightTable[],4,FALSE),"")</f>
        <v>1</v>
      </c>
      <c r="O46" s="24">
        <f>VLOOKUP(tblRiskRegister322[[#This Row],[Asset Class]],tblInherentImpacts3046[],2,FALSE)</f>
        <v>3</v>
      </c>
      <c r="P46" s="24">
        <f>VLOOKUP(tblRiskRegister322[[#This Row],[Asset Class]],tblInherentImpacts3046[],3,FALSE)</f>
        <v>3</v>
      </c>
      <c r="Q46" s="24">
        <f>VLOOKUP(tblRiskRegister322[[#This Row],[Asset Class]],tblInherentImpacts3046[],4,FALSE)</f>
        <v>4</v>
      </c>
      <c r="R46" s="24">
        <f>VLOOKUP(tblRiskRegister322[[#This Row],[Asset Class]],tblInherentImpacts3046[],5,FALSE)</f>
        <v>3</v>
      </c>
      <c r="S46" s="24">
        <f>IFERROR(MAX(tblRiskRegister322[[#This Row],[Impact to Mission]:[Impact to Obligations]])*tblRiskRegister322[[#This Row],[Expectancy Score]],"")</f>
        <v>4</v>
      </c>
      <c r="T46" s="24">
        <f>tblRiskRegister322[[#This Row],[Risk Score]]</f>
        <v>4</v>
      </c>
      <c r="U46" s="13"/>
      <c r="V46" s="86">
        <v>5.0999999999999996</v>
      </c>
      <c r="W46" s="15" t="s">
        <v>55</v>
      </c>
      <c r="X46" s="15" t="s">
        <v>544</v>
      </c>
      <c r="Y46" s="26"/>
      <c r="Z46" s="16"/>
      <c r="AA46" s="23" t="str">
        <f>IFERROR(VLOOKUP(10*tblRiskRegister322[[#This Row],[Risk Treatment Safeguard Maturity Score]]+tblRiskRegister322[[#This Row],[VCDB Index]],tblHITIndexWeightTable[],4,FALSE),"")</f>
        <v/>
      </c>
      <c r="AB46" s="108">
        <f>VLOOKUP(tblRiskRegister322[[#This Row],[Asset Class]],tblInherentImpacts3046[],2,FALSE)</f>
        <v>3</v>
      </c>
      <c r="AC46" s="108">
        <f>VLOOKUP(tblRiskRegister322[[#This Row],[Asset Class]],tblInherentImpacts3046[],3,FALSE)</f>
        <v>3</v>
      </c>
      <c r="AD46" s="108">
        <f>VLOOKUP(tblRiskRegister322[[#This Row],[Asset Class]],tblInherentImpacts3046[],4,FALSE)</f>
        <v>4</v>
      </c>
      <c r="AE46" s="108">
        <f>VLOOKUP(tblRiskRegister322[[#This Row],[Asset Class]],tblInherentImpacts3046[],5,FALSE)</f>
        <v>3</v>
      </c>
      <c r="AF46" s="23" t="str">
        <f>IFERROR(MAX(tblRiskRegister322[[#This Row],[Risk Treatment Safeguard Impact to Mission]:[Risk Treatment Safeguard Impact to Obligations]])*tblRiskRegister322[[#This Row],[Risk Treatment
Safeguard Expectancy Score]],"")</f>
        <v/>
      </c>
      <c r="AG46" s="23" t="str" cm="1">
        <f t="array" ref="AG46">IF(tblRiskRegister322[[#This Row],[Risk Score]]&gt;=AcceptableRisk1,IF(tblRiskRegister322[[#This Row],[Risk Treatment Safeguard Risk Score]]&lt;AcceptableRisk1, IF(tblRiskRegister322[[#This Row],[Risk Treatment Safeguard Risk Score]]&lt;tblRiskRegister322[[#This Row],[Risk Score]],"Yes","No"),"No"),"Yes")</f>
        <v>Yes</v>
      </c>
      <c r="AH46" s="17"/>
      <c r="AI46" s="17"/>
      <c r="AJ46" s="18"/>
    </row>
    <row r="47" spans="2:36" ht="42">
      <c r="B47" s="15" t="s">
        <v>93</v>
      </c>
      <c r="C47" s="15"/>
      <c r="D47" s="13">
        <v>5.2</v>
      </c>
      <c r="E47" s="14" t="s">
        <v>14</v>
      </c>
      <c r="F47" s="13" t="s">
        <v>429</v>
      </c>
      <c r="G47" s="13" t="s">
        <v>429</v>
      </c>
      <c r="H47" s="13" t="s">
        <v>523</v>
      </c>
      <c r="I47" s="14"/>
      <c r="J47" s="14"/>
      <c r="K47" s="14"/>
      <c r="L47" s="109">
        <v>1</v>
      </c>
      <c r="M47" s="24">
        <f>IFERROR(VLOOKUP(tblRiskRegister322[[#This Row],[Asset Class]],tblVCDBIndex[],4,FALSE),"")</f>
        <v>2</v>
      </c>
      <c r="N47" s="24">
        <f>IFERROR(VLOOKUP(10*tblRiskRegister322[[#This Row],[Safeguard Maturity Score]]+tblRiskRegister322[[#This Row],[VCDB Index]],tblHITIndexWeightTable[],4,FALSE),"")</f>
        <v>5</v>
      </c>
      <c r="O47" s="24">
        <f>VLOOKUP(tblRiskRegister322[[#This Row],[Asset Class]],tblInherentImpacts3046[],2,FALSE)</f>
        <v>3</v>
      </c>
      <c r="P47" s="24">
        <f>VLOOKUP(tblRiskRegister322[[#This Row],[Asset Class]],tblInherentImpacts3046[],3,FALSE)</f>
        <v>3</v>
      </c>
      <c r="Q47" s="24">
        <f>VLOOKUP(tblRiskRegister322[[#This Row],[Asset Class]],tblInherentImpacts3046[],4,FALSE)</f>
        <v>4</v>
      </c>
      <c r="R47" s="24">
        <f>VLOOKUP(tblRiskRegister322[[#This Row],[Asset Class]],tblInherentImpacts3046[],5,FALSE)</f>
        <v>3</v>
      </c>
      <c r="S47" s="24">
        <f>IFERROR(MAX(tblRiskRegister322[[#This Row],[Impact to Mission]:[Impact to Obligations]])*tblRiskRegister322[[#This Row],[Expectancy Score]],"")</f>
        <v>20</v>
      </c>
      <c r="T47" s="24">
        <f>tblRiskRegister322[[#This Row],[Risk Score]]</f>
        <v>20</v>
      </c>
      <c r="U47" s="13"/>
      <c r="V47" s="86">
        <v>5.2</v>
      </c>
      <c r="W47" s="15" t="s">
        <v>14</v>
      </c>
      <c r="X47" s="15" t="s">
        <v>545</v>
      </c>
      <c r="Y47" s="26"/>
      <c r="Z47" s="16"/>
      <c r="AA47" s="23" t="str">
        <f>IFERROR(VLOOKUP(10*tblRiskRegister322[[#This Row],[Risk Treatment Safeguard Maturity Score]]+tblRiskRegister322[[#This Row],[VCDB Index]],tblHITIndexWeightTable[],4,FALSE),"")</f>
        <v/>
      </c>
      <c r="AB47" s="108">
        <f>VLOOKUP(tblRiskRegister322[[#This Row],[Asset Class]],tblInherentImpacts3046[],2,FALSE)</f>
        <v>3</v>
      </c>
      <c r="AC47" s="108">
        <f>VLOOKUP(tblRiskRegister322[[#This Row],[Asset Class]],tblInherentImpacts3046[],3,FALSE)</f>
        <v>3</v>
      </c>
      <c r="AD47" s="108">
        <f>VLOOKUP(tblRiskRegister322[[#This Row],[Asset Class]],tblInherentImpacts3046[],4,FALSE)</f>
        <v>4</v>
      </c>
      <c r="AE47" s="108">
        <f>VLOOKUP(tblRiskRegister322[[#This Row],[Asset Class]],tblInherentImpacts3046[],5,FALSE)</f>
        <v>3</v>
      </c>
      <c r="AF47" s="23" t="str">
        <f>IFERROR(MAX(tblRiskRegister322[[#This Row],[Risk Treatment Safeguard Impact to Mission]:[Risk Treatment Safeguard Impact to Obligations]])*tblRiskRegister322[[#This Row],[Risk Treatment
Safeguard Expectancy Score]],"")</f>
        <v/>
      </c>
      <c r="AG47" s="23" t="str" cm="1">
        <f t="array" ref="AG47">IF(tblRiskRegister322[[#This Row],[Risk Score]]&gt;=AcceptableRisk1,IF(tblRiskRegister322[[#This Row],[Risk Treatment Safeguard Risk Score]]&lt;AcceptableRisk1, IF(tblRiskRegister322[[#This Row],[Risk Treatment Safeguard Risk Score]]&lt;tblRiskRegister322[[#This Row],[Risk Score]],"Yes","No"),"No"),"Yes")</f>
        <v>No</v>
      </c>
      <c r="AH47" s="17"/>
      <c r="AI47" s="17"/>
      <c r="AJ47" s="18"/>
    </row>
    <row r="48" spans="2:36" ht="14">
      <c r="B48" s="15" t="s">
        <v>93</v>
      </c>
      <c r="C48" s="15"/>
      <c r="D48" s="13">
        <v>5.3</v>
      </c>
      <c r="E48" s="14" t="s">
        <v>16</v>
      </c>
      <c r="F48" s="13" t="s">
        <v>429</v>
      </c>
      <c r="G48" s="13" t="s">
        <v>429</v>
      </c>
      <c r="H48" s="13" t="s">
        <v>523</v>
      </c>
      <c r="I48" s="14"/>
      <c r="J48" s="14"/>
      <c r="K48" s="14"/>
      <c r="L48" s="109">
        <v>2</v>
      </c>
      <c r="M48" s="24">
        <f>IFERROR(VLOOKUP(tblRiskRegister322[[#This Row],[Asset Class]],tblVCDBIndex[],4,FALSE),"")</f>
        <v>2</v>
      </c>
      <c r="N48" s="24">
        <f>IFERROR(VLOOKUP(10*tblRiskRegister322[[#This Row],[Safeguard Maturity Score]]+tblRiskRegister322[[#This Row],[VCDB Index]],tblHITIndexWeightTable[],4,FALSE),"")</f>
        <v>3</v>
      </c>
      <c r="O48" s="24">
        <f>VLOOKUP(tblRiskRegister322[[#This Row],[Asset Class]],tblInherentImpacts3046[],2,FALSE)</f>
        <v>3</v>
      </c>
      <c r="P48" s="24">
        <f>VLOOKUP(tblRiskRegister322[[#This Row],[Asset Class]],tblInherentImpacts3046[],3,FALSE)</f>
        <v>3</v>
      </c>
      <c r="Q48" s="24">
        <f>VLOOKUP(tblRiskRegister322[[#This Row],[Asset Class]],tblInherentImpacts3046[],4,FALSE)</f>
        <v>4</v>
      </c>
      <c r="R48" s="24">
        <f>VLOOKUP(tblRiskRegister322[[#This Row],[Asset Class]],tblInherentImpacts3046[],5,FALSE)</f>
        <v>3</v>
      </c>
      <c r="S48" s="24">
        <f>IFERROR(MAX(tblRiskRegister322[[#This Row],[Impact to Mission]:[Impact to Obligations]])*tblRiskRegister322[[#This Row],[Expectancy Score]],"")</f>
        <v>12</v>
      </c>
      <c r="T48" s="24">
        <f>tblRiskRegister322[[#This Row],[Risk Score]]</f>
        <v>12</v>
      </c>
      <c r="U48" s="13"/>
      <c r="V48" s="86">
        <v>5.3</v>
      </c>
      <c r="W48" s="15" t="s">
        <v>16</v>
      </c>
      <c r="X48" s="15" t="s">
        <v>355</v>
      </c>
      <c r="Y48" s="26"/>
      <c r="Z48" s="16"/>
      <c r="AA48" s="23" t="str">
        <f>IFERROR(VLOOKUP(10*tblRiskRegister322[[#This Row],[Risk Treatment Safeguard Maturity Score]]+tblRiskRegister322[[#This Row],[VCDB Index]],tblHITIndexWeightTable[],4,FALSE),"")</f>
        <v/>
      </c>
      <c r="AB48" s="108">
        <f>VLOOKUP(tblRiskRegister322[[#This Row],[Asset Class]],tblInherentImpacts3046[],2,FALSE)</f>
        <v>3</v>
      </c>
      <c r="AC48" s="108">
        <f>VLOOKUP(tblRiskRegister322[[#This Row],[Asset Class]],tblInherentImpacts3046[],3,FALSE)</f>
        <v>3</v>
      </c>
      <c r="AD48" s="108">
        <f>VLOOKUP(tblRiskRegister322[[#This Row],[Asset Class]],tblInherentImpacts3046[],4,FALSE)</f>
        <v>4</v>
      </c>
      <c r="AE48" s="108">
        <f>VLOOKUP(tblRiskRegister322[[#This Row],[Asset Class]],tblInherentImpacts3046[],5,FALSE)</f>
        <v>3</v>
      </c>
      <c r="AF48" s="23" t="str">
        <f>IFERROR(MAX(tblRiskRegister322[[#This Row],[Risk Treatment Safeguard Impact to Mission]:[Risk Treatment Safeguard Impact to Obligations]])*tblRiskRegister322[[#This Row],[Risk Treatment
Safeguard Expectancy Score]],"")</f>
        <v/>
      </c>
      <c r="AG48" s="23" t="str" cm="1">
        <f t="array" ref="AG48">IF(tblRiskRegister322[[#This Row],[Risk Score]]&gt;=AcceptableRisk1,IF(tblRiskRegister322[[#This Row],[Risk Treatment Safeguard Risk Score]]&lt;AcceptableRisk1, IF(tblRiskRegister322[[#This Row],[Risk Treatment Safeguard Risk Score]]&lt;tblRiskRegister322[[#This Row],[Risk Score]],"Yes","No"),"No"),"Yes")</f>
        <v>No</v>
      </c>
      <c r="AH48" s="17"/>
      <c r="AI48" s="17"/>
      <c r="AJ48" s="18"/>
    </row>
    <row r="49" spans="2:36" ht="42">
      <c r="B49" s="15" t="s">
        <v>93</v>
      </c>
      <c r="C49" s="15"/>
      <c r="D49" s="13">
        <v>5.4</v>
      </c>
      <c r="E49" s="14" t="s">
        <v>56</v>
      </c>
      <c r="F49" s="13" t="s">
        <v>429</v>
      </c>
      <c r="G49" s="13" t="s">
        <v>429</v>
      </c>
      <c r="H49" s="13" t="s">
        <v>523</v>
      </c>
      <c r="I49" s="14"/>
      <c r="J49" s="14"/>
      <c r="K49" s="14"/>
      <c r="L49" s="109">
        <v>3</v>
      </c>
      <c r="M49" s="24">
        <f>IFERROR(VLOOKUP(tblRiskRegister322[[#This Row],[Asset Class]],tblVCDBIndex[],4,FALSE),"")</f>
        <v>2</v>
      </c>
      <c r="N49" s="24">
        <f>IFERROR(VLOOKUP(10*tblRiskRegister322[[#This Row],[Safeguard Maturity Score]]+tblRiskRegister322[[#This Row],[VCDB Index]],tblHITIndexWeightTable[],4,FALSE),"")</f>
        <v>3</v>
      </c>
      <c r="O49" s="24">
        <f>VLOOKUP(tblRiskRegister322[[#This Row],[Asset Class]],tblInherentImpacts3046[],2,FALSE)</f>
        <v>3</v>
      </c>
      <c r="P49" s="24">
        <f>VLOOKUP(tblRiskRegister322[[#This Row],[Asset Class]],tblInherentImpacts3046[],3,FALSE)</f>
        <v>3</v>
      </c>
      <c r="Q49" s="24">
        <f>VLOOKUP(tblRiskRegister322[[#This Row],[Asset Class]],tblInherentImpacts3046[],4,FALSE)</f>
        <v>4</v>
      </c>
      <c r="R49" s="24">
        <f>VLOOKUP(tblRiskRegister322[[#This Row],[Asset Class]],tblInherentImpacts3046[],5,FALSE)</f>
        <v>3</v>
      </c>
      <c r="S49" s="24">
        <f>IFERROR(MAX(tblRiskRegister322[[#This Row],[Impact to Mission]:[Impact to Obligations]])*tblRiskRegister322[[#This Row],[Expectancy Score]],"")</f>
        <v>12</v>
      </c>
      <c r="T49" s="24">
        <f>tblRiskRegister322[[#This Row],[Risk Score]]</f>
        <v>12</v>
      </c>
      <c r="U49" s="13"/>
      <c r="V49" s="86">
        <v>5.4</v>
      </c>
      <c r="W49" s="15" t="s">
        <v>56</v>
      </c>
      <c r="X49" s="15" t="s">
        <v>356</v>
      </c>
      <c r="Y49" s="26"/>
      <c r="Z49" s="16"/>
      <c r="AA49" s="23" t="str">
        <f>IFERROR(VLOOKUP(10*tblRiskRegister322[[#This Row],[Risk Treatment Safeguard Maturity Score]]+tblRiskRegister322[[#This Row],[VCDB Index]],tblHITIndexWeightTable[],4,FALSE),"")</f>
        <v/>
      </c>
      <c r="AB49" s="108">
        <f>VLOOKUP(tblRiskRegister322[[#This Row],[Asset Class]],tblInherentImpacts3046[],2,FALSE)</f>
        <v>3</v>
      </c>
      <c r="AC49" s="108">
        <f>VLOOKUP(tblRiskRegister322[[#This Row],[Asset Class]],tblInherentImpacts3046[],3,FALSE)</f>
        <v>3</v>
      </c>
      <c r="AD49" s="108">
        <f>VLOOKUP(tblRiskRegister322[[#This Row],[Asset Class]],tblInherentImpacts3046[],4,FALSE)</f>
        <v>4</v>
      </c>
      <c r="AE49" s="108">
        <f>VLOOKUP(tblRiskRegister322[[#This Row],[Asset Class]],tblInherentImpacts3046[],5,FALSE)</f>
        <v>3</v>
      </c>
      <c r="AF49" s="23" t="str">
        <f>IFERROR(MAX(tblRiskRegister322[[#This Row],[Risk Treatment Safeguard Impact to Mission]:[Risk Treatment Safeguard Impact to Obligations]])*tblRiskRegister322[[#This Row],[Risk Treatment
Safeguard Expectancy Score]],"")</f>
        <v/>
      </c>
      <c r="AG49" s="23" t="str" cm="1">
        <f t="array" ref="AG49">IF(tblRiskRegister322[[#This Row],[Risk Score]]&gt;=AcceptableRisk1,IF(tblRiskRegister322[[#This Row],[Risk Treatment Safeguard Risk Score]]&lt;AcceptableRisk1, IF(tblRiskRegister322[[#This Row],[Risk Treatment Safeguard Risk Score]]&lt;tblRiskRegister322[[#This Row],[Risk Score]],"Yes","No"),"No"),"Yes")</f>
        <v>No</v>
      </c>
      <c r="AH49" s="17"/>
      <c r="AI49" s="17"/>
      <c r="AJ49" s="18"/>
    </row>
    <row r="50" spans="2:36" ht="56">
      <c r="B50" s="15" t="s">
        <v>93</v>
      </c>
      <c r="C50" s="15"/>
      <c r="D50" s="13">
        <v>5.5</v>
      </c>
      <c r="E50" s="14" t="s">
        <v>227</v>
      </c>
      <c r="F50" s="13"/>
      <c r="G50" s="13" t="s">
        <v>429</v>
      </c>
      <c r="H50" s="13" t="s">
        <v>521</v>
      </c>
      <c r="I50" s="14"/>
      <c r="J50" s="14"/>
      <c r="K50" s="14"/>
      <c r="L50" s="109">
        <v>4</v>
      </c>
      <c r="M50" s="24">
        <f>IFERROR(VLOOKUP(tblRiskRegister322[[#This Row],[Asset Class]],tblVCDBIndex[],4,FALSE),"")</f>
        <v>2</v>
      </c>
      <c r="N50" s="24">
        <f>IFERROR(VLOOKUP(10*tblRiskRegister322[[#This Row],[Safeguard Maturity Score]]+tblRiskRegister322[[#This Row],[VCDB Index]],tblHITIndexWeightTable[],4,FALSE),"")</f>
        <v>2</v>
      </c>
      <c r="O50" s="24">
        <f>VLOOKUP(tblRiskRegister322[[#This Row],[Asset Class]],tblInherentImpacts3046[],2,FALSE)</f>
        <v>3</v>
      </c>
      <c r="P50" s="24">
        <f>VLOOKUP(tblRiskRegister322[[#This Row],[Asset Class]],tblInherentImpacts3046[],3,FALSE)</f>
        <v>3</v>
      </c>
      <c r="Q50" s="24">
        <f>VLOOKUP(tblRiskRegister322[[#This Row],[Asset Class]],tblInherentImpacts3046[],4,FALSE)</f>
        <v>4</v>
      </c>
      <c r="R50" s="24">
        <f>VLOOKUP(tblRiskRegister322[[#This Row],[Asset Class]],tblInherentImpacts3046[],5,FALSE)</f>
        <v>3</v>
      </c>
      <c r="S50" s="24">
        <f>IFERROR(MAX(tblRiskRegister322[[#This Row],[Impact to Mission]:[Impact to Obligations]])*tblRiskRegister322[[#This Row],[Expectancy Score]],"")</f>
        <v>8</v>
      </c>
      <c r="T50" s="24">
        <f>tblRiskRegister322[[#This Row],[Risk Score]]</f>
        <v>8</v>
      </c>
      <c r="U50" s="13"/>
      <c r="V50" s="86">
        <v>5.5</v>
      </c>
      <c r="W50" s="15" t="s">
        <v>227</v>
      </c>
      <c r="X50" s="15" t="s">
        <v>357</v>
      </c>
      <c r="Y50" s="26"/>
      <c r="Z50" s="16"/>
      <c r="AA50" s="23" t="str">
        <f>IFERROR(VLOOKUP(10*tblRiskRegister322[[#This Row],[Risk Treatment Safeguard Maturity Score]]+tblRiskRegister322[[#This Row],[VCDB Index]],tblHITIndexWeightTable[],4,FALSE),"")</f>
        <v/>
      </c>
      <c r="AB50" s="108">
        <f>VLOOKUP(tblRiskRegister322[[#This Row],[Asset Class]],tblInherentImpacts3046[],2,FALSE)</f>
        <v>3</v>
      </c>
      <c r="AC50" s="108">
        <f>VLOOKUP(tblRiskRegister322[[#This Row],[Asset Class]],tblInherentImpacts3046[],3,FALSE)</f>
        <v>3</v>
      </c>
      <c r="AD50" s="108">
        <f>VLOOKUP(tblRiskRegister322[[#This Row],[Asset Class]],tblInherentImpacts3046[],4,FALSE)</f>
        <v>4</v>
      </c>
      <c r="AE50" s="108">
        <f>VLOOKUP(tblRiskRegister322[[#This Row],[Asset Class]],tblInherentImpacts3046[],5,FALSE)</f>
        <v>3</v>
      </c>
      <c r="AF50" s="23" t="str">
        <f>IFERROR(MAX(tblRiskRegister322[[#This Row],[Risk Treatment Safeguard Impact to Mission]:[Risk Treatment Safeguard Impact to Obligations]])*tblRiskRegister322[[#This Row],[Risk Treatment
Safeguard Expectancy Score]],"")</f>
        <v/>
      </c>
      <c r="AG50" s="23" t="str" cm="1">
        <f t="array" ref="AG50">IF(tblRiskRegister322[[#This Row],[Risk Score]]&gt;=AcceptableRisk1,IF(tblRiskRegister322[[#This Row],[Risk Treatment Safeguard Risk Score]]&lt;AcceptableRisk1, IF(tblRiskRegister322[[#This Row],[Risk Treatment Safeguard Risk Score]]&lt;tblRiskRegister322[[#This Row],[Risk Score]],"Yes","No"),"No"),"Yes")</f>
        <v>Yes</v>
      </c>
      <c r="AH50" s="17"/>
      <c r="AI50" s="17"/>
      <c r="AJ50" s="18"/>
    </row>
    <row r="51" spans="2:36" ht="14">
      <c r="B51" s="15" t="s">
        <v>93</v>
      </c>
      <c r="C51" s="15"/>
      <c r="D51" s="13">
        <v>5.6</v>
      </c>
      <c r="E51" s="14" t="s">
        <v>228</v>
      </c>
      <c r="F51" s="13"/>
      <c r="G51" s="13" t="s">
        <v>429</v>
      </c>
      <c r="H51" s="13" t="s">
        <v>532</v>
      </c>
      <c r="I51" s="14"/>
      <c r="J51" s="14"/>
      <c r="K51" s="14"/>
      <c r="L51" s="109">
        <v>5</v>
      </c>
      <c r="M51" s="24">
        <f>IFERROR(VLOOKUP(tblRiskRegister322[[#This Row],[Asset Class]],tblVCDBIndex[],4,FALSE),"")</f>
        <v>2</v>
      </c>
      <c r="N51" s="24">
        <f>IFERROR(VLOOKUP(10*tblRiskRegister322[[#This Row],[Safeguard Maturity Score]]+tblRiskRegister322[[#This Row],[VCDB Index]],tblHITIndexWeightTable[],4,FALSE),"")</f>
        <v>1</v>
      </c>
      <c r="O51" s="24">
        <f>VLOOKUP(tblRiskRegister322[[#This Row],[Asset Class]],tblInherentImpacts3046[],2,FALSE)</f>
        <v>3</v>
      </c>
      <c r="P51" s="24">
        <f>VLOOKUP(tblRiskRegister322[[#This Row],[Asset Class]],tblInherentImpacts3046[],3,FALSE)</f>
        <v>3</v>
      </c>
      <c r="Q51" s="24">
        <f>VLOOKUP(tblRiskRegister322[[#This Row],[Asset Class]],tblInherentImpacts3046[],4,FALSE)</f>
        <v>4</v>
      </c>
      <c r="R51" s="24">
        <f>VLOOKUP(tblRiskRegister322[[#This Row],[Asset Class]],tblInherentImpacts3046[],5,FALSE)</f>
        <v>3</v>
      </c>
      <c r="S51" s="24">
        <f>IFERROR(MAX(tblRiskRegister322[[#This Row],[Impact to Mission]:[Impact to Obligations]])*tblRiskRegister322[[#This Row],[Expectancy Score]],"")</f>
        <v>4</v>
      </c>
      <c r="T51" s="24">
        <f>tblRiskRegister322[[#This Row],[Risk Score]]</f>
        <v>4</v>
      </c>
      <c r="U51" s="13"/>
      <c r="V51" s="86">
        <v>5.6</v>
      </c>
      <c r="W51" s="15" t="s">
        <v>228</v>
      </c>
      <c r="X51" s="15" t="s">
        <v>358</v>
      </c>
      <c r="Y51" s="26"/>
      <c r="Z51" s="16"/>
      <c r="AA51" s="23" t="str">
        <f>IFERROR(VLOOKUP(10*tblRiskRegister322[[#This Row],[Risk Treatment Safeguard Maturity Score]]+tblRiskRegister322[[#This Row],[VCDB Index]],tblHITIndexWeightTable[],4,FALSE),"")</f>
        <v/>
      </c>
      <c r="AB51" s="108">
        <f>VLOOKUP(tblRiskRegister322[[#This Row],[Asset Class]],tblInherentImpacts3046[],2,FALSE)</f>
        <v>3</v>
      </c>
      <c r="AC51" s="108">
        <f>VLOOKUP(tblRiskRegister322[[#This Row],[Asset Class]],tblInherentImpacts3046[],3,FALSE)</f>
        <v>3</v>
      </c>
      <c r="AD51" s="108">
        <f>VLOOKUP(tblRiskRegister322[[#This Row],[Asset Class]],tblInherentImpacts3046[],4,FALSE)</f>
        <v>4</v>
      </c>
      <c r="AE51" s="108">
        <f>VLOOKUP(tblRiskRegister322[[#This Row],[Asset Class]],tblInherentImpacts3046[],5,FALSE)</f>
        <v>3</v>
      </c>
      <c r="AF51" s="23" t="str">
        <f>IFERROR(MAX(tblRiskRegister322[[#This Row],[Risk Treatment Safeguard Impact to Mission]:[Risk Treatment Safeguard Impact to Obligations]])*tblRiskRegister322[[#This Row],[Risk Treatment
Safeguard Expectancy Score]],"")</f>
        <v/>
      </c>
      <c r="AG51" s="23" t="str" cm="1">
        <f t="array" ref="AG51">IF(tblRiskRegister322[[#This Row],[Risk Score]]&gt;=AcceptableRisk1,IF(tblRiskRegister322[[#This Row],[Risk Treatment Safeguard Risk Score]]&lt;AcceptableRisk1, IF(tblRiskRegister322[[#This Row],[Risk Treatment Safeguard Risk Score]]&lt;tblRiskRegister322[[#This Row],[Risk Score]],"Yes","No"),"No"),"Yes")</f>
        <v>Yes</v>
      </c>
      <c r="AH51" s="17"/>
      <c r="AI51" s="17"/>
      <c r="AJ51" s="18"/>
    </row>
    <row r="52" spans="2:36" ht="28">
      <c r="B52" s="15" t="s">
        <v>528</v>
      </c>
      <c r="C52" s="15"/>
      <c r="D52" s="13">
        <v>6.1</v>
      </c>
      <c r="E52" s="14" t="s">
        <v>57</v>
      </c>
      <c r="F52" s="13" t="s">
        <v>429</v>
      </c>
      <c r="G52" s="13" t="s">
        <v>429</v>
      </c>
      <c r="H52" s="13" t="s">
        <v>532</v>
      </c>
      <c r="I52" s="14"/>
      <c r="J52" s="14"/>
      <c r="K52" s="14"/>
      <c r="L52" s="109">
        <v>2</v>
      </c>
      <c r="M52" s="24">
        <f>IFERROR(VLOOKUP(tblRiskRegister322[[#This Row],[Asset Class]],tblVCDBIndex[],4,FALSE),"")</f>
        <v>2</v>
      </c>
      <c r="N52" s="24">
        <f>IFERROR(VLOOKUP(10*tblRiskRegister322[[#This Row],[Safeguard Maturity Score]]+tblRiskRegister322[[#This Row],[VCDB Index]],tblHITIndexWeightTable[],4,FALSE),"")</f>
        <v>3</v>
      </c>
      <c r="O52" s="24">
        <f>VLOOKUP(tblRiskRegister322[[#This Row],[Asset Class]],tblInherentImpacts3046[],2,FALSE)</f>
        <v>2</v>
      </c>
      <c r="P52" s="24">
        <f>VLOOKUP(tblRiskRegister322[[#This Row],[Asset Class]],tblInherentImpacts3046[],3,FALSE)</f>
        <v>3</v>
      </c>
      <c r="Q52" s="24">
        <f>VLOOKUP(tblRiskRegister322[[#This Row],[Asset Class]],tblInherentImpacts3046[],4,FALSE)</f>
        <v>2</v>
      </c>
      <c r="R52" s="24">
        <f>VLOOKUP(tblRiskRegister322[[#This Row],[Asset Class]],tblInherentImpacts3046[],5,FALSE)</f>
        <v>2</v>
      </c>
      <c r="S52" s="24">
        <f>IFERROR(MAX(tblRiskRegister322[[#This Row],[Impact to Mission]:[Impact to Obligations]])*tblRiskRegister322[[#This Row],[Expectancy Score]],"")</f>
        <v>9</v>
      </c>
      <c r="T52" s="24">
        <f>tblRiskRegister322[[#This Row],[Risk Score]]</f>
        <v>9</v>
      </c>
      <c r="U52" s="13"/>
      <c r="V52" s="86">
        <v>6.1</v>
      </c>
      <c r="W52" s="15" t="s">
        <v>57</v>
      </c>
      <c r="X52" s="15" t="s">
        <v>546</v>
      </c>
      <c r="Y52" s="26"/>
      <c r="Z52" s="16"/>
      <c r="AA52" s="23" t="str">
        <f>IFERROR(VLOOKUP(10*tblRiskRegister322[[#This Row],[Risk Treatment Safeguard Maturity Score]]+tblRiskRegister322[[#This Row],[VCDB Index]],tblHITIndexWeightTable[],4,FALSE),"")</f>
        <v/>
      </c>
      <c r="AB52" s="108">
        <f>VLOOKUP(tblRiskRegister322[[#This Row],[Asset Class]],tblInherentImpacts3046[],2,FALSE)</f>
        <v>2</v>
      </c>
      <c r="AC52" s="108">
        <f>VLOOKUP(tblRiskRegister322[[#This Row],[Asset Class]],tblInherentImpacts3046[],3,FALSE)</f>
        <v>3</v>
      </c>
      <c r="AD52" s="108">
        <f>VLOOKUP(tblRiskRegister322[[#This Row],[Asset Class]],tblInherentImpacts3046[],4,FALSE)</f>
        <v>2</v>
      </c>
      <c r="AE52" s="108">
        <f>VLOOKUP(tblRiskRegister322[[#This Row],[Asset Class]],tblInherentImpacts3046[],5,FALSE)</f>
        <v>2</v>
      </c>
      <c r="AF52" s="23" t="str">
        <f>IFERROR(MAX(tblRiskRegister322[[#This Row],[Risk Treatment Safeguard Impact to Mission]:[Risk Treatment Safeguard Impact to Obligations]])*tblRiskRegister322[[#This Row],[Risk Treatment
Safeguard Expectancy Score]],"")</f>
        <v/>
      </c>
      <c r="AG52" s="23" t="str" cm="1">
        <f t="array" ref="AG52">IF(tblRiskRegister322[[#This Row],[Risk Score]]&gt;=AcceptableRisk1,IF(tblRiskRegister322[[#This Row],[Risk Treatment Safeguard Risk Score]]&lt;AcceptableRisk1, IF(tblRiskRegister322[[#This Row],[Risk Treatment Safeguard Risk Score]]&lt;tblRiskRegister322[[#This Row],[Risk Score]],"Yes","No"),"No"),"Yes")</f>
        <v>No</v>
      </c>
      <c r="AH52" s="17"/>
      <c r="AI52" s="17"/>
      <c r="AJ52" s="18"/>
    </row>
    <row r="53" spans="2:36" ht="56">
      <c r="B53" s="15" t="s">
        <v>528</v>
      </c>
      <c r="C53" s="15"/>
      <c r="D53" s="13">
        <v>6.2</v>
      </c>
      <c r="E53" s="14" t="s">
        <v>58</v>
      </c>
      <c r="F53" s="13" t="s">
        <v>429</v>
      </c>
      <c r="G53" s="13" t="s">
        <v>429</v>
      </c>
      <c r="H53" s="13" t="s">
        <v>532</v>
      </c>
      <c r="I53" s="14"/>
      <c r="J53" s="14"/>
      <c r="K53" s="14"/>
      <c r="L53" s="109">
        <v>1</v>
      </c>
      <c r="M53" s="24">
        <f>IFERROR(VLOOKUP(tblRiskRegister322[[#This Row],[Asset Class]],tblVCDBIndex[],4,FALSE),"")</f>
        <v>2</v>
      </c>
      <c r="N53" s="24">
        <f>IFERROR(VLOOKUP(10*tblRiskRegister322[[#This Row],[Safeguard Maturity Score]]+tblRiskRegister322[[#This Row],[VCDB Index]],tblHITIndexWeightTable[],4,FALSE),"")</f>
        <v>5</v>
      </c>
      <c r="O53" s="24">
        <f>VLOOKUP(tblRiskRegister322[[#This Row],[Asset Class]],tblInherentImpacts3046[],2,FALSE)</f>
        <v>2</v>
      </c>
      <c r="P53" s="24">
        <f>VLOOKUP(tblRiskRegister322[[#This Row],[Asset Class]],tblInherentImpacts3046[],3,FALSE)</f>
        <v>3</v>
      </c>
      <c r="Q53" s="24">
        <f>VLOOKUP(tblRiskRegister322[[#This Row],[Asset Class]],tblInherentImpacts3046[],4,FALSE)</f>
        <v>2</v>
      </c>
      <c r="R53" s="24">
        <f>VLOOKUP(tblRiskRegister322[[#This Row],[Asset Class]],tblInherentImpacts3046[],5,FALSE)</f>
        <v>2</v>
      </c>
      <c r="S53" s="24">
        <f>IFERROR(MAX(tblRiskRegister322[[#This Row],[Impact to Mission]:[Impact to Obligations]])*tblRiskRegister322[[#This Row],[Expectancy Score]],"")</f>
        <v>15</v>
      </c>
      <c r="T53" s="24">
        <f>tblRiskRegister322[[#This Row],[Risk Score]]</f>
        <v>15</v>
      </c>
      <c r="U53" s="13"/>
      <c r="V53" s="86">
        <v>6.2</v>
      </c>
      <c r="W53" s="15" t="s">
        <v>58</v>
      </c>
      <c r="X53" s="15" t="s">
        <v>359</v>
      </c>
      <c r="Y53" s="26"/>
      <c r="Z53" s="16"/>
      <c r="AA53" s="23" t="str">
        <f>IFERROR(VLOOKUP(10*tblRiskRegister322[[#This Row],[Risk Treatment Safeguard Maturity Score]]+tblRiskRegister322[[#This Row],[VCDB Index]],tblHITIndexWeightTable[],4,FALSE),"")</f>
        <v/>
      </c>
      <c r="AB53" s="108">
        <f>VLOOKUP(tblRiskRegister322[[#This Row],[Asset Class]],tblInherentImpacts3046[],2,FALSE)</f>
        <v>2</v>
      </c>
      <c r="AC53" s="108">
        <f>VLOOKUP(tblRiskRegister322[[#This Row],[Asset Class]],tblInherentImpacts3046[],3,FALSE)</f>
        <v>3</v>
      </c>
      <c r="AD53" s="108">
        <f>VLOOKUP(tblRiskRegister322[[#This Row],[Asset Class]],tblInherentImpacts3046[],4,FALSE)</f>
        <v>2</v>
      </c>
      <c r="AE53" s="108">
        <f>VLOOKUP(tblRiskRegister322[[#This Row],[Asset Class]],tblInherentImpacts3046[],5,FALSE)</f>
        <v>2</v>
      </c>
      <c r="AF53" s="23" t="str">
        <f>IFERROR(MAX(tblRiskRegister322[[#This Row],[Risk Treatment Safeguard Impact to Mission]:[Risk Treatment Safeguard Impact to Obligations]])*tblRiskRegister322[[#This Row],[Risk Treatment
Safeguard Expectancy Score]],"")</f>
        <v/>
      </c>
      <c r="AG53" s="23" t="str" cm="1">
        <f t="array" ref="AG53">IF(tblRiskRegister322[[#This Row],[Risk Score]]&gt;=AcceptableRisk1,IF(tblRiskRegister322[[#This Row],[Risk Treatment Safeguard Risk Score]]&lt;AcceptableRisk1, IF(tblRiskRegister322[[#This Row],[Risk Treatment Safeguard Risk Score]]&lt;tblRiskRegister322[[#This Row],[Risk Score]],"Yes","No"),"No"),"Yes")</f>
        <v>No</v>
      </c>
      <c r="AH53" s="17"/>
      <c r="AI53" s="17"/>
      <c r="AJ53" s="18"/>
    </row>
    <row r="54" spans="2:36" ht="42">
      <c r="B54" s="15" t="s">
        <v>93</v>
      </c>
      <c r="C54" s="15"/>
      <c r="D54" s="13">
        <v>6.3</v>
      </c>
      <c r="E54" s="14" t="s">
        <v>59</v>
      </c>
      <c r="F54" s="13" t="s">
        <v>429</v>
      </c>
      <c r="G54" s="13" t="s">
        <v>429</v>
      </c>
      <c r="H54" s="13" t="s">
        <v>523</v>
      </c>
      <c r="I54" s="14"/>
      <c r="J54" s="14"/>
      <c r="K54" s="14"/>
      <c r="L54" s="109">
        <v>1</v>
      </c>
      <c r="M54" s="24">
        <f>IFERROR(VLOOKUP(tblRiskRegister322[[#This Row],[Asset Class]],tblVCDBIndex[],4,FALSE),"")</f>
        <v>2</v>
      </c>
      <c r="N54" s="24">
        <f>IFERROR(VLOOKUP(10*tblRiskRegister322[[#This Row],[Safeguard Maturity Score]]+tblRiskRegister322[[#This Row],[VCDB Index]],tblHITIndexWeightTable[],4,FALSE),"")</f>
        <v>5</v>
      </c>
      <c r="O54" s="24">
        <f>VLOOKUP(tblRiskRegister322[[#This Row],[Asset Class]],tblInherentImpacts3046[],2,FALSE)</f>
        <v>3</v>
      </c>
      <c r="P54" s="24">
        <f>VLOOKUP(tblRiskRegister322[[#This Row],[Asset Class]],tblInherentImpacts3046[],3,FALSE)</f>
        <v>3</v>
      </c>
      <c r="Q54" s="24">
        <f>VLOOKUP(tblRiskRegister322[[#This Row],[Asset Class]],tblInherentImpacts3046[],4,FALSE)</f>
        <v>4</v>
      </c>
      <c r="R54" s="24">
        <f>VLOOKUP(tblRiskRegister322[[#This Row],[Asset Class]],tblInherentImpacts3046[],5,FALSE)</f>
        <v>3</v>
      </c>
      <c r="S54" s="24">
        <f>IFERROR(MAX(tblRiskRegister322[[#This Row],[Impact to Mission]:[Impact to Obligations]])*tblRiskRegister322[[#This Row],[Expectancy Score]],"")</f>
        <v>20</v>
      </c>
      <c r="T54" s="24">
        <f>tblRiskRegister322[[#This Row],[Risk Score]]</f>
        <v>20</v>
      </c>
      <c r="U54" s="13"/>
      <c r="V54" s="86">
        <v>6.3</v>
      </c>
      <c r="W54" s="15" t="s">
        <v>59</v>
      </c>
      <c r="X54" s="15" t="s">
        <v>360</v>
      </c>
      <c r="Y54" s="26"/>
      <c r="Z54" s="16"/>
      <c r="AA54" s="23" t="str">
        <f>IFERROR(VLOOKUP(10*tblRiskRegister322[[#This Row],[Risk Treatment Safeguard Maturity Score]]+tblRiskRegister322[[#This Row],[VCDB Index]],tblHITIndexWeightTable[],4,FALSE),"")</f>
        <v/>
      </c>
      <c r="AB54" s="108">
        <f>VLOOKUP(tblRiskRegister322[[#This Row],[Asset Class]],tblInherentImpacts3046[],2,FALSE)</f>
        <v>3</v>
      </c>
      <c r="AC54" s="108">
        <f>VLOOKUP(tblRiskRegister322[[#This Row],[Asset Class]],tblInherentImpacts3046[],3,FALSE)</f>
        <v>3</v>
      </c>
      <c r="AD54" s="108">
        <f>VLOOKUP(tblRiskRegister322[[#This Row],[Asset Class]],tblInherentImpacts3046[],4,FALSE)</f>
        <v>4</v>
      </c>
      <c r="AE54" s="108">
        <f>VLOOKUP(tblRiskRegister322[[#This Row],[Asset Class]],tblInherentImpacts3046[],5,FALSE)</f>
        <v>3</v>
      </c>
      <c r="AF54" s="23" t="str">
        <f>IFERROR(MAX(tblRiskRegister322[[#This Row],[Risk Treatment Safeguard Impact to Mission]:[Risk Treatment Safeguard Impact to Obligations]])*tblRiskRegister322[[#This Row],[Risk Treatment
Safeguard Expectancy Score]],"")</f>
        <v/>
      </c>
      <c r="AG54" s="23" t="str" cm="1">
        <f t="array" ref="AG54">IF(tblRiskRegister322[[#This Row],[Risk Score]]&gt;=AcceptableRisk1,IF(tblRiskRegister322[[#This Row],[Risk Treatment Safeguard Risk Score]]&lt;AcceptableRisk1, IF(tblRiskRegister322[[#This Row],[Risk Treatment Safeguard Risk Score]]&lt;tblRiskRegister322[[#This Row],[Risk Score]],"Yes","No"),"No"),"Yes")</f>
        <v>No</v>
      </c>
      <c r="AH54" s="17"/>
      <c r="AI54" s="17"/>
      <c r="AJ54" s="18"/>
    </row>
    <row r="55" spans="2:36" ht="28">
      <c r="B55" s="15" t="s">
        <v>93</v>
      </c>
      <c r="C55" s="15"/>
      <c r="D55" s="13">
        <v>6.4</v>
      </c>
      <c r="E55" s="14" t="s">
        <v>60</v>
      </c>
      <c r="F55" s="13" t="s">
        <v>429</v>
      </c>
      <c r="G55" s="13" t="s">
        <v>429</v>
      </c>
      <c r="H55" s="13" t="s">
        <v>523</v>
      </c>
      <c r="I55" s="14"/>
      <c r="J55" s="14"/>
      <c r="K55" s="14"/>
      <c r="L55" s="109">
        <v>3</v>
      </c>
      <c r="M55" s="24">
        <f>IFERROR(VLOOKUP(tblRiskRegister322[[#This Row],[Asset Class]],tblVCDBIndex[],4,FALSE),"")</f>
        <v>2</v>
      </c>
      <c r="N55" s="24">
        <f>IFERROR(VLOOKUP(10*tblRiskRegister322[[#This Row],[Safeguard Maturity Score]]+tblRiskRegister322[[#This Row],[VCDB Index]],tblHITIndexWeightTable[],4,FALSE),"")</f>
        <v>3</v>
      </c>
      <c r="O55" s="24">
        <f>VLOOKUP(tblRiskRegister322[[#This Row],[Asset Class]],tblInherentImpacts3046[],2,FALSE)</f>
        <v>3</v>
      </c>
      <c r="P55" s="24">
        <f>VLOOKUP(tblRiskRegister322[[#This Row],[Asset Class]],tblInherentImpacts3046[],3,FALSE)</f>
        <v>3</v>
      </c>
      <c r="Q55" s="24">
        <f>VLOOKUP(tblRiskRegister322[[#This Row],[Asset Class]],tblInherentImpacts3046[],4,FALSE)</f>
        <v>4</v>
      </c>
      <c r="R55" s="24">
        <f>VLOOKUP(tblRiskRegister322[[#This Row],[Asset Class]],tblInherentImpacts3046[],5,FALSE)</f>
        <v>3</v>
      </c>
      <c r="S55" s="24">
        <f>IFERROR(MAX(tblRiskRegister322[[#This Row],[Impact to Mission]:[Impact to Obligations]])*tblRiskRegister322[[#This Row],[Expectancy Score]],"")</f>
        <v>12</v>
      </c>
      <c r="T55" s="24">
        <f>tblRiskRegister322[[#This Row],[Risk Score]]</f>
        <v>12</v>
      </c>
      <c r="U55" s="13"/>
      <c r="V55" s="86">
        <v>6.4</v>
      </c>
      <c r="W55" s="15" t="s">
        <v>60</v>
      </c>
      <c r="X55" s="15" t="s">
        <v>361</v>
      </c>
      <c r="Y55" s="26"/>
      <c r="Z55" s="16"/>
      <c r="AA55" s="23" t="str">
        <f>IFERROR(VLOOKUP(10*tblRiskRegister322[[#This Row],[Risk Treatment Safeguard Maturity Score]]+tblRiskRegister322[[#This Row],[VCDB Index]],tblHITIndexWeightTable[],4,FALSE),"")</f>
        <v/>
      </c>
      <c r="AB55" s="108">
        <f>VLOOKUP(tblRiskRegister322[[#This Row],[Asset Class]],tblInherentImpacts3046[],2,FALSE)</f>
        <v>3</v>
      </c>
      <c r="AC55" s="108">
        <f>VLOOKUP(tblRiskRegister322[[#This Row],[Asset Class]],tblInherentImpacts3046[],3,FALSE)</f>
        <v>3</v>
      </c>
      <c r="AD55" s="108">
        <f>VLOOKUP(tblRiskRegister322[[#This Row],[Asset Class]],tblInherentImpacts3046[],4,FALSE)</f>
        <v>4</v>
      </c>
      <c r="AE55" s="108">
        <f>VLOOKUP(tblRiskRegister322[[#This Row],[Asset Class]],tblInherentImpacts3046[],5,FALSE)</f>
        <v>3</v>
      </c>
      <c r="AF55" s="23" t="str">
        <f>IFERROR(MAX(tblRiskRegister322[[#This Row],[Risk Treatment Safeguard Impact to Mission]:[Risk Treatment Safeguard Impact to Obligations]])*tblRiskRegister322[[#This Row],[Risk Treatment
Safeguard Expectancy Score]],"")</f>
        <v/>
      </c>
      <c r="AG55" s="23" t="str" cm="1">
        <f t="array" ref="AG55">IF(tblRiskRegister322[[#This Row],[Risk Score]]&gt;=AcceptableRisk1,IF(tblRiskRegister322[[#This Row],[Risk Treatment Safeguard Risk Score]]&lt;AcceptableRisk1, IF(tblRiskRegister322[[#This Row],[Risk Treatment Safeguard Risk Score]]&lt;tblRiskRegister322[[#This Row],[Risk Score]],"Yes","No"),"No"),"Yes")</f>
        <v>No</v>
      </c>
      <c r="AH55" s="17"/>
      <c r="AI55" s="17"/>
      <c r="AJ55" s="18"/>
    </row>
    <row r="56" spans="2:36" ht="28">
      <c r="B56" s="15" t="s">
        <v>93</v>
      </c>
      <c r="C56" s="15"/>
      <c r="D56" s="13">
        <v>6.5</v>
      </c>
      <c r="E56" s="14" t="s">
        <v>61</v>
      </c>
      <c r="F56" s="13" t="s">
        <v>429</v>
      </c>
      <c r="G56" s="13" t="s">
        <v>429</v>
      </c>
      <c r="H56" s="13" t="s">
        <v>523</v>
      </c>
      <c r="I56" s="14"/>
      <c r="J56" s="14"/>
      <c r="K56" s="14"/>
      <c r="L56" s="16"/>
      <c r="M56" s="24">
        <f>IFERROR(VLOOKUP(tblRiskRegister322[[#This Row],[Asset Class]],tblVCDBIndex[],4,FALSE),"")</f>
        <v>2</v>
      </c>
      <c r="N56" s="24" t="str">
        <f>IFERROR(VLOOKUP(10*tblRiskRegister322[[#This Row],[Safeguard Maturity Score]]+tblRiskRegister322[[#This Row],[VCDB Index]],tblHITIndexWeightTable[],4,FALSE),"")</f>
        <v/>
      </c>
      <c r="O56" s="24">
        <f>VLOOKUP(tblRiskRegister322[[#This Row],[Asset Class]],tblInherentImpacts3046[],2,FALSE)</f>
        <v>3</v>
      </c>
      <c r="P56" s="24">
        <f>VLOOKUP(tblRiskRegister322[[#This Row],[Asset Class]],tblInherentImpacts3046[],3,FALSE)</f>
        <v>3</v>
      </c>
      <c r="Q56" s="24">
        <f>VLOOKUP(tblRiskRegister322[[#This Row],[Asset Class]],tblInherentImpacts3046[],4,FALSE)</f>
        <v>4</v>
      </c>
      <c r="R56" s="24">
        <f>VLOOKUP(tblRiskRegister322[[#This Row],[Asset Class]],tblInherentImpacts3046[],5,FALSE)</f>
        <v>3</v>
      </c>
      <c r="S56" s="24" t="str">
        <f>IFERROR(MAX(tblRiskRegister322[[#This Row],[Impact to Mission]:[Impact to Obligations]])*tblRiskRegister322[[#This Row],[Expectancy Score]],"")</f>
        <v/>
      </c>
      <c r="T56" s="24" t="str">
        <f>tblRiskRegister322[[#This Row],[Risk Score]]</f>
        <v/>
      </c>
      <c r="U56" s="13"/>
      <c r="V56" s="86">
        <v>6.5</v>
      </c>
      <c r="W56" s="15" t="s">
        <v>61</v>
      </c>
      <c r="X56" s="15" t="s">
        <v>547</v>
      </c>
      <c r="Y56" s="26"/>
      <c r="Z56" s="16"/>
      <c r="AA56" s="23" t="str">
        <f>IFERROR(VLOOKUP(10*tblRiskRegister322[[#This Row],[Risk Treatment Safeguard Maturity Score]]+tblRiskRegister322[[#This Row],[VCDB Index]],tblHITIndexWeightTable[],4,FALSE),"")</f>
        <v/>
      </c>
      <c r="AB56" s="108">
        <f>VLOOKUP(tblRiskRegister322[[#This Row],[Asset Class]],tblInherentImpacts3046[],2,FALSE)</f>
        <v>3</v>
      </c>
      <c r="AC56" s="108">
        <f>VLOOKUP(tblRiskRegister322[[#This Row],[Asset Class]],tblInherentImpacts3046[],3,FALSE)</f>
        <v>3</v>
      </c>
      <c r="AD56" s="108">
        <f>VLOOKUP(tblRiskRegister322[[#This Row],[Asset Class]],tblInherentImpacts3046[],4,FALSE)</f>
        <v>4</v>
      </c>
      <c r="AE56" s="108">
        <f>VLOOKUP(tblRiskRegister322[[#This Row],[Asset Class]],tblInherentImpacts3046[],5,FALSE)</f>
        <v>3</v>
      </c>
      <c r="AF56" s="23" t="str">
        <f>IFERROR(MAX(tblRiskRegister322[[#This Row],[Risk Treatment Safeguard Impact to Mission]:[Risk Treatment Safeguard Impact to Obligations]])*tblRiskRegister322[[#This Row],[Risk Treatment
Safeguard Expectancy Score]],"")</f>
        <v/>
      </c>
      <c r="AG56" s="23" t="str" cm="1">
        <f t="array" ref="AG56">IF(tblRiskRegister322[[#This Row],[Risk Score]]&gt;=AcceptableRisk1,IF(tblRiskRegister322[[#This Row],[Risk Treatment Safeguard Risk Score]]&lt;AcceptableRisk1, IF(tblRiskRegister322[[#This Row],[Risk Treatment Safeguard Risk Score]]&lt;tblRiskRegister322[[#This Row],[Risk Score]],"Yes","No"),"No"),"Yes")</f>
        <v>No</v>
      </c>
      <c r="AH56" s="17"/>
      <c r="AI56" s="17"/>
      <c r="AJ56" s="18"/>
    </row>
    <row r="57" spans="2:36" ht="42">
      <c r="B57" s="15" t="s">
        <v>527</v>
      </c>
      <c r="C57" s="15"/>
      <c r="D57" s="13">
        <v>6.6</v>
      </c>
      <c r="E57" s="14" t="s">
        <v>229</v>
      </c>
      <c r="F57" s="13"/>
      <c r="G57" s="13" t="s">
        <v>429</v>
      </c>
      <c r="H57" s="13" t="s">
        <v>521</v>
      </c>
      <c r="I57" s="14"/>
      <c r="J57" s="14"/>
      <c r="K57" s="14"/>
      <c r="L57" s="16"/>
      <c r="M57" s="24">
        <f>IFERROR(VLOOKUP(tblRiskRegister322[[#This Row],[Asset Class]],tblVCDBIndex[],4,FALSE),"")</f>
        <v>2</v>
      </c>
      <c r="N57" s="24" t="str">
        <f>IFERROR(VLOOKUP(10*tblRiskRegister322[[#This Row],[Safeguard Maturity Score]]+tblRiskRegister322[[#This Row],[VCDB Index]],tblHITIndexWeightTable[],4,FALSE),"")</f>
        <v/>
      </c>
      <c r="O57" s="24">
        <f>VLOOKUP(tblRiskRegister322[[#This Row],[Asset Class]],tblInherentImpacts3046[],2,FALSE)</f>
        <v>4</v>
      </c>
      <c r="P57" s="24">
        <f>VLOOKUP(tblRiskRegister322[[#This Row],[Asset Class]],tblInherentImpacts3046[],3,FALSE)</f>
        <v>2</v>
      </c>
      <c r="Q57" s="24">
        <f>VLOOKUP(tblRiskRegister322[[#This Row],[Asset Class]],tblInherentImpacts3046[],4,FALSE)</f>
        <v>4</v>
      </c>
      <c r="R57" s="24">
        <f>VLOOKUP(tblRiskRegister322[[#This Row],[Asset Class]],tblInherentImpacts3046[],5,FALSE)</f>
        <v>4</v>
      </c>
      <c r="S57" s="24" t="str">
        <f>IFERROR(MAX(tblRiskRegister322[[#This Row],[Impact to Mission]:[Impact to Obligations]])*tblRiskRegister322[[#This Row],[Expectancy Score]],"")</f>
        <v/>
      </c>
      <c r="T57" s="24" t="str">
        <f>tblRiskRegister322[[#This Row],[Risk Score]]</f>
        <v/>
      </c>
      <c r="U57" s="13"/>
      <c r="V57" s="86">
        <v>6.6</v>
      </c>
      <c r="W57" s="15" t="s">
        <v>229</v>
      </c>
      <c r="X57" s="15" t="s">
        <v>362</v>
      </c>
      <c r="Y57" s="26"/>
      <c r="Z57" s="16"/>
      <c r="AA57" s="23" t="str">
        <f>IFERROR(VLOOKUP(10*tblRiskRegister322[[#This Row],[Risk Treatment Safeguard Maturity Score]]+tblRiskRegister322[[#This Row],[VCDB Index]],tblHITIndexWeightTable[],4,FALSE),"")</f>
        <v/>
      </c>
      <c r="AB57" s="108">
        <f>VLOOKUP(tblRiskRegister322[[#This Row],[Asset Class]],tblInherentImpacts3046[],2,FALSE)</f>
        <v>4</v>
      </c>
      <c r="AC57" s="108">
        <f>VLOOKUP(tblRiskRegister322[[#This Row],[Asset Class]],tblInherentImpacts3046[],3,FALSE)</f>
        <v>2</v>
      </c>
      <c r="AD57" s="108">
        <f>VLOOKUP(tblRiskRegister322[[#This Row],[Asset Class]],tblInherentImpacts3046[],4,FALSE)</f>
        <v>4</v>
      </c>
      <c r="AE57" s="108">
        <f>VLOOKUP(tblRiskRegister322[[#This Row],[Asset Class]],tblInherentImpacts3046[],5,FALSE)</f>
        <v>4</v>
      </c>
      <c r="AF57" s="23" t="str">
        <f>IFERROR(MAX(tblRiskRegister322[[#This Row],[Risk Treatment Safeguard Impact to Mission]:[Risk Treatment Safeguard Impact to Obligations]])*tblRiskRegister322[[#This Row],[Risk Treatment
Safeguard Expectancy Score]],"")</f>
        <v/>
      </c>
      <c r="AG57" s="23" t="str" cm="1">
        <f t="array" ref="AG57">IF(tblRiskRegister322[[#This Row],[Risk Score]]&gt;=AcceptableRisk1,IF(tblRiskRegister322[[#This Row],[Risk Treatment Safeguard Risk Score]]&lt;AcceptableRisk1, IF(tblRiskRegister322[[#This Row],[Risk Treatment Safeguard Risk Score]]&lt;tblRiskRegister322[[#This Row],[Risk Score]],"Yes","No"),"No"),"Yes")</f>
        <v>No</v>
      </c>
      <c r="AH57" s="17"/>
      <c r="AI57" s="17"/>
      <c r="AJ57" s="18"/>
    </row>
    <row r="58" spans="2:36" ht="28">
      <c r="B58" s="15" t="s">
        <v>93</v>
      </c>
      <c r="C58" s="15"/>
      <c r="D58" s="13">
        <v>6.7</v>
      </c>
      <c r="E58" s="14" t="s">
        <v>230</v>
      </c>
      <c r="F58" s="13"/>
      <c r="G58" s="13" t="s">
        <v>429</v>
      </c>
      <c r="H58" s="13" t="s">
        <v>523</v>
      </c>
      <c r="I58" s="14"/>
      <c r="J58" s="14"/>
      <c r="K58" s="14"/>
      <c r="L58" s="16"/>
      <c r="M58" s="24">
        <f>IFERROR(VLOOKUP(tblRiskRegister322[[#This Row],[Asset Class]],tblVCDBIndex[],4,FALSE),"")</f>
        <v>2</v>
      </c>
      <c r="N58" s="24" t="str">
        <f>IFERROR(VLOOKUP(10*tblRiskRegister322[[#This Row],[Safeguard Maturity Score]]+tblRiskRegister322[[#This Row],[VCDB Index]],tblHITIndexWeightTable[],4,FALSE),"")</f>
        <v/>
      </c>
      <c r="O58" s="24">
        <f>VLOOKUP(tblRiskRegister322[[#This Row],[Asset Class]],tblInherentImpacts3046[],2,FALSE)</f>
        <v>3</v>
      </c>
      <c r="P58" s="24">
        <f>VLOOKUP(tblRiskRegister322[[#This Row],[Asset Class]],tblInherentImpacts3046[],3,FALSE)</f>
        <v>3</v>
      </c>
      <c r="Q58" s="24">
        <f>VLOOKUP(tblRiskRegister322[[#This Row],[Asset Class]],tblInherentImpacts3046[],4,FALSE)</f>
        <v>4</v>
      </c>
      <c r="R58" s="24">
        <f>VLOOKUP(tblRiskRegister322[[#This Row],[Asset Class]],tblInherentImpacts3046[],5,FALSE)</f>
        <v>3</v>
      </c>
      <c r="S58" s="24" t="str">
        <f>IFERROR(MAX(tblRiskRegister322[[#This Row],[Impact to Mission]:[Impact to Obligations]])*tblRiskRegister322[[#This Row],[Expectancy Score]],"")</f>
        <v/>
      </c>
      <c r="T58" s="24" t="str">
        <f>tblRiskRegister322[[#This Row],[Risk Score]]</f>
        <v/>
      </c>
      <c r="U58" s="13"/>
      <c r="V58" s="86">
        <v>6.7</v>
      </c>
      <c r="W58" s="15" t="s">
        <v>230</v>
      </c>
      <c r="X58" s="15" t="s">
        <v>363</v>
      </c>
      <c r="Y58" s="26"/>
      <c r="Z58" s="16"/>
      <c r="AA58" s="23" t="str">
        <f>IFERROR(VLOOKUP(10*tblRiskRegister322[[#This Row],[Risk Treatment Safeguard Maturity Score]]+tblRiskRegister322[[#This Row],[VCDB Index]],tblHITIndexWeightTable[],4,FALSE),"")</f>
        <v/>
      </c>
      <c r="AB58" s="108">
        <f>VLOOKUP(tblRiskRegister322[[#This Row],[Asset Class]],tblInherentImpacts3046[],2,FALSE)</f>
        <v>3</v>
      </c>
      <c r="AC58" s="108">
        <f>VLOOKUP(tblRiskRegister322[[#This Row],[Asset Class]],tblInherentImpacts3046[],3,FALSE)</f>
        <v>3</v>
      </c>
      <c r="AD58" s="108">
        <f>VLOOKUP(tblRiskRegister322[[#This Row],[Asset Class]],tblInherentImpacts3046[],4,FALSE)</f>
        <v>4</v>
      </c>
      <c r="AE58" s="108">
        <f>VLOOKUP(tblRiskRegister322[[#This Row],[Asset Class]],tblInherentImpacts3046[],5,FALSE)</f>
        <v>3</v>
      </c>
      <c r="AF58" s="23" t="str">
        <f>IFERROR(MAX(tblRiskRegister322[[#This Row],[Risk Treatment Safeguard Impact to Mission]:[Risk Treatment Safeguard Impact to Obligations]])*tblRiskRegister322[[#This Row],[Risk Treatment
Safeguard Expectancy Score]],"")</f>
        <v/>
      </c>
      <c r="AG58" s="23" t="str" cm="1">
        <f t="array" ref="AG58">IF(tblRiskRegister322[[#This Row],[Risk Score]]&gt;=AcceptableRisk1,IF(tblRiskRegister322[[#This Row],[Risk Treatment Safeguard Risk Score]]&lt;AcceptableRisk1, IF(tblRiskRegister322[[#This Row],[Risk Treatment Safeguard Risk Score]]&lt;tblRiskRegister322[[#This Row],[Risk Score]],"Yes","No"),"No"),"Yes")</f>
        <v>No</v>
      </c>
      <c r="AH58" s="17"/>
      <c r="AI58" s="17"/>
      <c r="AJ58" s="18"/>
    </row>
    <row r="59" spans="2:36" ht="56">
      <c r="B59" s="15" t="s">
        <v>528</v>
      </c>
      <c r="C59" s="15" t="s">
        <v>457</v>
      </c>
      <c r="D59" s="13">
        <v>7.1</v>
      </c>
      <c r="E59" s="14" t="s">
        <v>62</v>
      </c>
      <c r="F59" s="13" t="s">
        <v>429</v>
      </c>
      <c r="G59" s="13" t="s">
        <v>429</v>
      </c>
      <c r="H59" s="13" t="s">
        <v>532</v>
      </c>
      <c r="I59" s="14" t="s">
        <v>449</v>
      </c>
      <c r="J59" s="14"/>
      <c r="K59" s="14" t="s">
        <v>450</v>
      </c>
      <c r="L59" s="16">
        <v>3</v>
      </c>
      <c r="M59" s="24">
        <f>IFERROR(VLOOKUP(tblRiskRegister322[[#This Row],[Asset Class]],tblVCDBIndex[],4,FALSE),"")</f>
        <v>2</v>
      </c>
      <c r="N59" s="24">
        <f>IFERROR(VLOOKUP(10*tblRiskRegister322[[#This Row],[Safeguard Maturity Score]]+tblRiskRegister322[[#This Row],[VCDB Index]],tblHITIndexWeightTable[],4,FALSE),"")</f>
        <v>3</v>
      </c>
      <c r="O59" s="24">
        <f>VLOOKUP(tblRiskRegister322[[#This Row],[Asset Class]],tblInherentImpacts3046[],2,FALSE)</f>
        <v>2</v>
      </c>
      <c r="P59" s="24">
        <f>VLOOKUP(tblRiskRegister322[[#This Row],[Asset Class]],tblInherentImpacts3046[],3,FALSE)</f>
        <v>3</v>
      </c>
      <c r="Q59" s="24">
        <f>VLOOKUP(tblRiskRegister322[[#This Row],[Asset Class]],tblInherentImpacts3046[],4,FALSE)</f>
        <v>2</v>
      </c>
      <c r="R59" s="24">
        <f>VLOOKUP(tblRiskRegister322[[#This Row],[Asset Class]],tblInherentImpacts3046[],5,FALSE)</f>
        <v>2</v>
      </c>
      <c r="S59" s="24">
        <f>IFERROR(MAX(tblRiskRegister322[[#This Row],[Impact to Mission]:[Impact to Obligations]])*tblRiskRegister322[[#This Row],[Expectancy Score]],"")</f>
        <v>9</v>
      </c>
      <c r="T59" s="24">
        <f>tblRiskRegister322[[#This Row],[Risk Score]]</f>
        <v>9</v>
      </c>
      <c r="U59" s="13" t="s">
        <v>460</v>
      </c>
      <c r="V59" s="86">
        <v>7.1</v>
      </c>
      <c r="W59" s="15" t="s">
        <v>62</v>
      </c>
      <c r="X59" s="15" t="s">
        <v>364</v>
      </c>
      <c r="Y59" s="15" t="s">
        <v>505</v>
      </c>
      <c r="Z59" s="16">
        <v>4</v>
      </c>
      <c r="AA59" s="23">
        <f>IFERROR(VLOOKUP(10*tblRiskRegister322[[#This Row],[Risk Treatment Safeguard Maturity Score]]+tblRiskRegister322[[#This Row],[VCDB Index]],tblHITIndexWeightTable[],4,FALSE),"")</f>
        <v>2</v>
      </c>
      <c r="AB59" s="108">
        <f>VLOOKUP(tblRiskRegister322[[#This Row],[Asset Class]],tblInherentImpacts3046[],2,FALSE)</f>
        <v>2</v>
      </c>
      <c r="AC59" s="108">
        <f>VLOOKUP(tblRiskRegister322[[#This Row],[Asset Class]],tblInherentImpacts3046[],3,FALSE)</f>
        <v>3</v>
      </c>
      <c r="AD59" s="108">
        <f>VLOOKUP(tblRiskRegister322[[#This Row],[Asset Class]],tblInherentImpacts3046[],4,FALSE)</f>
        <v>2</v>
      </c>
      <c r="AE59" s="108">
        <f>VLOOKUP(tblRiskRegister322[[#This Row],[Asset Class]],tblInherentImpacts3046[],5,FALSE)</f>
        <v>2</v>
      </c>
      <c r="AF59" s="23">
        <f>IFERROR(MAX(tblRiskRegister322[[#This Row],[Risk Treatment Safeguard Impact to Mission]:[Risk Treatment Safeguard Impact to Obligations]])*tblRiskRegister322[[#This Row],[Risk Treatment
Safeguard Expectancy Score]],"")</f>
        <v>6</v>
      </c>
      <c r="AG59" s="23" t="str" cm="1">
        <f t="array" ref="AG59">IF(tblRiskRegister322[[#This Row],[Risk Score]]&gt;=AcceptableRisk1,IF(tblRiskRegister322[[#This Row],[Risk Treatment Safeguard Risk Score]]&lt;AcceptableRisk1, IF(tblRiskRegister322[[#This Row],[Risk Treatment Safeguard Risk Score]]&lt;tblRiskRegister322[[#This Row],[Risk Score]],"Yes","No"),"No"),"Yes")</f>
        <v>Yes</v>
      </c>
      <c r="AH59" s="17"/>
      <c r="AI59" s="17"/>
      <c r="AJ59" s="18"/>
    </row>
    <row r="60" spans="2:36" ht="56">
      <c r="B60" s="15" t="s">
        <v>528</v>
      </c>
      <c r="C60" s="15" t="s">
        <v>457</v>
      </c>
      <c r="D60" s="13">
        <v>7.2</v>
      </c>
      <c r="E60" s="14" t="s">
        <v>63</v>
      </c>
      <c r="F60" s="13" t="s">
        <v>429</v>
      </c>
      <c r="G60" s="13" t="s">
        <v>429</v>
      </c>
      <c r="H60" s="13" t="s">
        <v>532</v>
      </c>
      <c r="I60" s="14" t="s">
        <v>451</v>
      </c>
      <c r="J60" s="14"/>
      <c r="K60" s="14" t="s">
        <v>450</v>
      </c>
      <c r="L60" s="16">
        <v>2</v>
      </c>
      <c r="M60" s="24">
        <f>IFERROR(VLOOKUP(tblRiskRegister322[[#This Row],[Asset Class]],tblVCDBIndex[],4,FALSE),"")</f>
        <v>2</v>
      </c>
      <c r="N60" s="24">
        <f>IFERROR(VLOOKUP(10*tblRiskRegister322[[#This Row],[Safeguard Maturity Score]]+tblRiskRegister322[[#This Row],[VCDB Index]],tblHITIndexWeightTable[],4,FALSE),"")</f>
        <v>3</v>
      </c>
      <c r="O60" s="24">
        <f>VLOOKUP(tblRiskRegister322[[#This Row],[Asset Class]],tblInherentImpacts3046[],2,FALSE)</f>
        <v>2</v>
      </c>
      <c r="P60" s="24">
        <f>VLOOKUP(tblRiskRegister322[[#This Row],[Asset Class]],tblInherentImpacts3046[],3,FALSE)</f>
        <v>3</v>
      </c>
      <c r="Q60" s="24">
        <f>VLOOKUP(tblRiskRegister322[[#This Row],[Asset Class]],tblInherentImpacts3046[],4,FALSE)</f>
        <v>2</v>
      </c>
      <c r="R60" s="24">
        <f>VLOOKUP(tblRiskRegister322[[#This Row],[Asset Class]],tblInherentImpacts3046[],5,FALSE)</f>
        <v>2</v>
      </c>
      <c r="S60" s="24">
        <f>IFERROR(MAX(tblRiskRegister322[[#This Row],[Impact to Mission]:[Impact to Obligations]])*tblRiskRegister322[[#This Row],[Expectancy Score]],"")</f>
        <v>9</v>
      </c>
      <c r="T60" s="24">
        <f>tblRiskRegister322[[#This Row],[Risk Score]]</f>
        <v>9</v>
      </c>
      <c r="U60" s="13" t="s">
        <v>460</v>
      </c>
      <c r="V60" s="86">
        <v>7.2</v>
      </c>
      <c r="W60" s="15" t="s">
        <v>63</v>
      </c>
      <c r="X60" s="15" t="s">
        <v>365</v>
      </c>
      <c r="Y60" s="15" t="s">
        <v>506</v>
      </c>
      <c r="Z60" s="16">
        <v>5</v>
      </c>
      <c r="AA60" s="23">
        <f>IFERROR(VLOOKUP(10*tblRiskRegister322[[#This Row],[Risk Treatment Safeguard Maturity Score]]+tblRiskRegister322[[#This Row],[VCDB Index]],tblHITIndexWeightTable[],4,FALSE),"")</f>
        <v>1</v>
      </c>
      <c r="AB60" s="108">
        <f>VLOOKUP(tblRiskRegister322[[#This Row],[Asset Class]],tblInherentImpacts3046[],2,FALSE)</f>
        <v>2</v>
      </c>
      <c r="AC60" s="108">
        <f>VLOOKUP(tblRiskRegister322[[#This Row],[Asset Class]],tblInherentImpacts3046[],3,FALSE)</f>
        <v>3</v>
      </c>
      <c r="AD60" s="108">
        <f>VLOOKUP(tblRiskRegister322[[#This Row],[Asset Class]],tblInherentImpacts3046[],4,FALSE)</f>
        <v>2</v>
      </c>
      <c r="AE60" s="108">
        <f>VLOOKUP(tblRiskRegister322[[#This Row],[Asset Class]],tblInherentImpacts3046[],5,FALSE)</f>
        <v>2</v>
      </c>
      <c r="AF60" s="23">
        <f>IFERROR(MAX(tblRiskRegister322[[#This Row],[Risk Treatment Safeguard Impact to Mission]:[Risk Treatment Safeguard Impact to Obligations]])*tblRiskRegister322[[#This Row],[Risk Treatment
Safeguard Expectancy Score]],"")</f>
        <v>3</v>
      </c>
      <c r="AG60" s="23" t="str" cm="1">
        <f t="array" ref="AG60">IF(tblRiskRegister322[[#This Row],[Risk Score]]&gt;=AcceptableRisk1,IF(tblRiskRegister322[[#This Row],[Risk Treatment Safeguard Risk Score]]&lt;AcceptableRisk1, IF(tblRiskRegister322[[#This Row],[Risk Treatment Safeguard Risk Score]]&lt;tblRiskRegister322[[#This Row],[Risk Score]],"Yes","No"),"No"),"Yes")</f>
        <v>Yes</v>
      </c>
      <c r="AH60" s="17"/>
      <c r="AI60" s="17"/>
      <c r="AJ60" s="18"/>
    </row>
    <row r="61" spans="2:36" ht="28">
      <c r="B61" s="15" t="s">
        <v>527</v>
      </c>
      <c r="C61" s="15"/>
      <c r="D61" s="13">
        <v>7.3</v>
      </c>
      <c r="E61" s="14" t="s">
        <v>64</v>
      </c>
      <c r="F61" s="13" t="s">
        <v>429</v>
      </c>
      <c r="G61" s="13" t="s">
        <v>429</v>
      </c>
      <c r="H61" s="13" t="s">
        <v>523</v>
      </c>
      <c r="I61" s="14"/>
      <c r="J61" s="14"/>
      <c r="K61" s="14"/>
      <c r="L61" s="16"/>
      <c r="M61" s="24">
        <f>IFERROR(VLOOKUP(tblRiskRegister322[[#This Row],[Asset Class]],tblVCDBIndex[],4,FALSE),"")</f>
        <v>2</v>
      </c>
      <c r="N61" s="24" t="str">
        <f>IFERROR(VLOOKUP(10*tblRiskRegister322[[#This Row],[Safeguard Maturity Score]]+tblRiskRegister322[[#This Row],[VCDB Index]],tblHITIndexWeightTable[],4,FALSE),"")</f>
        <v/>
      </c>
      <c r="O61" s="24">
        <f>VLOOKUP(tblRiskRegister322[[#This Row],[Asset Class]],tblInherentImpacts3046[],2,FALSE)</f>
        <v>4</v>
      </c>
      <c r="P61" s="24">
        <f>VLOOKUP(tblRiskRegister322[[#This Row],[Asset Class]],tblInherentImpacts3046[],3,FALSE)</f>
        <v>2</v>
      </c>
      <c r="Q61" s="24">
        <f>VLOOKUP(tblRiskRegister322[[#This Row],[Asset Class]],tblInherentImpacts3046[],4,FALSE)</f>
        <v>4</v>
      </c>
      <c r="R61" s="24">
        <f>VLOOKUP(tblRiskRegister322[[#This Row],[Asset Class]],tblInherentImpacts3046[],5,FALSE)</f>
        <v>4</v>
      </c>
      <c r="S61" s="24" t="str">
        <f>IFERROR(MAX(tblRiskRegister322[[#This Row],[Impact to Mission]:[Impact to Obligations]])*tblRiskRegister322[[#This Row],[Expectancy Score]],"")</f>
        <v/>
      </c>
      <c r="T61" s="24" t="str">
        <f>tblRiskRegister322[[#This Row],[Risk Score]]</f>
        <v/>
      </c>
      <c r="U61" s="13"/>
      <c r="V61" s="86">
        <v>7.3</v>
      </c>
      <c r="W61" s="15" t="s">
        <v>64</v>
      </c>
      <c r="X61" s="15" t="s">
        <v>366</v>
      </c>
      <c r="Y61" s="15"/>
      <c r="Z61" s="16"/>
      <c r="AA61" s="23" t="str">
        <f>IFERROR(VLOOKUP(10*tblRiskRegister322[[#This Row],[Risk Treatment Safeguard Maturity Score]]+tblRiskRegister322[[#This Row],[VCDB Index]],tblHITIndexWeightTable[],4,FALSE),"")</f>
        <v/>
      </c>
      <c r="AB61" s="108">
        <f>VLOOKUP(tblRiskRegister322[[#This Row],[Asset Class]],tblInherentImpacts3046[],2,FALSE)</f>
        <v>4</v>
      </c>
      <c r="AC61" s="108">
        <f>VLOOKUP(tblRiskRegister322[[#This Row],[Asset Class]],tblInherentImpacts3046[],3,FALSE)</f>
        <v>2</v>
      </c>
      <c r="AD61" s="108">
        <f>VLOOKUP(tblRiskRegister322[[#This Row],[Asset Class]],tblInherentImpacts3046[],4,FALSE)</f>
        <v>4</v>
      </c>
      <c r="AE61" s="108">
        <f>VLOOKUP(tblRiskRegister322[[#This Row],[Asset Class]],tblInherentImpacts3046[],5,FALSE)</f>
        <v>4</v>
      </c>
      <c r="AF61" s="23" t="str">
        <f>IFERROR(MAX(tblRiskRegister322[[#This Row],[Risk Treatment Safeguard Impact to Mission]:[Risk Treatment Safeguard Impact to Obligations]])*tblRiskRegister322[[#This Row],[Risk Treatment
Safeguard Expectancy Score]],"")</f>
        <v/>
      </c>
      <c r="AG61" s="23" t="str" cm="1">
        <f t="array" ref="AG61">IF(tblRiskRegister322[[#This Row],[Risk Score]]&gt;=AcceptableRisk1,IF(tblRiskRegister322[[#This Row],[Risk Treatment Safeguard Risk Score]]&lt;AcceptableRisk1, IF(tblRiskRegister322[[#This Row],[Risk Treatment Safeguard Risk Score]]&lt;tblRiskRegister322[[#This Row],[Risk Score]],"Yes","No"),"No"),"Yes")</f>
        <v>No</v>
      </c>
      <c r="AH61" s="17"/>
      <c r="AI61" s="17"/>
      <c r="AJ61" s="18"/>
    </row>
    <row r="62" spans="2:36" ht="28">
      <c r="B62" s="15" t="s">
        <v>527</v>
      </c>
      <c r="C62" s="15"/>
      <c r="D62" s="13">
        <v>7.4</v>
      </c>
      <c r="E62" s="14" t="s">
        <v>65</v>
      </c>
      <c r="F62" s="13" t="s">
        <v>429</v>
      </c>
      <c r="G62" s="13" t="s">
        <v>429</v>
      </c>
      <c r="H62" s="13" t="s">
        <v>523</v>
      </c>
      <c r="I62" s="14"/>
      <c r="J62" s="14"/>
      <c r="K62" s="14"/>
      <c r="L62" s="16"/>
      <c r="M62" s="24">
        <f>IFERROR(VLOOKUP(tblRiskRegister322[[#This Row],[Asset Class]],tblVCDBIndex[],4,FALSE),"")</f>
        <v>2</v>
      </c>
      <c r="N62" s="24" t="str">
        <f>IFERROR(VLOOKUP(10*tblRiskRegister322[[#This Row],[Safeguard Maturity Score]]+tblRiskRegister322[[#This Row],[VCDB Index]],tblHITIndexWeightTable[],4,FALSE),"")</f>
        <v/>
      </c>
      <c r="O62" s="24">
        <f>VLOOKUP(tblRiskRegister322[[#This Row],[Asset Class]],tblInherentImpacts3046[],2,FALSE)</f>
        <v>4</v>
      </c>
      <c r="P62" s="24">
        <f>VLOOKUP(tblRiskRegister322[[#This Row],[Asset Class]],tblInherentImpacts3046[],3,FALSE)</f>
        <v>2</v>
      </c>
      <c r="Q62" s="24">
        <f>VLOOKUP(tblRiskRegister322[[#This Row],[Asset Class]],tblInherentImpacts3046[],4,FALSE)</f>
        <v>4</v>
      </c>
      <c r="R62" s="24">
        <f>VLOOKUP(tblRiskRegister322[[#This Row],[Asset Class]],tblInherentImpacts3046[],5,FALSE)</f>
        <v>4</v>
      </c>
      <c r="S62" s="24" t="str">
        <f>IFERROR(MAX(tblRiskRegister322[[#This Row],[Impact to Mission]:[Impact to Obligations]])*tblRiskRegister322[[#This Row],[Expectancy Score]],"")</f>
        <v/>
      </c>
      <c r="T62" s="24" t="str">
        <f>tblRiskRegister322[[#This Row],[Risk Score]]</f>
        <v/>
      </c>
      <c r="U62" s="13"/>
      <c r="V62" s="86">
        <v>7.4</v>
      </c>
      <c r="W62" s="15" t="s">
        <v>65</v>
      </c>
      <c r="X62" s="15" t="s">
        <v>367</v>
      </c>
      <c r="Y62" s="15"/>
      <c r="Z62" s="16"/>
      <c r="AA62" s="23" t="str">
        <f>IFERROR(VLOOKUP(10*tblRiskRegister322[[#This Row],[Risk Treatment Safeguard Maturity Score]]+tblRiskRegister322[[#This Row],[VCDB Index]],tblHITIndexWeightTable[],4,FALSE),"")</f>
        <v/>
      </c>
      <c r="AB62" s="108">
        <f>VLOOKUP(tblRiskRegister322[[#This Row],[Asset Class]],tblInherentImpacts3046[],2,FALSE)</f>
        <v>4</v>
      </c>
      <c r="AC62" s="108">
        <f>VLOOKUP(tblRiskRegister322[[#This Row],[Asset Class]],tblInherentImpacts3046[],3,FALSE)</f>
        <v>2</v>
      </c>
      <c r="AD62" s="108">
        <f>VLOOKUP(tblRiskRegister322[[#This Row],[Asset Class]],tblInherentImpacts3046[],4,FALSE)</f>
        <v>4</v>
      </c>
      <c r="AE62" s="108">
        <f>VLOOKUP(tblRiskRegister322[[#This Row],[Asset Class]],tblInherentImpacts3046[],5,FALSE)</f>
        <v>4</v>
      </c>
      <c r="AF62" s="23" t="str">
        <f>IFERROR(MAX(tblRiskRegister322[[#This Row],[Risk Treatment Safeguard Impact to Mission]:[Risk Treatment Safeguard Impact to Obligations]])*tblRiskRegister322[[#This Row],[Risk Treatment
Safeguard Expectancy Score]],"")</f>
        <v/>
      </c>
      <c r="AG62" s="23" t="str" cm="1">
        <f t="array" ref="AG62">IF(tblRiskRegister322[[#This Row],[Risk Score]]&gt;=AcceptableRisk1,IF(tblRiskRegister322[[#This Row],[Risk Treatment Safeguard Risk Score]]&lt;AcceptableRisk1, IF(tblRiskRegister322[[#This Row],[Risk Treatment Safeguard Risk Score]]&lt;tblRiskRegister322[[#This Row],[Risk Score]],"Yes","No"),"No"),"Yes")</f>
        <v>No</v>
      </c>
      <c r="AH62" s="17"/>
      <c r="AI62" s="17"/>
      <c r="AJ62" s="18"/>
    </row>
    <row r="63" spans="2:36" ht="28">
      <c r="B63" s="15" t="s">
        <v>527</v>
      </c>
      <c r="C63" s="15"/>
      <c r="D63" s="13">
        <v>7.5</v>
      </c>
      <c r="E63" s="14" t="s">
        <v>161</v>
      </c>
      <c r="F63" s="13"/>
      <c r="G63" s="13" t="s">
        <v>429</v>
      </c>
      <c r="H63" s="13" t="s">
        <v>521</v>
      </c>
      <c r="I63" s="14"/>
      <c r="J63" s="14"/>
      <c r="K63" s="14"/>
      <c r="L63" s="16"/>
      <c r="M63" s="24">
        <f>IFERROR(VLOOKUP(tblRiskRegister322[[#This Row],[Asset Class]],tblVCDBIndex[],4,FALSE),"")</f>
        <v>2</v>
      </c>
      <c r="N63" s="24" t="str">
        <f>IFERROR(VLOOKUP(10*tblRiskRegister322[[#This Row],[Safeguard Maturity Score]]+tblRiskRegister322[[#This Row],[VCDB Index]],tblHITIndexWeightTable[],4,FALSE),"")</f>
        <v/>
      </c>
      <c r="O63" s="24">
        <f>VLOOKUP(tblRiskRegister322[[#This Row],[Asset Class]],tblInherentImpacts3046[],2,FALSE)</f>
        <v>4</v>
      </c>
      <c r="P63" s="24">
        <f>VLOOKUP(tblRiskRegister322[[#This Row],[Asset Class]],tblInherentImpacts3046[],3,FALSE)</f>
        <v>2</v>
      </c>
      <c r="Q63" s="24">
        <f>VLOOKUP(tblRiskRegister322[[#This Row],[Asset Class]],tblInherentImpacts3046[],4,FALSE)</f>
        <v>4</v>
      </c>
      <c r="R63" s="24">
        <f>VLOOKUP(tblRiskRegister322[[#This Row],[Asset Class]],tblInherentImpacts3046[],5,FALSE)</f>
        <v>4</v>
      </c>
      <c r="S63" s="24" t="str">
        <f>IFERROR(MAX(tblRiskRegister322[[#This Row],[Impact to Mission]:[Impact to Obligations]])*tblRiskRegister322[[#This Row],[Expectancy Score]],"")</f>
        <v/>
      </c>
      <c r="T63" s="24" t="str">
        <f>tblRiskRegister322[[#This Row],[Risk Score]]</f>
        <v/>
      </c>
      <c r="U63" s="13"/>
      <c r="V63" s="86">
        <v>7.5</v>
      </c>
      <c r="W63" s="15" t="s">
        <v>161</v>
      </c>
      <c r="X63" s="15" t="s">
        <v>548</v>
      </c>
      <c r="Y63" s="15"/>
      <c r="Z63" s="16"/>
      <c r="AA63" s="23" t="str">
        <f>IFERROR(VLOOKUP(10*tblRiskRegister322[[#This Row],[Risk Treatment Safeguard Maturity Score]]+tblRiskRegister322[[#This Row],[VCDB Index]],tblHITIndexWeightTable[],4,FALSE),"")</f>
        <v/>
      </c>
      <c r="AB63" s="108">
        <f>VLOOKUP(tblRiskRegister322[[#This Row],[Asset Class]],tblInherentImpacts3046[],2,FALSE)</f>
        <v>4</v>
      </c>
      <c r="AC63" s="108">
        <f>VLOOKUP(tblRiskRegister322[[#This Row],[Asset Class]],tblInherentImpacts3046[],3,FALSE)</f>
        <v>2</v>
      </c>
      <c r="AD63" s="108">
        <f>VLOOKUP(tblRiskRegister322[[#This Row],[Asset Class]],tblInherentImpacts3046[],4,FALSE)</f>
        <v>4</v>
      </c>
      <c r="AE63" s="108">
        <f>VLOOKUP(tblRiskRegister322[[#This Row],[Asset Class]],tblInherentImpacts3046[],5,FALSE)</f>
        <v>4</v>
      </c>
      <c r="AF63" s="23" t="str">
        <f>IFERROR(MAX(tblRiskRegister322[[#This Row],[Risk Treatment Safeguard Impact to Mission]:[Risk Treatment Safeguard Impact to Obligations]])*tblRiskRegister322[[#This Row],[Risk Treatment
Safeguard Expectancy Score]],"")</f>
        <v/>
      </c>
      <c r="AG63" s="23" t="str" cm="1">
        <f t="array" ref="AG63">IF(tblRiskRegister322[[#This Row],[Risk Score]]&gt;=AcceptableRisk1,IF(tblRiskRegister322[[#This Row],[Risk Treatment Safeguard Risk Score]]&lt;AcceptableRisk1, IF(tblRiskRegister322[[#This Row],[Risk Treatment Safeguard Risk Score]]&lt;tblRiskRegister322[[#This Row],[Risk Score]],"Yes","No"),"No"),"Yes")</f>
        <v>No</v>
      </c>
      <c r="AH63" s="17"/>
      <c r="AI63" s="17"/>
      <c r="AJ63" s="18"/>
    </row>
    <row r="64" spans="2:36" ht="42">
      <c r="B64" s="15" t="s">
        <v>527</v>
      </c>
      <c r="C64" s="15"/>
      <c r="D64" s="13">
        <v>7.6</v>
      </c>
      <c r="E64" s="14" t="s">
        <v>162</v>
      </c>
      <c r="F64" s="13"/>
      <c r="G64" s="13" t="s">
        <v>429</v>
      </c>
      <c r="H64" s="13" t="s">
        <v>521</v>
      </c>
      <c r="I64" s="14"/>
      <c r="J64" s="14"/>
      <c r="K64" s="14"/>
      <c r="L64" s="16"/>
      <c r="M64" s="24">
        <f>IFERROR(VLOOKUP(tblRiskRegister322[[#This Row],[Asset Class]],tblVCDBIndex[],4,FALSE),"")</f>
        <v>2</v>
      </c>
      <c r="N64" s="24" t="str">
        <f>IFERROR(VLOOKUP(10*tblRiskRegister322[[#This Row],[Safeguard Maturity Score]]+tblRiskRegister322[[#This Row],[VCDB Index]],tblHITIndexWeightTable[],4,FALSE),"")</f>
        <v/>
      </c>
      <c r="O64" s="24">
        <f>VLOOKUP(tblRiskRegister322[[#This Row],[Asset Class]],tblInherentImpacts3046[],2,FALSE)</f>
        <v>4</v>
      </c>
      <c r="P64" s="24">
        <f>VLOOKUP(tblRiskRegister322[[#This Row],[Asset Class]],tblInherentImpacts3046[],3,FALSE)</f>
        <v>2</v>
      </c>
      <c r="Q64" s="24">
        <f>VLOOKUP(tblRiskRegister322[[#This Row],[Asset Class]],tblInherentImpacts3046[],4,FALSE)</f>
        <v>4</v>
      </c>
      <c r="R64" s="24">
        <f>VLOOKUP(tblRiskRegister322[[#This Row],[Asset Class]],tblInherentImpacts3046[],5,FALSE)</f>
        <v>4</v>
      </c>
      <c r="S64" s="24" t="str">
        <f>IFERROR(MAX(tblRiskRegister322[[#This Row],[Impact to Mission]:[Impact to Obligations]])*tblRiskRegister322[[#This Row],[Expectancy Score]],"")</f>
        <v/>
      </c>
      <c r="T64" s="24" t="str">
        <f>tblRiskRegister322[[#This Row],[Risk Score]]</f>
        <v/>
      </c>
      <c r="U64" s="13"/>
      <c r="V64" s="86">
        <v>7.6</v>
      </c>
      <c r="W64" s="15" t="s">
        <v>162</v>
      </c>
      <c r="X64" s="15" t="s">
        <v>549</v>
      </c>
      <c r="Y64" s="15"/>
      <c r="Z64" s="16"/>
      <c r="AA64" s="23" t="str">
        <f>IFERROR(VLOOKUP(10*tblRiskRegister322[[#This Row],[Risk Treatment Safeguard Maturity Score]]+tblRiskRegister322[[#This Row],[VCDB Index]],tblHITIndexWeightTable[],4,FALSE),"")</f>
        <v/>
      </c>
      <c r="AB64" s="108">
        <f>VLOOKUP(tblRiskRegister322[[#This Row],[Asset Class]],tblInherentImpacts3046[],2,FALSE)</f>
        <v>4</v>
      </c>
      <c r="AC64" s="108">
        <f>VLOOKUP(tblRiskRegister322[[#This Row],[Asset Class]],tblInherentImpacts3046[],3,FALSE)</f>
        <v>2</v>
      </c>
      <c r="AD64" s="108">
        <f>VLOOKUP(tblRiskRegister322[[#This Row],[Asset Class]],tblInherentImpacts3046[],4,FALSE)</f>
        <v>4</v>
      </c>
      <c r="AE64" s="108">
        <f>VLOOKUP(tblRiskRegister322[[#This Row],[Asset Class]],tblInherentImpacts3046[],5,FALSE)</f>
        <v>4</v>
      </c>
      <c r="AF64" s="23" t="str">
        <f>IFERROR(MAX(tblRiskRegister322[[#This Row],[Risk Treatment Safeguard Impact to Mission]:[Risk Treatment Safeguard Impact to Obligations]])*tblRiskRegister322[[#This Row],[Risk Treatment
Safeguard Expectancy Score]],"")</f>
        <v/>
      </c>
      <c r="AG64" s="23" t="str" cm="1">
        <f t="array" ref="AG64">IF(tblRiskRegister322[[#This Row],[Risk Score]]&gt;=AcceptableRisk1,IF(tblRiskRegister322[[#This Row],[Risk Treatment Safeguard Risk Score]]&lt;AcceptableRisk1, IF(tblRiskRegister322[[#This Row],[Risk Treatment Safeguard Risk Score]]&lt;tblRiskRegister322[[#This Row],[Risk Score]],"Yes","No"),"No"),"Yes")</f>
        <v>No</v>
      </c>
      <c r="AH64" s="17"/>
      <c r="AI64" s="17"/>
      <c r="AJ64" s="18"/>
    </row>
    <row r="65" spans="2:36" ht="28">
      <c r="B65" s="15" t="s">
        <v>527</v>
      </c>
      <c r="C65" s="15"/>
      <c r="D65" s="13">
        <v>7.7</v>
      </c>
      <c r="E65" s="14" t="s">
        <v>163</v>
      </c>
      <c r="F65" s="13"/>
      <c r="G65" s="13" t="s">
        <v>429</v>
      </c>
      <c r="H65" s="13" t="s">
        <v>522</v>
      </c>
      <c r="I65" s="14"/>
      <c r="J65" s="14"/>
      <c r="K65" s="14"/>
      <c r="L65" s="16"/>
      <c r="M65" s="24">
        <f>IFERROR(VLOOKUP(tblRiskRegister322[[#This Row],[Asset Class]],tblVCDBIndex[],4,FALSE),"")</f>
        <v>2</v>
      </c>
      <c r="N65" s="24" t="str">
        <f>IFERROR(VLOOKUP(10*tblRiskRegister322[[#This Row],[Safeguard Maturity Score]]+tblRiskRegister322[[#This Row],[VCDB Index]],tblHITIndexWeightTable[],4,FALSE),"")</f>
        <v/>
      </c>
      <c r="O65" s="24">
        <f>VLOOKUP(tblRiskRegister322[[#This Row],[Asset Class]],tblInherentImpacts3046[],2,FALSE)</f>
        <v>4</v>
      </c>
      <c r="P65" s="24">
        <f>VLOOKUP(tblRiskRegister322[[#This Row],[Asset Class]],tblInherentImpacts3046[],3,FALSE)</f>
        <v>2</v>
      </c>
      <c r="Q65" s="24">
        <f>VLOOKUP(tblRiskRegister322[[#This Row],[Asset Class]],tblInherentImpacts3046[],4,FALSE)</f>
        <v>4</v>
      </c>
      <c r="R65" s="24">
        <f>VLOOKUP(tblRiskRegister322[[#This Row],[Asset Class]],tblInherentImpacts3046[],5,FALSE)</f>
        <v>4</v>
      </c>
      <c r="S65" s="24" t="str">
        <f>IFERROR(MAX(tblRiskRegister322[[#This Row],[Impact to Mission]:[Impact to Obligations]])*tblRiskRegister322[[#This Row],[Expectancy Score]],"")</f>
        <v/>
      </c>
      <c r="T65" s="24" t="str">
        <f>tblRiskRegister322[[#This Row],[Risk Score]]</f>
        <v/>
      </c>
      <c r="U65" s="13"/>
      <c r="V65" s="86">
        <v>7.7</v>
      </c>
      <c r="W65" s="15" t="s">
        <v>163</v>
      </c>
      <c r="X65" s="15" t="s">
        <v>368</v>
      </c>
      <c r="Y65" s="15"/>
      <c r="Z65" s="16"/>
      <c r="AA65" s="23" t="str">
        <f>IFERROR(VLOOKUP(10*tblRiskRegister322[[#This Row],[Risk Treatment Safeguard Maturity Score]]+tblRiskRegister322[[#This Row],[VCDB Index]],tblHITIndexWeightTable[],4,FALSE),"")</f>
        <v/>
      </c>
      <c r="AB65" s="108">
        <f>VLOOKUP(tblRiskRegister322[[#This Row],[Asset Class]],tblInherentImpacts3046[],2,FALSE)</f>
        <v>4</v>
      </c>
      <c r="AC65" s="108">
        <f>VLOOKUP(tblRiskRegister322[[#This Row],[Asset Class]],tblInherentImpacts3046[],3,FALSE)</f>
        <v>2</v>
      </c>
      <c r="AD65" s="108">
        <f>VLOOKUP(tblRiskRegister322[[#This Row],[Asset Class]],tblInherentImpacts3046[],4,FALSE)</f>
        <v>4</v>
      </c>
      <c r="AE65" s="108">
        <f>VLOOKUP(tblRiskRegister322[[#This Row],[Asset Class]],tblInherentImpacts3046[],5,FALSE)</f>
        <v>4</v>
      </c>
      <c r="AF65" s="23" t="str">
        <f>IFERROR(MAX(tblRiskRegister322[[#This Row],[Risk Treatment Safeguard Impact to Mission]:[Risk Treatment Safeguard Impact to Obligations]])*tblRiskRegister322[[#This Row],[Risk Treatment
Safeguard Expectancy Score]],"")</f>
        <v/>
      </c>
      <c r="AG65" s="23" t="str" cm="1">
        <f t="array" ref="AG65">IF(tblRiskRegister322[[#This Row],[Risk Score]]&gt;=AcceptableRisk1,IF(tblRiskRegister322[[#This Row],[Risk Treatment Safeguard Risk Score]]&lt;AcceptableRisk1, IF(tblRiskRegister322[[#This Row],[Risk Treatment Safeguard Risk Score]]&lt;tblRiskRegister322[[#This Row],[Risk Score]],"Yes","No"),"No"),"Yes")</f>
        <v>No</v>
      </c>
      <c r="AH65" s="17"/>
      <c r="AI65" s="17"/>
      <c r="AJ65" s="18"/>
    </row>
    <row r="66" spans="2:36" ht="56">
      <c r="B66" s="15" t="s">
        <v>528</v>
      </c>
      <c r="C66" s="15"/>
      <c r="D66" s="13">
        <v>8.1</v>
      </c>
      <c r="E66" s="14" t="s">
        <v>66</v>
      </c>
      <c r="F66" s="13" t="s">
        <v>429</v>
      </c>
      <c r="G66" s="13" t="s">
        <v>429</v>
      </c>
      <c r="H66" s="13" t="s">
        <v>532</v>
      </c>
      <c r="I66" s="14"/>
      <c r="J66" s="14"/>
      <c r="K66" s="14"/>
      <c r="L66" s="16"/>
      <c r="M66" s="24">
        <f>IFERROR(VLOOKUP(tblRiskRegister322[[#This Row],[Asset Class]],tblVCDBIndex[],4,FALSE),"")</f>
        <v>2</v>
      </c>
      <c r="N66" s="24" t="str">
        <f>IFERROR(VLOOKUP(10*tblRiskRegister322[[#This Row],[Safeguard Maturity Score]]+tblRiskRegister322[[#This Row],[VCDB Index]],tblHITIndexWeightTable[],4,FALSE),"")</f>
        <v/>
      </c>
      <c r="O66" s="24">
        <f>VLOOKUP(tblRiskRegister322[[#This Row],[Asset Class]],tblInherentImpacts3046[],2,FALSE)</f>
        <v>2</v>
      </c>
      <c r="P66" s="24">
        <f>VLOOKUP(tblRiskRegister322[[#This Row],[Asset Class]],tblInherentImpacts3046[],3,FALSE)</f>
        <v>3</v>
      </c>
      <c r="Q66" s="24">
        <f>VLOOKUP(tblRiskRegister322[[#This Row],[Asset Class]],tblInherentImpacts3046[],4,FALSE)</f>
        <v>2</v>
      </c>
      <c r="R66" s="24">
        <f>VLOOKUP(tblRiskRegister322[[#This Row],[Asset Class]],tblInherentImpacts3046[],5,FALSE)</f>
        <v>2</v>
      </c>
      <c r="S66" s="24" t="str">
        <f>IFERROR(MAX(tblRiskRegister322[[#This Row],[Impact to Mission]:[Impact to Obligations]])*tblRiskRegister322[[#This Row],[Expectancy Score]],"")</f>
        <v/>
      </c>
      <c r="T66" s="24" t="str">
        <f>tblRiskRegister322[[#This Row],[Risk Score]]</f>
        <v/>
      </c>
      <c r="U66" s="13"/>
      <c r="V66" s="86">
        <v>8.1</v>
      </c>
      <c r="W66" s="15" t="s">
        <v>66</v>
      </c>
      <c r="X66" s="15" t="s">
        <v>550</v>
      </c>
      <c r="Y66" s="26"/>
      <c r="Z66" s="16"/>
      <c r="AA66" s="23" t="str">
        <f>IFERROR(VLOOKUP(10*tblRiskRegister322[[#This Row],[Risk Treatment Safeguard Maturity Score]]+tblRiskRegister322[[#This Row],[VCDB Index]],tblHITIndexWeightTable[],4,FALSE),"")</f>
        <v/>
      </c>
      <c r="AB66" s="108">
        <f>VLOOKUP(tblRiskRegister322[[#This Row],[Asset Class]],tblInherentImpacts3046[],2,FALSE)</f>
        <v>2</v>
      </c>
      <c r="AC66" s="108">
        <f>VLOOKUP(tblRiskRegister322[[#This Row],[Asset Class]],tblInherentImpacts3046[],3,FALSE)</f>
        <v>3</v>
      </c>
      <c r="AD66" s="108">
        <f>VLOOKUP(tblRiskRegister322[[#This Row],[Asset Class]],tblInherentImpacts3046[],4,FALSE)</f>
        <v>2</v>
      </c>
      <c r="AE66" s="108">
        <f>VLOOKUP(tblRiskRegister322[[#This Row],[Asset Class]],tblInherentImpacts3046[],5,FALSE)</f>
        <v>2</v>
      </c>
      <c r="AF66" s="23" t="str">
        <f>IFERROR(MAX(tblRiskRegister322[[#This Row],[Risk Treatment Safeguard Impact to Mission]:[Risk Treatment Safeguard Impact to Obligations]])*tblRiskRegister322[[#This Row],[Risk Treatment
Safeguard Expectancy Score]],"")</f>
        <v/>
      </c>
      <c r="AG66" s="23" t="str" cm="1">
        <f t="array" ref="AG66">IF(tblRiskRegister322[[#This Row],[Risk Score]]&gt;=AcceptableRisk1,IF(tblRiskRegister322[[#This Row],[Risk Treatment Safeguard Risk Score]]&lt;AcceptableRisk1, IF(tblRiskRegister322[[#This Row],[Risk Treatment Safeguard Risk Score]]&lt;tblRiskRegister322[[#This Row],[Risk Score]],"Yes","No"),"No"),"Yes")</f>
        <v>No</v>
      </c>
      <c r="AH66" s="17"/>
      <c r="AI66" s="17"/>
      <c r="AJ66" s="18"/>
    </row>
    <row r="67" spans="2:36" ht="28">
      <c r="B67" s="15" t="s">
        <v>90</v>
      </c>
      <c r="C67" s="15"/>
      <c r="D67" s="13">
        <v>8.1999999999999993</v>
      </c>
      <c r="E67" s="14" t="s">
        <v>67</v>
      </c>
      <c r="F67" s="13" t="s">
        <v>429</v>
      </c>
      <c r="G67" s="13" t="s">
        <v>429</v>
      </c>
      <c r="H67" s="13" t="s">
        <v>524</v>
      </c>
      <c r="I67" s="14"/>
      <c r="J67" s="14"/>
      <c r="K67" s="14"/>
      <c r="L67" s="16"/>
      <c r="M67" s="24">
        <f>IFERROR(VLOOKUP(tblRiskRegister322[[#This Row],[Asset Class]],tblVCDBIndex[],4,FALSE),"")</f>
        <v>2</v>
      </c>
      <c r="N67" s="24" t="str">
        <f>IFERROR(VLOOKUP(10*tblRiskRegister322[[#This Row],[Safeguard Maturity Score]]+tblRiskRegister322[[#This Row],[VCDB Index]],tblHITIndexWeightTable[],4,FALSE),"")</f>
        <v/>
      </c>
      <c r="O67" s="24">
        <f>VLOOKUP(tblRiskRegister322[[#This Row],[Asset Class]],tblInherentImpacts3046[],2,FALSE)</f>
        <v>3</v>
      </c>
      <c r="P67" s="24">
        <f>VLOOKUP(tblRiskRegister322[[#This Row],[Asset Class]],tblInherentImpacts3046[],3,FALSE)</f>
        <v>4</v>
      </c>
      <c r="Q67" s="24">
        <f>VLOOKUP(tblRiskRegister322[[#This Row],[Asset Class]],tblInherentImpacts3046[],4,FALSE)</f>
        <v>5</v>
      </c>
      <c r="R67" s="24">
        <f>VLOOKUP(tblRiskRegister322[[#This Row],[Asset Class]],tblInherentImpacts3046[],5,FALSE)</f>
        <v>4</v>
      </c>
      <c r="S67" s="24" t="str">
        <f>IFERROR(MAX(tblRiskRegister322[[#This Row],[Impact to Mission]:[Impact to Obligations]])*tblRiskRegister322[[#This Row],[Expectancy Score]],"")</f>
        <v/>
      </c>
      <c r="T67" s="24" t="str">
        <f>tblRiskRegister322[[#This Row],[Risk Score]]</f>
        <v/>
      </c>
      <c r="U67" s="13"/>
      <c r="V67" s="86">
        <v>8.1999999999999993</v>
      </c>
      <c r="W67" s="15" t="s">
        <v>67</v>
      </c>
      <c r="X67" s="15" t="s">
        <v>369</v>
      </c>
      <c r="Y67" s="26"/>
      <c r="Z67" s="16"/>
      <c r="AA67" s="23" t="str">
        <f>IFERROR(VLOOKUP(10*tblRiskRegister322[[#This Row],[Risk Treatment Safeguard Maturity Score]]+tblRiskRegister322[[#This Row],[VCDB Index]],tblHITIndexWeightTable[],4,FALSE),"")</f>
        <v/>
      </c>
      <c r="AB67" s="108">
        <f>VLOOKUP(tblRiskRegister322[[#This Row],[Asset Class]],tblInherentImpacts3046[],2,FALSE)</f>
        <v>3</v>
      </c>
      <c r="AC67" s="108">
        <f>VLOOKUP(tblRiskRegister322[[#This Row],[Asset Class]],tblInherentImpacts3046[],3,FALSE)</f>
        <v>4</v>
      </c>
      <c r="AD67" s="108">
        <f>VLOOKUP(tblRiskRegister322[[#This Row],[Asset Class]],tblInherentImpacts3046[],4,FALSE)</f>
        <v>5</v>
      </c>
      <c r="AE67" s="108">
        <f>VLOOKUP(tblRiskRegister322[[#This Row],[Asset Class]],tblInherentImpacts3046[],5,FALSE)</f>
        <v>4</v>
      </c>
      <c r="AF67" s="23" t="str">
        <f>IFERROR(MAX(tblRiskRegister322[[#This Row],[Risk Treatment Safeguard Impact to Mission]:[Risk Treatment Safeguard Impact to Obligations]])*tblRiskRegister322[[#This Row],[Risk Treatment
Safeguard Expectancy Score]],"")</f>
        <v/>
      </c>
      <c r="AG67" s="23" t="str" cm="1">
        <f t="array" ref="AG67">IF(tblRiskRegister322[[#This Row],[Risk Score]]&gt;=AcceptableRisk1,IF(tblRiskRegister322[[#This Row],[Risk Treatment Safeguard Risk Score]]&lt;AcceptableRisk1, IF(tblRiskRegister322[[#This Row],[Risk Treatment Safeguard Risk Score]]&lt;tblRiskRegister322[[#This Row],[Risk Score]],"Yes","No"),"No"),"Yes")</f>
        <v>No</v>
      </c>
      <c r="AH67" s="17"/>
      <c r="AI67" s="17"/>
      <c r="AJ67" s="18"/>
    </row>
    <row r="68" spans="2:36" ht="28">
      <c r="B68" s="15" t="s">
        <v>90</v>
      </c>
      <c r="C68" s="15"/>
      <c r="D68" s="13">
        <v>8.3000000000000007</v>
      </c>
      <c r="E68" s="14" t="s">
        <v>68</v>
      </c>
      <c r="F68" s="13" t="s">
        <v>429</v>
      </c>
      <c r="G68" s="13" t="s">
        <v>429</v>
      </c>
      <c r="H68" s="13" t="s">
        <v>523</v>
      </c>
      <c r="I68" s="14"/>
      <c r="J68" s="14"/>
      <c r="K68" s="14"/>
      <c r="L68" s="16"/>
      <c r="M68" s="24">
        <f>IFERROR(VLOOKUP(tblRiskRegister322[[#This Row],[Asset Class]],tblVCDBIndex[],4,FALSE),"")</f>
        <v>2</v>
      </c>
      <c r="N68" s="24" t="str">
        <f>IFERROR(VLOOKUP(10*tblRiskRegister322[[#This Row],[Safeguard Maturity Score]]+tblRiskRegister322[[#This Row],[VCDB Index]],tblHITIndexWeightTable[],4,FALSE),"")</f>
        <v/>
      </c>
      <c r="O68" s="24">
        <f>VLOOKUP(tblRiskRegister322[[#This Row],[Asset Class]],tblInherentImpacts3046[],2,FALSE)</f>
        <v>3</v>
      </c>
      <c r="P68" s="24">
        <f>VLOOKUP(tblRiskRegister322[[#This Row],[Asset Class]],tblInherentImpacts3046[],3,FALSE)</f>
        <v>4</v>
      </c>
      <c r="Q68" s="24">
        <f>VLOOKUP(tblRiskRegister322[[#This Row],[Asset Class]],tblInherentImpacts3046[],4,FALSE)</f>
        <v>5</v>
      </c>
      <c r="R68" s="24">
        <f>VLOOKUP(tblRiskRegister322[[#This Row],[Asset Class]],tblInherentImpacts3046[],5,FALSE)</f>
        <v>4</v>
      </c>
      <c r="S68" s="24" t="str">
        <f>IFERROR(MAX(tblRiskRegister322[[#This Row],[Impact to Mission]:[Impact to Obligations]])*tblRiskRegister322[[#This Row],[Expectancy Score]],"")</f>
        <v/>
      </c>
      <c r="T68" s="24" t="str">
        <f>tblRiskRegister322[[#This Row],[Risk Score]]</f>
        <v/>
      </c>
      <c r="U68" s="13"/>
      <c r="V68" s="86">
        <v>8.3000000000000007</v>
      </c>
      <c r="W68" s="15" t="s">
        <v>68</v>
      </c>
      <c r="X68" s="15" t="s">
        <v>370</v>
      </c>
      <c r="Y68" s="26"/>
      <c r="Z68" s="16"/>
      <c r="AA68" s="23" t="str">
        <f>IFERROR(VLOOKUP(10*tblRiskRegister322[[#This Row],[Risk Treatment Safeguard Maturity Score]]+tblRiskRegister322[[#This Row],[VCDB Index]],tblHITIndexWeightTable[],4,FALSE),"")</f>
        <v/>
      </c>
      <c r="AB68" s="108">
        <f>VLOOKUP(tblRiskRegister322[[#This Row],[Asset Class]],tblInherentImpacts3046[],2,FALSE)</f>
        <v>3</v>
      </c>
      <c r="AC68" s="108">
        <f>VLOOKUP(tblRiskRegister322[[#This Row],[Asset Class]],tblInherentImpacts3046[],3,FALSE)</f>
        <v>4</v>
      </c>
      <c r="AD68" s="108">
        <f>VLOOKUP(tblRiskRegister322[[#This Row],[Asset Class]],tblInherentImpacts3046[],4,FALSE)</f>
        <v>5</v>
      </c>
      <c r="AE68" s="108">
        <f>VLOOKUP(tblRiskRegister322[[#This Row],[Asset Class]],tblInherentImpacts3046[],5,FALSE)</f>
        <v>4</v>
      </c>
      <c r="AF68" s="23" t="str">
        <f>IFERROR(MAX(tblRiskRegister322[[#This Row],[Risk Treatment Safeguard Impact to Mission]:[Risk Treatment Safeguard Impact to Obligations]])*tblRiskRegister322[[#This Row],[Risk Treatment
Safeguard Expectancy Score]],"")</f>
        <v/>
      </c>
      <c r="AG68" s="23" t="str" cm="1">
        <f t="array" ref="AG68">IF(tblRiskRegister322[[#This Row],[Risk Score]]&gt;=AcceptableRisk1,IF(tblRiskRegister322[[#This Row],[Risk Treatment Safeguard Risk Score]]&lt;AcceptableRisk1, IF(tblRiskRegister322[[#This Row],[Risk Treatment Safeguard Risk Score]]&lt;tblRiskRegister322[[#This Row],[Risk Score]],"Yes","No"),"No"),"Yes")</f>
        <v>No</v>
      </c>
      <c r="AH68" s="17"/>
      <c r="AI68" s="17"/>
      <c r="AJ68" s="18"/>
    </row>
    <row r="69" spans="2:36" ht="28">
      <c r="B69" s="15" t="s">
        <v>92</v>
      </c>
      <c r="C69" s="15"/>
      <c r="D69" s="13">
        <v>8.4</v>
      </c>
      <c r="E69" s="14" t="s">
        <v>206</v>
      </c>
      <c r="F69" s="13"/>
      <c r="G69" s="13" t="s">
        <v>429</v>
      </c>
      <c r="H69" s="13" t="s">
        <v>523</v>
      </c>
      <c r="I69" s="14"/>
      <c r="J69" s="14"/>
      <c r="K69" s="14"/>
      <c r="L69" s="16"/>
      <c r="M69" s="24">
        <f>IFERROR(VLOOKUP(tblRiskRegister322[[#This Row],[Asset Class]],tblVCDBIndex[],4,FALSE),"")</f>
        <v>1</v>
      </c>
      <c r="N69" s="24" t="str">
        <f>IFERROR(VLOOKUP(10*tblRiskRegister322[[#This Row],[Safeguard Maturity Score]]+tblRiskRegister322[[#This Row],[VCDB Index]],tblHITIndexWeightTable[],4,FALSE),"")</f>
        <v/>
      </c>
      <c r="O69" s="24">
        <f>VLOOKUP(tblRiskRegister322[[#This Row],[Asset Class]],tblInherentImpacts3046[],2,FALSE)</f>
        <v>3</v>
      </c>
      <c r="P69" s="24">
        <f>VLOOKUP(tblRiskRegister322[[#This Row],[Asset Class]],tblInherentImpacts3046[],3,FALSE)</f>
        <v>4</v>
      </c>
      <c r="Q69" s="24">
        <f>VLOOKUP(tblRiskRegister322[[#This Row],[Asset Class]],tblInherentImpacts3046[],4,FALSE)</f>
        <v>3</v>
      </c>
      <c r="R69" s="24">
        <f>VLOOKUP(tblRiskRegister322[[#This Row],[Asset Class]],tblInherentImpacts3046[],5,FALSE)</f>
        <v>3</v>
      </c>
      <c r="S69" s="24" t="str">
        <f>IFERROR(MAX(tblRiskRegister322[[#This Row],[Impact to Mission]:[Impact to Obligations]])*tblRiskRegister322[[#This Row],[Expectancy Score]],"")</f>
        <v/>
      </c>
      <c r="T69" s="24" t="str">
        <f>tblRiskRegister322[[#This Row],[Risk Score]]</f>
        <v/>
      </c>
      <c r="U69" s="13"/>
      <c r="V69" s="86">
        <v>8.4</v>
      </c>
      <c r="W69" s="15" t="s">
        <v>206</v>
      </c>
      <c r="X69" s="15" t="s">
        <v>371</v>
      </c>
      <c r="Y69" s="26"/>
      <c r="Z69" s="16"/>
      <c r="AA69" s="23" t="str">
        <f>IFERROR(VLOOKUP(10*tblRiskRegister322[[#This Row],[Risk Treatment Safeguard Maturity Score]]+tblRiskRegister322[[#This Row],[VCDB Index]],tblHITIndexWeightTable[],4,FALSE),"")</f>
        <v/>
      </c>
      <c r="AB69" s="108">
        <f>VLOOKUP(tblRiskRegister322[[#This Row],[Asset Class]],tblInherentImpacts3046[],2,FALSE)</f>
        <v>3</v>
      </c>
      <c r="AC69" s="108">
        <f>VLOOKUP(tblRiskRegister322[[#This Row],[Asset Class]],tblInherentImpacts3046[],3,FALSE)</f>
        <v>4</v>
      </c>
      <c r="AD69" s="108">
        <f>VLOOKUP(tblRiskRegister322[[#This Row],[Asset Class]],tblInherentImpacts3046[],4,FALSE)</f>
        <v>3</v>
      </c>
      <c r="AE69" s="108">
        <f>VLOOKUP(tblRiskRegister322[[#This Row],[Asset Class]],tblInherentImpacts3046[],5,FALSE)</f>
        <v>3</v>
      </c>
      <c r="AF69" s="23" t="str">
        <f>IFERROR(MAX(tblRiskRegister322[[#This Row],[Risk Treatment Safeguard Impact to Mission]:[Risk Treatment Safeguard Impact to Obligations]])*tblRiskRegister322[[#This Row],[Risk Treatment
Safeguard Expectancy Score]],"")</f>
        <v/>
      </c>
      <c r="AG69" s="23" t="str" cm="1">
        <f t="array" ref="AG69">IF(tblRiskRegister322[[#This Row],[Risk Score]]&gt;=AcceptableRisk1,IF(tblRiskRegister322[[#This Row],[Risk Treatment Safeguard Risk Score]]&lt;AcceptableRisk1, IF(tblRiskRegister322[[#This Row],[Risk Treatment Safeguard Risk Score]]&lt;tblRiskRegister322[[#This Row],[Risk Score]],"Yes","No"),"No"),"Yes")</f>
        <v>No</v>
      </c>
      <c r="AH69" s="17"/>
      <c r="AI69" s="17"/>
      <c r="AJ69" s="18"/>
    </row>
    <row r="70" spans="2:36" ht="42">
      <c r="B70" s="15" t="s">
        <v>90</v>
      </c>
      <c r="C70" s="15"/>
      <c r="D70" s="13">
        <v>8.5</v>
      </c>
      <c r="E70" s="14" t="s">
        <v>207</v>
      </c>
      <c r="F70" s="13"/>
      <c r="G70" s="13" t="s">
        <v>429</v>
      </c>
      <c r="H70" s="13" t="s">
        <v>524</v>
      </c>
      <c r="I70" s="14"/>
      <c r="J70" s="14"/>
      <c r="K70" s="14"/>
      <c r="L70" s="16"/>
      <c r="M70" s="24">
        <f>IFERROR(VLOOKUP(tblRiskRegister322[[#This Row],[Asset Class]],tblVCDBIndex[],4,FALSE),"")</f>
        <v>2</v>
      </c>
      <c r="N70" s="24" t="str">
        <f>IFERROR(VLOOKUP(10*tblRiskRegister322[[#This Row],[Safeguard Maturity Score]]+tblRiskRegister322[[#This Row],[VCDB Index]],tblHITIndexWeightTable[],4,FALSE),"")</f>
        <v/>
      </c>
      <c r="O70" s="24">
        <f>VLOOKUP(tblRiskRegister322[[#This Row],[Asset Class]],tblInherentImpacts3046[],2,FALSE)</f>
        <v>3</v>
      </c>
      <c r="P70" s="24">
        <f>VLOOKUP(tblRiskRegister322[[#This Row],[Asset Class]],tblInherentImpacts3046[],3,FALSE)</f>
        <v>4</v>
      </c>
      <c r="Q70" s="24">
        <f>VLOOKUP(tblRiskRegister322[[#This Row],[Asset Class]],tblInherentImpacts3046[],4,FALSE)</f>
        <v>5</v>
      </c>
      <c r="R70" s="24">
        <f>VLOOKUP(tblRiskRegister322[[#This Row],[Asset Class]],tblInherentImpacts3046[],5,FALSE)</f>
        <v>4</v>
      </c>
      <c r="S70" s="24" t="str">
        <f>IFERROR(MAX(tblRiskRegister322[[#This Row],[Impact to Mission]:[Impact to Obligations]])*tblRiskRegister322[[#This Row],[Expectancy Score]],"")</f>
        <v/>
      </c>
      <c r="T70" s="24" t="str">
        <f>tblRiskRegister322[[#This Row],[Risk Score]]</f>
        <v/>
      </c>
      <c r="U70" s="13"/>
      <c r="V70" s="86">
        <v>8.5</v>
      </c>
      <c r="W70" s="15" t="s">
        <v>207</v>
      </c>
      <c r="X70" s="15" t="s">
        <v>372</v>
      </c>
      <c r="Y70" s="26"/>
      <c r="Z70" s="16"/>
      <c r="AA70" s="23" t="str">
        <f>IFERROR(VLOOKUP(10*tblRiskRegister322[[#This Row],[Risk Treatment Safeguard Maturity Score]]+tblRiskRegister322[[#This Row],[VCDB Index]],tblHITIndexWeightTable[],4,FALSE),"")</f>
        <v/>
      </c>
      <c r="AB70" s="108">
        <f>VLOOKUP(tblRiskRegister322[[#This Row],[Asset Class]],tblInherentImpacts3046[],2,FALSE)</f>
        <v>3</v>
      </c>
      <c r="AC70" s="108">
        <f>VLOOKUP(tblRiskRegister322[[#This Row],[Asset Class]],tblInherentImpacts3046[],3,FALSE)</f>
        <v>4</v>
      </c>
      <c r="AD70" s="108">
        <f>VLOOKUP(tblRiskRegister322[[#This Row],[Asset Class]],tblInherentImpacts3046[],4,FALSE)</f>
        <v>5</v>
      </c>
      <c r="AE70" s="108">
        <f>VLOOKUP(tblRiskRegister322[[#This Row],[Asset Class]],tblInherentImpacts3046[],5,FALSE)</f>
        <v>4</v>
      </c>
      <c r="AF70" s="23" t="str">
        <f>IFERROR(MAX(tblRiskRegister322[[#This Row],[Risk Treatment Safeguard Impact to Mission]:[Risk Treatment Safeguard Impact to Obligations]])*tblRiskRegister322[[#This Row],[Risk Treatment
Safeguard Expectancy Score]],"")</f>
        <v/>
      </c>
      <c r="AG70" s="23" t="str" cm="1">
        <f t="array" ref="AG70">IF(tblRiskRegister322[[#This Row],[Risk Score]]&gt;=AcceptableRisk1,IF(tblRiskRegister322[[#This Row],[Risk Treatment Safeguard Risk Score]]&lt;AcceptableRisk1, IF(tblRiskRegister322[[#This Row],[Risk Treatment Safeguard Risk Score]]&lt;tblRiskRegister322[[#This Row],[Risk Score]],"Yes","No"),"No"),"Yes")</f>
        <v>No</v>
      </c>
      <c r="AH70" s="17"/>
      <c r="AI70" s="17"/>
      <c r="AJ70" s="18"/>
    </row>
    <row r="71" spans="2:36" ht="14">
      <c r="B71" s="15" t="s">
        <v>90</v>
      </c>
      <c r="C71" s="15"/>
      <c r="D71" s="13">
        <v>8.6</v>
      </c>
      <c r="E71" s="14" t="s">
        <v>208</v>
      </c>
      <c r="F71" s="13"/>
      <c r="G71" s="13" t="s">
        <v>429</v>
      </c>
      <c r="H71" s="13" t="s">
        <v>524</v>
      </c>
      <c r="I71" s="14"/>
      <c r="J71" s="14"/>
      <c r="K71" s="14"/>
      <c r="L71" s="16"/>
      <c r="M71" s="24">
        <f>IFERROR(VLOOKUP(tblRiskRegister322[[#This Row],[Asset Class]],tblVCDBIndex[],4,FALSE),"")</f>
        <v>2</v>
      </c>
      <c r="N71" s="24" t="str">
        <f>IFERROR(VLOOKUP(10*tblRiskRegister322[[#This Row],[Safeguard Maturity Score]]+tblRiskRegister322[[#This Row],[VCDB Index]],tblHITIndexWeightTable[],4,FALSE),"")</f>
        <v/>
      </c>
      <c r="O71" s="24">
        <f>VLOOKUP(tblRiskRegister322[[#This Row],[Asset Class]],tblInherentImpacts3046[],2,FALSE)</f>
        <v>3</v>
      </c>
      <c r="P71" s="24">
        <f>VLOOKUP(tblRiskRegister322[[#This Row],[Asset Class]],tblInherentImpacts3046[],3,FALSE)</f>
        <v>4</v>
      </c>
      <c r="Q71" s="24">
        <f>VLOOKUP(tblRiskRegister322[[#This Row],[Asset Class]],tblInherentImpacts3046[],4,FALSE)</f>
        <v>5</v>
      </c>
      <c r="R71" s="24">
        <f>VLOOKUP(tblRiskRegister322[[#This Row],[Asset Class]],tblInherentImpacts3046[],5,FALSE)</f>
        <v>4</v>
      </c>
      <c r="S71" s="24" t="str">
        <f>IFERROR(MAX(tblRiskRegister322[[#This Row],[Impact to Mission]:[Impact to Obligations]])*tblRiskRegister322[[#This Row],[Expectancy Score]],"")</f>
        <v/>
      </c>
      <c r="T71" s="24" t="str">
        <f>tblRiskRegister322[[#This Row],[Risk Score]]</f>
        <v/>
      </c>
      <c r="U71" s="13"/>
      <c r="V71" s="86">
        <v>8.6</v>
      </c>
      <c r="W71" s="15" t="s">
        <v>208</v>
      </c>
      <c r="X71" s="15" t="s">
        <v>373</v>
      </c>
      <c r="Y71" s="26"/>
      <c r="Z71" s="16"/>
      <c r="AA71" s="23" t="str">
        <f>IFERROR(VLOOKUP(10*tblRiskRegister322[[#This Row],[Risk Treatment Safeguard Maturity Score]]+tblRiskRegister322[[#This Row],[VCDB Index]],tblHITIndexWeightTable[],4,FALSE),"")</f>
        <v/>
      </c>
      <c r="AB71" s="108">
        <f>VLOOKUP(tblRiskRegister322[[#This Row],[Asset Class]],tblInherentImpacts3046[],2,FALSE)</f>
        <v>3</v>
      </c>
      <c r="AC71" s="108">
        <f>VLOOKUP(tblRiskRegister322[[#This Row],[Asset Class]],tblInherentImpacts3046[],3,FALSE)</f>
        <v>4</v>
      </c>
      <c r="AD71" s="108">
        <f>VLOOKUP(tblRiskRegister322[[#This Row],[Asset Class]],tblInherentImpacts3046[],4,FALSE)</f>
        <v>5</v>
      </c>
      <c r="AE71" s="108">
        <f>VLOOKUP(tblRiskRegister322[[#This Row],[Asset Class]],tblInherentImpacts3046[],5,FALSE)</f>
        <v>4</v>
      </c>
      <c r="AF71" s="23" t="str">
        <f>IFERROR(MAX(tblRiskRegister322[[#This Row],[Risk Treatment Safeguard Impact to Mission]:[Risk Treatment Safeguard Impact to Obligations]])*tblRiskRegister322[[#This Row],[Risk Treatment
Safeguard Expectancy Score]],"")</f>
        <v/>
      </c>
      <c r="AG71" s="23" t="str" cm="1">
        <f t="array" ref="AG71">IF(tblRiskRegister322[[#This Row],[Risk Score]]&gt;=AcceptableRisk1,IF(tblRiskRegister322[[#This Row],[Risk Treatment Safeguard Risk Score]]&lt;AcceptableRisk1, IF(tblRiskRegister322[[#This Row],[Risk Treatment Safeguard Risk Score]]&lt;tblRiskRegister322[[#This Row],[Risk Score]],"Yes","No"),"No"),"Yes")</f>
        <v>No</v>
      </c>
      <c r="AH71" s="17"/>
      <c r="AI71" s="17"/>
      <c r="AJ71" s="18"/>
    </row>
    <row r="72" spans="2:36" ht="14">
      <c r="B72" s="15" t="s">
        <v>90</v>
      </c>
      <c r="C72" s="15"/>
      <c r="D72" s="13">
        <v>8.6999999999999993</v>
      </c>
      <c r="E72" s="14" t="s">
        <v>209</v>
      </c>
      <c r="F72" s="13"/>
      <c r="G72" s="13" t="s">
        <v>429</v>
      </c>
      <c r="H72" s="13" t="s">
        <v>524</v>
      </c>
      <c r="I72" s="14"/>
      <c r="J72" s="14"/>
      <c r="K72" s="14"/>
      <c r="L72" s="16"/>
      <c r="M72" s="24">
        <f>IFERROR(VLOOKUP(tblRiskRegister322[[#This Row],[Asset Class]],tblVCDBIndex[],4,FALSE),"")</f>
        <v>2</v>
      </c>
      <c r="N72" s="24" t="str">
        <f>IFERROR(VLOOKUP(10*tblRiskRegister322[[#This Row],[Safeguard Maturity Score]]+tblRiskRegister322[[#This Row],[VCDB Index]],tblHITIndexWeightTable[],4,FALSE),"")</f>
        <v/>
      </c>
      <c r="O72" s="24">
        <f>VLOOKUP(tblRiskRegister322[[#This Row],[Asset Class]],tblInherentImpacts3046[],2,FALSE)</f>
        <v>3</v>
      </c>
      <c r="P72" s="24">
        <f>VLOOKUP(tblRiskRegister322[[#This Row],[Asset Class]],tblInherentImpacts3046[],3,FALSE)</f>
        <v>4</v>
      </c>
      <c r="Q72" s="24">
        <f>VLOOKUP(tblRiskRegister322[[#This Row],[Asset Class]],tblInherentImpacts3046[],4,FALSE)</f>
        <v>5</v>
      </c>
      <c r="R72" s="24">
        <f>VLOOKUP(tblRiskRegister322[[#This Row],[Asset Class]],tblInherentImpacts3046[],5,FALSE)</f>
        <v>4</v>
      </c>
      <c r="S72" s="24" t="str">
        <f>IFERROR(MAX(tblRiskRegister322[[#This Row],[Impact to Mission]:[Impact to Obligations]])*tblRiskRegister322[[#This Row],[Expectancy Score]],"")</f>
        <v/>
      </c>
      <c r="T72" s="24" t="str">
        <f>tblRiskRegister322[[#This Row],[Risk Score]]</f>
        <v/>
      </c>
      <c r="U72" s="13"/>
      <c r="V72" s="86">
        <v>8.6999999999999993</v>
      </c>
      <c r="W72" s="15" t="s">
        <v>209</v>
      </c>
      <c r="X72" s="15" t="s">
        <v>374</v>
      </c>
      <c r="Y72" s="26"/>
      <c r="Z72" s="16"/>
      <c r="AA72" s="23" t="str">
        <f>IFERROR(VLOOKUP(10*tblRiskRegister322[[#This Row],[Risk Treatment Safeguard Maturity Score]]+tblRiskRegister322[[#This Row],[VCDB Index]],tblHITIndexWeightTable[],4,FALSE),"")</f>
        <v/>
      </c>
      <c r="AB72" s="108">
        <f>VLOOKUP(tblRiskRegister322[[#This Row],[Asset Class]],tblInherentImpacts3046[],2,FALSE)</f>
        <v>3</v>
      </c>
      <c r="AC72" s="108">
        <f>VLOOKUP(tblRiskRegister322[[#This Row],[Asset Class]],tblInherentImpacts3046[],3,FALSE)</f>
        <v>4</v>
      </c>
      <c r="AD72" s="108">
        <f>VLOOKUP(tblRiskRegister322[[#This Row],[Asset Class]],tblInherentImpacts3046[],4,FALSE)</f>
        <v>5</v>
      </c>
      <c r="AE72" s="108">
        <f>VLOOKUP(tblRiskRegister322[[#This Row],[Asset Class]],tblInherentImpacts3046[],5,FALSE)</f>
        <v>4</v>
      </c>
      <c r="AF72" s="23" t="str">
        <f>IFERROR(MAX(tblRiskRegister322[[#This Row],[Risk Treatment Safeguard Impact to Mission]:[Risk Treatment Safeguard Impact to Obligations]])*tblRiskRegister322[[#This Row],[Risk Treatment
Safeguard Expectancy Score]],"")</f>
        <v/>
      </c>
      <c r="AG72" s="23" t="str" cm="1">
        <f t="array" ref="AG72">IF(tblRiskRegister322[[#This Row],[Risk Score]]&gt;=AcceptableRisk1,IF(tblRiskRegister322[[#This Row],[Risk Treatment Safeguard Risk Score]]&lt;AcceptableRisk1, IF(tblRiskRegister322[[#This Row],[Risk Treatment Safeguard Risk Score]]&lt;tblRiskRegister322[[#This Row],[Risk Score]],"Yes","No"),"No"),"Yes")</f>
        <v>No</v>
      </c>
      <c r="AH72" s="17"/>
      <c r="AI72" s="17"/>
      <c r="AJ72" s="18"/>
    </row>
    <row r="73" spans="2:36" ht="28">
      <c r="B73" s="15" t="s">
        <v>90</v>
      </c>
      <c r="C73" s="15"/>
      <c r="D73" s="13">
        <v>8.8000000000000007</v>
      </c>
      <c r="E73" s="14" t="s">
        <v>187</v>
      </c>
      <c r="F73" s="13"/>
      <c r="G73" s="13" t="s">
        <v>429</v>
      </c>
      <c r="H73" s="13" t="s">
        <v>524</v>
      </c>
      <c r="I73" s="14"/>
      <c r="J73" s="14"/>
      <c r="K73" s="14"/>
      <c r="L73" s="16"/>
      <c r="M73" s="24">
        <f>IFERROR(VLOOKUP(tblRiskRegister322[[#This Row],[Asset Class]],tblVCDBIndex[],4,FALSE),"")</f>
        <v>2</v>
      </c>
      <c r="N73" s="24" t="str">
        <f>IFERROR(VLOOKUP(10*tblRiskRegister322[[#This Row],[Safeguard Maturity Score]]+tblRiskRegister322[[#This Row],[VCDB Index]],tblHITIndexWeightTable[],4,FALSE),"")</f>
        <v/>
      </c>
      <c r="O73" s="24">
        <f>VLOOKUP(tblRiskRegister322[[#This Row],[Asset Class]],tblInherentImpacts3046[],2,FALSE)</f>
        <v>3</v>
      </c>
      <c r="P73" s="24">
        <f>VLOOKUP(tblRiskRegister322[[#This Row],[Asset Class]],tblInherentImpacts3046[],3,FALSE)</f>
        <v>4</v>
      </c>
      <c r="Q73" s="24">
        <f>VLOOKUP(tblRiskRegister322[[#This Row],[Asset Class]],tblInherentImpacts3046[],4,FALSE)</f>
        <v>5</v>
      </c>
      <c r="R73" s="24">
        <f>VLOOKUP(tblRiskRegister322[[#This Row],[Asset Class]],tblInherentImpacts3046[],5,FALSE)</f>
        <v>4</v>
      </c>
      <c r="S73" s="24" t="str">
        <f>IFERROR(MAX(tblRiskRegister322[[#This Row],[Impact to Mission]:[Impact to Obligations]])*tblRiskRegister322[[#This Row],[Expectancy Score]],"")</f>
        <v/>
      </c>
      <c r="T73" s="24" t="str">
        <f>tblRiskRegister322[[#This Row],[Risk Score]]</f>
        <v/>
      </c>
      <c r="U73" s="13"/>
      <c r="V73" s="86">
        <v>8.8000000000000007</v>
      </c>
      <c r="W73" s="15" t="s">
        <v>187</v>
      </c>
      <c r="X73" s="15" t="s">
        <v>375</v>
      </c>
      <c r="Y73" s="26"/>
      <c r="Z73" s="16"/>
      <c r="AA73" s="23" t="str">
        <f>IFERROR(VLOOKUP(10*tblRiskRegister322[[#This Row],[Risk Treatment Safeguard Maturity Score]]+tblRiskRegister322[[#This Row],[VCDB Index]],tblHITIndexWeightTable[],4,FALSE),"")</f>
        <v/>
      </c>
      <c r="AB73" s="108">
        <f>VLOOKUP(tblRiskRegister322[[#This Row],[Asset Class]],tblInherentImpacts3046[],2,FALSE)</f>
        <v>3</v>
      </c>
      <c r="AC73" s="108">
        <f>VLOOKUP(tblRiskRegister322[[#This Row],[Asset Class]],tblInherentImpacts3046[],3,FALSE)</f>
        <v>4</v>
      </c>
      <c r="AD73" s="108">
        <f>VLOOKUP(tblRiskRegister322[[#This Row],[Asset Class]],tblInherentImpacts3046[],4,FALSE)</f>
        <v>5</v>
      </c>
      <c r="AE73" s="108">
        <f>VLOOKUP(tblRiskRegister322[[#This Row],[Asset Class]],tblInherentImpacts3046[],5,FALSE)</f>
        <v>4</v>
      </c>
      <c r="AF73" s="23" t="str">
        <f>IFERROR(MAX(tblRiskRegister322[[#This Row],[Risk Treatment Safeguard Impact to Mission]:[Risk Treatment Safeguard Impact to Obligations]])*tblRiskRegister322[[#This Row],[Risk Treatment
Safeguard Expectancy Score]],"")</f>
        <v/>
      </c>
      <c r="AG73" s="23" t="str" cm="1">
        <f t="array" ref="AG73">IF(tblRiskRegister322[[#This Row],[Risk Score]]&gt;=AcceptableRisk1,IF(tblRiskRegister322[[#This Row],[Risk Treatment Safeguard Risk Score]]&lt;AcceptableRisk1, IF(tblRiskRegister322[[#This Row],[Risk Treatment Safeguard Risk Score]]&lt;tblRiskRegister322[[#This Row],[Risk Score]],"Yes","No"),"No"),"Yes")</f>
        <v>No</v>
      </c>
      <c r="AH73" s="17"/>
      <c r="AI73" s="17"/>
      <c r="AJ73" s="18"/>
    </row>
    <row r="74" spans="2:36" ht="42">
      <c r="B74" s="15" t="s">
        <v>90</v>
      </c>
      <c r="C74" s="15"/>
      <c r="D74" s="13">
        <v>8.9</v>
      </c>
      <c r="E74" s="14" t="s">
        <v>210</v>
      </c>
      <c r="F74" s="13"/>
      <c r="G74" s="13" t="s">
        <v>429</v>
      </c>
      <c r="H74" s="13" t="s">
        <v>524</v>
      </c>
      <c r="I74" s="14"/>
      <c r="J74" s="14"/>
      <c r="K74" s="14"/>
      <c r="L74" s="16"/>
      <c r="M74" s="24">
        <f>IFERROR(VLOOKUP(tblRiskRegister322[[#This Row],[Asset Class]],tblVCDBIndex[],4,FALSE),"")</f>
        <v>2</v>
      </c>
      <c r="N74" s="24" t="str">
        <f>IFERROR(VLOOKUP(10*tblRiskRegister322[[#This Row],[Safeguard Maturity Score]]+tblRiskRegister322[[#This Row],[VCDB Index]],tblHITIndexWeightTable[],4,FALSE),"")</f>
        <v/>
      </c>
      <c r="O74" s="24">
        <f>VLOOKUP(tblRiskRegister322[[#This Row],[Asset Class]],tblInherentImpacts3046[],2,FALSE)</f>
        <v>3</v>
      </c>
      <c r="P74" s="24">
        <f>VLOOKUP(tblRiskRegister322[[#This Row],[Asset Class]],tblInherentImpacts3046[],3,FALSE)</f>
        <v>4</v>
      </c>
      <c r="Q74" s="24">
        <f>VLOOKUP(tblRiskRegister322[[#This Row],[Asset Class]],tblInherentImpacts3046[],4,FALSE)</f>
        <v>5</v>
      </c>
      <c r="R74" s="24">
        <f>VLOOKUP(tblRiskRegister322[[#This Row],[Asset Class]],tblInherentImpacts3046[],5,FALSE)</f>
        <v>4</v>
      </c>
      <c r="S74" s="24" t="str">
        <f>IFERROR(MAX(tblRiskRegister322[[#This Row],[Impact to Mission]:[Impact to Obligations]])*tblRiskRegister322[[#This Row],[Expectancy Score]],"")</f>
        <v/>
      </c>
      <c r="T74" s="24" t="str">
        <f>tblRiskRegister322[[#This Row],[Risk Score]]</f>
        <v/>
      </c>
      <c r="U74" s="13"/>
      <c r="V74" s="86">
        <v>8.9</v>
      </c>
      <c r="W74" s="15" t="s">
        <v>210</v>
      </c>
      <c r="X74" s="15" t="s">
        <v>551</v>
      </c>
      <c r="Y74" s="26"/>
      <c r="Z74" s="16"/>
      <c r="AA74" s="23" t="str">
        <f>IFERROR(VLOOKUP(10*tblRiskRegister322[[#This Row],[Risk Treatment Safeguard Maturity Score]]+tblRiskRegister322[[#This Row],[VCDB Index]],tblHITIndexWeightTable[],4,FALSE),"")</f>
        <v/>
      </c>
      <c r="AB74" s="108">
        <f>VLOOKUP(tblRiskRegister322[[#This Row],[Asset Class]],tblInherentImpacts3046[],2,FALSE)</f>
        <v>3</v>
      </c>
      <c r="AC74" s="108">
        <f>VLOOKUP(tblRiskRegister322[[#This Row],[Asset Class]],tblInherentImpacts3046[],3,FALSE)</f>
        <v>4</v>
      </c>
      <c r="AD74" s="108">
        <f>VLOOKUP(tblRiskRegister322[[#This Row],[Asset Class]],tblInherentImpacts3046[],4,FALSE)</f>
        <v>5</v>
      </c>
      <c r="AE74" s="108">
        <f>VLOOKUP(tblRiskRegister322[[#This Row],[Asset Class]],tblInherentImpacts3046[],5,FALSE)</f>
        <v>4</v>
      </c>
      <c r="AF74" s="23" t="str">
        <f>IFERROR(MAX(tblRiskRegister322[[#This Row],[Risk Treatment Safeguard Impact to Mission]:[Risk Treatment Safeguard Impact to Obligations]])*tblRiskRegister322[[#This Row],[Risk Treatment
Safeguard Expectancy Score]],"")</f>
        <v/>
      </c>
      <c r="AG74" s="23" t="str" cm="1">
        <f t="array" ref="AG74">IF(tblRiskRegister322[[#This Row],[Risk Score]]&gt;=AcceptableRisk1,IF(tblRiskRegister322[[#This Row],[Risk Treatment Safeguard Risk Score]]&lt;AcceptableRisk1, IF(tblRiskRegister322[[#This Row],[Risk Treatment Safeguard Risk Score]]&lt;tblRiskRegister322[[#This Row],[Risk Score]],"Yes","No"),"No"),"Yes")</f>
        <v>No</v>
      </c>
      <c r="AH74" s="17"/>
      <c r="AI74" s="17"/>
      <c r="AJ74" s="18"/>
    </row>
    <row r="75" spans="2:36" ht="14">
      <c r="B75" s="15" t="s">
        <v>90</v>
      </c>
      <c r="C75" s="15"/>
      <c r="D75" s="98">
        <v>8.1</v>
      </c>
      <c r="E75" s="14" t="s">
        <v>211</v>
      </c>
      <c r="F75" s="13"/>
      <c r="G75" s="13" t="s">
        <v>429</v>
      </c>
      <c r="H75" s="13" t="s">
        <v>523</v>
      </c>
      <c r="I75" s="14"/>
      <c r="J75" s="14"/>
      <c r="K75" s="14"/>
      <c r="L75" s="16"/>
      <c r="M75" s="24">
        <f>IFERROR(VLOOKUP(tblRiskRegister322[[#This Row],[Asset Class]],tblVCDBIndex[],4,FALSE),"")</f>
        <v>2</v>
      </c>
      <c r="N75" s="24" t="str">
        <f>IFERROR(VLOOKUP(10*tblRiskRegister322[[#This Row],[Safeguard Maturity Score]]+tblRiskRegister322[[#This Row],[VCDB Index]],tblHITIndexWeightTable[],4,FALSE),"")</f>
        <v/>
      </c>
      <c r="O75" s="24">
        <f>VLOOKUP(tblRiskRegister322[[#This Row],[Asset Class]],tblInherentImpacts3046[],2,FALSE)</f>
        <v>3</v>
      </c>
      <c r="P75" s="24">
        <f>VLOOKUP(tblRiskRegister322[[#This Row],[Asset Class]],tblInherentImpacts3046[],3,FALSE)</f>
        <v>4</v>
      </c>
      <c r="Q75" s="24">
        <f>VLOOKUP(tblRiskRegister322[[#This Row],[Asset Class]],tblInherentImpacts3046[],4,FALSE)</f>
        <v>5</v>
      </c>
      <c r="R75" s="24">
        <f>VLOOKUP(tblRiskRegister322[[#This Row],[Asset Class]],tblInherentImpacts3046[],5,FALSE)</f>
        <v>4</v>
      </c>
      <c r="S75" s="24" t="str">
        <f>IFERROR(MAX(tblRiskRegister322[[#This Row],[Impact to Mission]:[Impact to Obligations]])*tblRiskRegister322[[#This Row],[Expectancy Score]],"")</f>
        <v/>
      </c>
      <c r="T75" s="24" t="str">
        <f>tblRiskRegister322[[#This Row],[Risk Score]]</f>
        <v/>
      </c>
      <c r="U75" s="13"/>
      <c r="V75" s="219">
        <v>8.1</v>
      </c>
      <c r="W75" s="15" t="s">
        <v>211</v>
      </c>
      <c r="X75" s="15" t="s">
        <v>376</v>
      </c>
      <c r="Y75" s="26"/>
      <c r="Z75" s="16"/>
      <c r="AA75" s="23" t="str">
        <f>IFERROR(VLOOKUP(10*tblRiskRegister322[[#This Row],[Risk Treatment Safeguard Maturity Score]]+tblRiskRegister322[[#This Row],[VCDB Index]],tblHITIndexWeightTable[],4,FALSE),"")</f>
        <v/>
      </c>
      <c r="AB75" s="108">
        <f>VLOOKUP(tblRiskRegister322[[#This Row],[Asset Class]],tblInherentImpacts3046[],2,FALSE)</f>
        <v>3</v>
      </c>
      <c r="AC75" s="108">
        <f>VLOOKUP(tblRiskRegister322[[#This Row],[Asset Class]],tblInherentImpacts3046[],3,FALSE)</f>
        <v>4</v>
      </c>
      <c r="AD75" s="108">
        <f>VLOOKUP(tblRiskRegister322[[#This Row],[Asset Class]],tblInherentImpacts3046[],4,FALSE)</f>
        <v>5</v>
      </c>
      <c r="AE75" s="108">
        <f>VLOOKUP(tblRiskRegister322[[#This Row],[Asset Class]],tblInherentImpacts3046[],5,FALSE)</f>
        <v>4</v>
      </c>
      <c r="AF75" s="23" t="str">
        <f>IFERROR(MAX(tblRiskRegister322[[#This Row],[Risk Treatment Safeguard Impact to Mission]:[Risk Treatment Safeguard Impact to Obligations]])*tblRiskRegister322[[#This Row],[Risk Treatment
Safeguard Expectancy Score]],"")</f>
        <v/>
      </c>
      <c r="AG75" s="23" t="str" cm="1">
        <f t="array" ref="AG75">IF(tblRiskRegister322[[#This Row],[Risk Score]]&gt;=AcceptableRisk1,IF(tblRiskRegister322[[#This Row],[Risk Treatment Safeguard Risk Score]]&lt;AcceptableRisk1, IF(tblRiskRegister322[[#This Row],[Risk Treatment Safeguard Risk Score]]&lt;tblRiskRegister322[[#This Row],[Risk Score]],"Yes","No"),"No"),"Yes")</f>
        <v>No</v>
      </c>
      <c r="AH75" s="17"/>
      <c r="AI75" s="17"/>
      <c r="AJ75" s="18"/>
    </row>
    <row r="76" spans="2:36" ht="28">
      <c r="B76" s="15" t="s">
        <v>90</v>
      </c>
      <c r="C76" s="15"/>
      <c r="D76" s="13">
        <v>8.11</v>
      </c>
      <c r="E76" s="14" t="s">
        <v>212</v>
      </c>
      <c r="F76" s="13"/>
      <c r="G76" s="13" t="s">
        <v>429</v>
      </c>
      <c r="H76" s="13" t="s">
        <v>524</v>
      </c>
      <c r="I76" s="14"/>
      <c r="J76" s="14"/>
      <c r="K76" s="14"/>
      <c r="L76" s="16"/>
      <c r="M76" s="24">
        <f>IFERROR(VLOOKUP(tblRiskRegister322[[#This Row],[Asset Class]],tblVCDBIndex[],4,FALSE),"")</f>
        <v>2</v>
      </c>
      <c r="N76" s="24" t="str">
        <f>IFERROR(VLOOKUP(10*tblRiskRegister322[[#This Row],[Safeguard Maturity Score]]+tblRiskRegister322[[#This Row],[VCDB Index]],tblHITIndexWeightTable[],4,FALSE),"")</f>
        <v/>
      </c>
      <c r="O76" s="24">
        <f>VLOOKUP(tblRiskRegister322[[#This Row],[Asset Class]],tblInherentImpacts3046[],2,FALSE)</f>
        <v>3</v>
      </c>
      <c r="P76" s="24">
        <f>VLOOKUP(tblRiskRegister322[[#This Row],[Asset Class]],tblInherentImpacts3046[],3,FALSE)</f>
        <v>4</v>
      </c>
      <c r="Q76" s="24">
        <f>VLOOKUP(tblRiskRegister322[[#This Row],[Asset Class]],tblInherentImpacts3046[],4,FALSE)</f>
        <v>5</v>
      </c>
      <c r="R76" s="24">
        <f>VLOOKUP(tblRiskRegister322[[#This Row],[Asset Class]],tblInherentImpacts3046[],5,FALSE)</f>
        <v>4</v>
      </c>
      <c r="S76" s="24" t="str">
        <f>IFERROR(MAX(tblRiskRegister322[[#This Row],[Impact to Mission]:[Impact to Obligations]])*tblRiskRegister322[[#This Row],[Expectancy Score]],"")</f>
        <v/>
      </c>
      <c r="T76" s="24" t="str">
        <f>tblRiskRegister322[[#This Row],[Risk Score]]</f>
        <v/>
      </c>
      <c r="U76" s="13"/>
      <c r="V76" s="86">
        <v>8.11</v>
      </c>
      <c r="W76" s="15" t="s">
        <v>212</v>
      </c>
      <c r="X76" s="15" t="s">
        <v>377</v>
      </c>
      <c r="Y76" s="26"/>
      <c r="Z76" s="16"/>
      <c r="AA76" s="23" t="str">
        <f>IFERROR(VLOOKUP(10*tblRiskRegister322[[#This Row],[Risk Treatment Safeguard Maturity Score]]+tblRiskRegister322[[#This Row],[VCDB Index]],tblHITIndexWeightTable[],4,FALSE),"")</f>
        <v/>
      </c>
      <c r="AB76" s="108">
        <f>VLOOKUP(tblRiskRegister322[[#This Row],[Asset Class]],tblInherentImpacts3046[],2,FALSE)</f>
        <v>3</v>
      </c>
      <c r="AC76" s="108">
        <f>VLOOKUP(tblRiskRegister322[[#This Row],[Asset Class]],tblInherentImpacts3046[],3,FALSE)</f>
        <v>4</v>
      </c>
      <c r="AD76" s="108">
        <f>VLOOKUP(tblRiskRegister322[[#This Row],[Asset Class]],tblInherentImpacts3046[],4,FALSE)</f>
        <v>5</v>
      </c>
      <c r="AE76" s="108">
        <f>VLOOKUP(tblRiskRegister322[[#This Row],[Asset Class]],tblInherentImpacts3046[],5,FALSE)</f>
        <v>4</v>
      </c>
      <c r="AF76" s="23" t="str">
        <f>IFERROR(MAX(tblRiskRegister322[[#This Row],[Risk Treatment Safeguard Impact to Mission]:[Risk Treatment Safeguard Impact to Obligations]])*tblRiskRegister322[[#This Row],[Risk Treatment
Safeguard Expectancy Score]],"")</f>
        <v/>
      </c>
      <c r="AG76" s="23" t="str" cm="1">
        <f t="array" ref="AG76">IF(tblRiskRegister322[[#This Row],[Risk Score]]&gt;=AcceptableRisk1,IF(tblRiskRegister322[[#This Row],[Risk Treatment Safeguard Risk Score]]&lt;AcceptableRisk1, IF(tblRiskRegister322[[#This Row],[Risk Treatment Safeguard Risk Score]]&lt;tblRiskRegister322[[#This Row],[Risk Score]],"Yes","No"),"No"),"Yes")</f>
        <v>No</v>
      </c>
      <c r="AH76" s="17"/>
      <c r="AI76" s="17"/>
      <c r="AJ76" s="18"/>
    </row>
    <row r="77" spans="2:36" ht="28">
      <c r="B77" s="15" t="s">
        <v>527</v>
      </c>
      <c r="C77" s="15"/>
      <c r="D77" s="13">
        <v>9.1</v>
      </c>
      <c r="E77" s="14" t="s">
        <v>15</v>
      </c>
      <c r="F77" s="13" t="s">
        <v>429</v>
      </c>
      <c r="G77" s="13" t="s">
        <v>429</v>
      </c>
      <c r="H77" s="13" t="s">
        <v>523</v>
      </c>
      <c r="I77" s="14"/>
      <c r="J77" s="14"/>
      <c r="K77" s="14"/>
      <c r="L77" s="16"/>
      <c r="M77" s="24">
        <f>IFERROR(VLOOKUP(tblRiskRegister322[[#This Row],[Asset Class]],tblVCDBIndex[],4,FALSE),"")</f>
        <v>2</v>
      </c>
      <c r="N77" s="24" t="str">
        <f>IFERROR(VLOOKUP(10*tblRiskRegister322[[#This Row],[Safeguard Maturity Score]]+tblRiskRegister322[[#This Row],[VCDB Index]],tblHITIndexWeightTable[],4,FALSE),"")</f>
        <v/>
      </c>
      <c r="O77" s="24">
        <f>VLOOKUP(tblRiskRegister322[[#This Row],[Asset Class]],tblInherentImpacts3046[],2,FALSE)</f>
        <v>4</v>
      </c>
      <c r="P77" s="24">
        <f>VLOOKUP(tblRiskRegister322[[#This Row],[Asset Class]],tblInherentImpacts3046[],3,FALSE)</f>
        <v>2</v>
      </c>
      <c r="Q77" s="24">
        <f>VLOOKUP(tblRiskRegister322[[#This Row],[Asset Class]],tblInherentImpacts3046[],4,FALSE)</f>
        <v>4</v>
      </c>
      <c r="R77" s="24">
        <f>VLOOKUP(tblRiskRegister322[[#This Row],[Asset Class]],tblInherentImpacts3046[],5,FALSE)</f>
        <v>4</v>
      </c>
      <c r="S77" s="24" t="str">
        <f>IFERROR(MAX(tblRiskRegister322[[#This Row],[Impact to Mission]:[Impact to Obligations]])*tblRiskRegister322[[#This Row],[Expectancy Score]],"")</f>
        <v/>
      </c>
      <c r="T77" s="24" t="str">
        <f>tblRiskRegister322[[#This Row],[Risk Score]]</f>
        <v/>
      </c>
      <c r="U77" s="13"/>
      <c r="V77" s="86">
        <v>9.1</v>
      </c>
      <c r="W77" s="15" t="s">
        <v>15</v>
      </c>
      <c r="X77" s="15" t="s">
        <v>378</v>
      </c>
      <c r="Y77" s="15"/>
      <c r="Z77" s="16"/>
      <c r="AA77" s="23" t="str">
        <f>IFERROR(VLOOKUP(10*tblRiskRegister322[[#This Row],[Risk Treatment Safeguard Maturity Score]]+tblRiskRegister322[[#This Row],[VCDB Index]],tblHITIndexWeightTable[],4,FALSE),"")</f>
        <v/>
      </c>
      <c r="AB77" s="108">
        <f>VLOOKUP(tblRiskRegister322[[#This Row],[Asset Class]],tblInherentImpacts3046[],2,FALSE)</f>
        <v>4</v>
      </c>
      <c r="AC77" s="108">
        <f>VLOOKUP(tblRiskRegister322[[#This Row],[Asset Class]],tblInherentImpacts3046[],3,FALSE)</f>
        <v>2</v>
      </c>
      <c r="AD77" s="108">
        <f>VLOOKUP(tblRiskRegister322[[#This Row],[Asset Class]],tblInherentImpacts3046[],4,FALSE)</f>
        <v>4</v>
      </c>
      <c r="AE77" s="108">
        <f>VLOOKUP(tblRiskRegister322[[#This Row],[Asset Class]],tblInherentImpacts3046[],5,FALSE)</f>
        <v>4</v>
      </c>
      <c r="AF77" s="23" t="str">
        <f>IFERROR(MAX(tblRiskRegister322[[#This Row],[Risk Treatment Safeguard Impact to Mission]:[Risk Treatment Safeguard Impact to Obligations]])*tblRiskRegister322[[#This Row],[Risk Treatment
Safeguard Expectancy Score]],"")</f>
        <v/>
      </c>
      <c r="AG77" s="23" t="str" cm="1">
        <f t="array" ref="AG77">IF(tblRiskRegister322[[#This Row],[Risk Score]]&gt;=AcceptableRisk1,IF(tblRiskRegister322[[#This Row],[Risk Treatment Safeguard Risk Score]]&lt;AcceptableRisk1, IF(tblRiskRegister322[[#This Row],[Risk Treatment Safeguard Risk Score]]&lt;tblRiskRegister322[[#This Row],[Risk Score]],"Yes","No"),"No"),"Yes")</f>
        <v>No</v>
      </c>
      <c r="AH77" s="17"/>
      <c r="AI77" s="17"/>
      <c r="AJ77" s="18"/>
    </row>
    <row r="78" spans="2:36" ht="28">
      <c r="B78" s="15" t="s">
        <v>91</v>
      </c>
      <c r="C78" s="15"/>
      <c r="D78" s="13">
        <v>9.1999999999999993</v>
      </c>
      <c r="E78" s="14" t="s">
        <v>69</v>
      </c>
      <c r="F78" s="13" t="s">
        <v>429</v>
      </c>
      <c r="G78" s="13" t="s">
        <v>429</v>
      </c>
      <c r="H78" s="13" t="s">
        <v>523</v>
      </c>
      <c r="I78" s="14"/>
      <c r="J78" s="14"/>
      <c r="K78" s="14"/>
      <c r="L78" s="16"/>
      <c r="M78" s="24">
        <f>IFERROR(VLOOKUP(tblRiskRegister322[[#This Row],[Asset Class]],tblVCDBIndex[],4,FALSE),"")</f>
        <v>4</v>
      </c>
      <c r="N78" s="24" t="str">
        <f>IFERROR(VLOOKUP(10*tblRiskRegister322[[#This Row],[Safeguard Maturity Score]]+tblRiskRegister322[[#This Row],[VCDB Index]],tblHITIndexWeightTable[],4,FALSE),"")</f>
        <v/>
      </c>
      <c r="O78" s="24">
        <f>VLOOKUP(tblRiskRegister322[[#This Row],[Asset Class]],tblInherentImpacts3046[],2,FALSE)</f>
        <v>2</v>
      </c>
      <c r="P78" s="24">
        <f>VLOOKUP(tblRiskRegister322[[#This Row],[Asset Class]],tblInherentImpacts3046[],3,FALSE)</f>
        <v>1</v>
      </c>
      <c r="Q78" s="24">
        <f>VLOOKUP(tblRiskRegister322[[#This Row],[Asset Class]],tblInherentImpacts3046[],4,FALSE)</f>
        <v>3</v>
      </c>
      <c r="R78" s="24">
        <f>VLOOKUP(tblRiskRegister322[[#This Row],[Asset Class]],tblInherentImpacts3046[],5,FALSE)</f>
        <v>3</v>
      </c>
      <c r="S78" s="24" t="str">
        <f>IFERROR(MAX(tblRiskRegister322[[#This Row],[Impact to Mission]:[Impact to Obligations]])*tblRiskRegister322[[#This Row],[Expectancy Score]],"")</f>
        <v/>
      </c>
      <c r="T78" s="24" t="str">
        <f>tblRiskRegister322[[#This Row],[Risk Score]]</f>
        <v/>
      </c>
      <c r="U78" s="13"/>
      <c r="V78" s="86">
        <v>9.1999999999999993</v>
      </c>
      <c r="W78" s="15" t="s">
        <v>69</v>
      </c>
      <c r="X78" s="15" t="s">
        <v>552</v>
      </c>
      <c r="Y78" s="26"/>
      <c r="Z78" s="16"/>
      <c r="AA78" s="23" t="str">
        <f>IFERROR(VLOOKUP(10*tblRiskRegister322[[#This Row],[Risk Treatment Safeguard Maturity Score]]+tblRiskRegister322[[#This Row],[VCDB Index]],tblHITIndexWeightTable[],4,FALSE),"")</f>
        <v/>
      </c>
      <c r="AB78" s="108">
        <f>VLOOKUP(tblRiskRegister322[[#This Row],[Asset Class]],tblInherentImpacts3046[],2,FALSE)</f>
        <v>2</v>
      </c>
      <c r="AC78" s="108">
        <f>VLOOKUP(tblRiskRegister322[[#This Row],[Asset Class]],tblInherentImpacts3046[],3,FALSE)</f>
        <v>1</v>
      </c>
      <c r="AD78" s="108">
        <f>VLOOKUP(tblRiskRegister322[[#This Row],[Asset Class]],tblInherentImpacts3046[],4,FALSE)</f>
        <v>3</v>
      </c>
      <c r="AE78" s="108">
        <f>VLOOKUP(tblRiskRegister322[[#This Row],[Asset Class]],tblInherentImpacts3046[],5,FALSE)</f>
        <v>3</v>
      </c>
      <c r="AF78" s="23" t="str">
        <f>IFERROR(MAX(tblRiskRegister322[[#This Row],[Risk Treatment Safeguard Impact to Mission]:[Risk Treatment Safeguard Impact to Obligations]])*tblRiskRegister322[[#This Row],[Risk Treatment
Safeguard Expectancy Score]],"")</f>
        <v/>
      </c>
      <c r="AG78" s="23" t="str" cm="1">
        <f t="array" ref="AG78">IF(tblRiskRegister322[[#This Row],[Risk Score]]&gt;=AcceptableRisk1,IF(tblRiskRegister322[[#This Row],[Risk Treatment Safeguard Risk Score]]&lt;AcceptableRisk1, IF(tblRiskRegister322[[#This Row],[Risk Treatment Safeguard Risk Score]]&lt;tblRiskRegister322[[#This Row],[Risk Score]],"Yes","No"),"No"),"Yes")</f>
        <v>No</v>
      </c>
      <c r="AH78" s="17"/>
      <c r="AI78" s="17"/>
      <c r="AJ78" s="18"/>
    </row>
    <row r="79" spans="2:36" ht="56">
      <c r="B79" s="15" t="s">
        <v>92</v>
      </c>
      <c r="C79" s="15"/>
      <c r="D79" s="13">
        <v>9.3000000000000007</v>
      </c>
      <c r="E79" s="14" t="s">
        <v>213</v>
      </c>
      <c r="F79" s="13"/>
      <c r="G79" s="13" t="s">
        <v>429</v>
      </c>
      <c r="H79" s="13" t="s">
        <v>523</v>
      </c>
      <c r="I79" s="14"/>
      <c r="J79" s="14"/>
      <c r="K79" s="14"/>
      <c r="L79" s="16"/>
      <c r="M79" s="24">
        <f>IFERROR(VLOOKUP(tblRiskRegister322[[#This Row],[Asset Class]],tblVCDBIndex[],4,FALSE),"")</f>
        <v>1</v>
      </c>
      <c r="N79" s="24" t="str">
        <f>IFERROR(VLOOKUP(10*tblRiskRegister322[[#This Row],[Safeguard Maturity Score]]+tblRiskRegister322[[#This Row],[VCDB Index]],tblHITIndexWeightTable[],4,FALSE),"")</f>
        <v/>
      </c>
      <c r="O79" s="24">
        <f>VLOOKUP(tblRiskRegister322[[#This Row],[Asset Class]],tblInherentImpacts3046[],2,FALSE)</f>
        <v>3</v>
      </c>
      <c r="P79" s="24">
        <f>VLOOKUP(tblRiskRegister322[[#This Row],[Asset Class]],tblInherentImpacts3046[],3,FALSE)</f>
        <v>4</v>
      </c>
      <c r="Q79" s="24">
        <f>VLOOKUP(tblRiskRegister322[[#This Row],[Asset Class]],tblInherentImpacts3046[],4,FALSE)</f>
        <v>3</v>
      </c>
      <c r="R79" s="24">
        <f>VLOOKUP(tblRiskRegister322[[#This Row],[Asset Class]],tblInherentImpacts3046[],5,FALSE)</f>
        <v>3</v>
      </c>
      <c r="S79" s="24" t="str">
        <f>IFERROR(MAX(tblRiskRegister322[[#This Row],[Impact to Mission]:[Impact to Obligations]])*tblRiskRegister322[[#This Row],[Expectancy Score]],"")</f>
        <v/>
      </c>
      <c r="T79" s="24" t="str">
        <f>tblRiskRegister322[[#This Row],[Risk Score]]</f>
        <v/>
      </c>
      <c r="U79" s="13"/>
      <c r="V79" s="86">
        <v>9.3000000000000007</v>
      </c>
      <c r="W79" s="15" t="s">
        <v>213</v>
      </c>
      <c r="X79" s="15" t="s">
        <v>379</v>
      </c>
      <c r="Y79" s="26"/>
      <c r="Z79" s="16"/>
      <c r="AA79" s="23" t="str">
        <f>IFERROR(VLOOKUP(10*tblRiskRegister322[[#This Row],[Risk Treatment Safeguard Maturity Score]]+tblRiskRegister322[[#This Row],[VCDB Index]],tblHITIndexWeightTable[],4,FALSE),"")</f>
        <v/>
      </c>
      <c r="AB79" s="108">
        <f>VLOOKUP(tblRiskRegister322[[#This Row],[Asset Class]],tblInherentImpacts3046[],2,FALSE)</f>
        <v>3</v>
      </c>
      <c r="AC79" s="108">
        <f>VLOOKUP(tblRiskRegister322[[#This Row],[Asset Class]],tblInherentImpacts3046[],3,FALSE)</f>
        <v>4</v>
      </c>
      <c r="AD79" s="108">
        <f>VLOOKUP(tblRiskRegister322[[#This Row],[Asset Class]],tblInherentImpacts3046[],4,FALSE)</f>
        <v>3</v>
      </c>
      <c r="AE79" s="108">
        <f>VLOOKUP(tblRiskRegister322[[#This Row],[Asset Class]],tblInherentImpacts3046[],5,FALSE)</f>
        <v>3</v>
      </c>
      <c r="AF79" s="23" t="str">
        <f>IFERROR(MAX(tblRiskRegister322[[#This Row],[Risk Treatment Safeguard Impact to Mission]:[Risk Treatment Safeguard Impact to Obligations]])*tblRiskRegister322[[#This Row],[Risk Treatment
Safeguard Expectancy Score]],"")</f>
        <v/>
      </c>
      <c r="AG79" s="23" t="str" cm="1">
        <f t="array" ref="AG79">IF(tblRiskRegister322[[#This Row],[Risk Score]]&gt;=AcceptableRisk1,IF(tblRiskRegister322[[#This Row],[Risk Treatment Safeguard Risk Score]]&lt;AcceptableRisk1, IF(tblRiskRegister322[[#This Row],[Risk Treatment Safeguard Risk Score]]&lt;tblRiskRegister322[[#This Row],[Risk Score]],"Yes","No"),"No"),"Yes")</f>
        <v>No</v>
      </c>
      <c r="AH79" s="17"/>
      <c r="AI79" s="17"/>
      <c r="AJ79" s="18"/>
    </row>
    <row r="80" spans="2:36" ht="42">
      <c r="B80" s="15" t="s">
        <v>527</v>
      </c>
      <c r="C80" s="15"/>
      <c r="D80" s="13">
        <v>9.4</v>
      </c>
      <c r="E80" s="14" t="s">
        <v>164</v>
      </c>
      <c r="F80" s="13"/>
      <c r="G80" s="13" t="s">
        <v>429</v>
      </c>
      <c r="H80" s="13" t="s">
        <v>523</v>
      </c>
      <c r="I80" s="14"/>
      <c r="J80" s="14"/>
      <c r="K80" s="14"/>
      <c r="L80" s="16"/>
      <c r="M80" s="24">
        <f>IFERROR(VLOOKUP(tblRiskRegister322[[#This Row],[Asset Class]],tblVCDBIndex[],4,FALSE),"")</f>
        <v>2</v>
      </c>
      <c r="N80" s="24" t="str">
        <f>IFERROR(VLOOKUP(10*tblRiskRegister322[[#This Row],[Safeguard Maturity Score]]+tblRiskRegister322[[#This Row],[VCDB Index]],tblHITIndexWeightTable[],4,FALSE),"")</f>
        <v/>
      </c>
      <c r="O80" s="24">
        <f>VLOOKUP(tblRiskRegister322[[#This Row],[Asset Class]],tblInherentImpacts3046[],2,FALSE)</f>
        <v>4</v>
      </c>
      <c r="P80" s="24">
        <f>VLOOKUP(tblRiskRegister322[[#This Row],[Asset Class]],tblInherentImpacts3046[],3,FALSE)</f>
        <v>2</v>
      </c>
      <c r="Q80" s="24">
        <f>VLOOKUP(tblRiskRegister322[[#This Row],[Asset Class]],tblInherentImpacts3046[],4,FALSE)</f>
        <v>4</v>
      </c>
      <c r="R80" s="24">
        <f>VLOOKUP(tblRiskRegister322[[#This Row],[Asset Class]],tblInherentImpacts3046[],5,FALSE)</f>
        <v>4</v>
      </c>
      <c r="S80" s="24" t="str">
        <f>IFERROR(MAX(tblRiskRegister322[[#This Row],[Impact to Mission]:[Impact to Obligations]])*tblRiskRegister322[[#This Row],[Expectancy Score]],"")</f>
        <v/>
      </c>
      <c r="T80" s="24" t="str">
        <f>tblRiskRegister322[[#This Row],[Risk Score]]</f>
        <v/>
      </c>
      <c r="U80" s="13"/>
      <c r="V80" s="86">
        <v>9.4</v>
      </c>
      <c r="W80" s="15" t="s">
        <v>164</v>
      </c>
      <c r="X80" s="15" t="s">
        <v>380</v>
      </c>
      <c r="Y80" s="15"/>
      <c r="Z80" s="16"/>
      <c r="AA80" s="23" t="str">
        <f>IFERROR(VLOOKUP(10*tblRiskRegister322[[#This Row],[Risk Treatment Safeguard Maturity Score]]+tblRiskRegister322[[#This Row],[VCDB Index]],tblHITIndexWeightTable[],4,FALSE),"")</f>
        <v/>
      </c>
      <c r="AB80" s="108">
        <f>VLOOKUP(tblRiskRegister322[[#This Row],[Asset Class]],tblInherentImpacts3046[],2,FALSE)</f>
        <v>4</v>
      </c>
      <c r="AC80" s="108">
        <f>VLOOKUP(tblRiskRegister322[[#This Row],[Asset Class]],tblInherentImpacts3046[],3,FALSE)</f>
        <v>2</v>
      </c>
      <c r="AD80" s="108">
        <f>VLOOKUP(tblRiskRegister322[[#This Row],[Asset Class]],tblInherentImpacts3046[],4,FALSE)</f>
        <v>4</v>
      </c>
      <c r="AE80" s="108">
        <f>VLOOKUP(tblRiskRegister322[[#This Row],[Asset Class]],tblInherentImpacts3046[],5,FALSE)</f>
        <v>4</v>
      </c>
      <c r="AF80" s="23" t="str">
        <f>IFERROR(MAX(tblRiskRegister322[[#This Row],[Risk Treatment Safeguard Impact to Mission]:[Risk Treatment Safeguard Impact to Obligations]])*tblRiskRegister322[[#This Row],[Risk Treatment
Safeguard Expectancy Score]],"")</f>
        <v/>
      </c>
      <c r="AG80" s="23" t="str" cm="1">
        <f t="array" ref="AG80">IF(tblRiskRegister322[[#This Row],[Risk Score]]&gt;=AcceptableRisk1,IF(tblRiskRegister322[[#This Row],[Risk Treatment Safeguard Risk Score]]&lt;AcceptableRisk1, IF(tblRiskRegister322[[#This Row],[Risk Treatment Safeguard Risk Score]]&lt;tblRiskRegister322[[#This Row],[Risk Score]],"Yes","No"),"No"),"Yes")</f>
        <v>No</v>
      </c>
      <c r="AH80" s="17"/>
      <c r="AI80" s="17"/>
      <c r="AJ80" s="18"/>
    </row>
    <row r="81" spans="2:36" ht="42">
      <c r="B81" s="15" t="s">
        <v>92</v>
      </c>
      <c r="C81" s="15"/>
      <c r="D81" s="13">
        <v>9.5</v>
      </c>
      <c r="E81" s="14" t="s">
        <v>214</v>
      </c>
      <c r="F81" s="13"/>
      <c r="G81" s="13" t="s">
        <v>429</v>
      </c>
      <c r="H81" s="13" t="s">
        <v>523</v>
      </c>
      <c r="I81" s="14"/>
      <c r="J81" s="14"/>
      <c r="K81" s="14"/>
      <c r="L81" s="16"/>
      <c r="M81" s="24">
        <f>IFERROR(VLOOKUP(tblRiskRegister322[[#This Row],[Asset Class]],tblVCDBIndex[],4,FALSE),"")</f>
        <v>1</v>
      </c>
      <c r="N81" s="24" t="str">
        <f>IFERROR(VLOOKUP(10*tblRiskRegister322[[#This Row],[Safeguard Maturity Score]]+tblRiskRegister322[[#This Row],[VCDB Index]],tblHITIndexWeightTable[],4,FALSE),"")</f>
        <v/>
      </c>
      <c r="O81" s="24">
        <f>VLOOKUP(tblRiskRegister322[[#This Row],[Asset Class]],tblInherentImpacts3046[],2,FALSE)</f>
        <v>3</v>
      </c>
      <c r="P81" s="24">
        <f>VLOOKUP(tblRiskRegister322[[#This Row],[Asset Class]],tblInherentImpacts3046[],3,FALSE)</f>
        <v>4</v>
      </c>
      <c r="Q81" s="24">
        <f>VLOOKUP(tblRiskRegister322[[#This Row],[Asset Class]],tblInherentImpacts3046[],4,FALSE)</f>
        <v>3</v>
      </c>
      <c r="R81" s="24">
        <f>VLOOKUP(tblRiskRegister322[[#This Row],[Asset Class]],tblInherentImpacts3046[],5,FALSE)</f>
        <v>3</v>
      </c>
      <c r="S81" s="24" t="str">
        <f>IFERROR(MAX(tblRiskRegister322[[#This Row],[Impact to Mission]:[Impact to Obligations]])*tblRiskRegister322[[#This Row],[Expectancy Score]],"")</f>
        <v/>
      </c>
      <c r="T81" s="24" t="str">
        <f>tblRiskRegister322[[#This Row],[Risk Score]]</f>
        <v/>
      </c>
      <c r="U81" s="13"/>
      <c r="V81" s="86">
        <v>9.5</v>
      </c>
      <c r="W81" s="15" t="s">
        <v>214</v>
      </c>
      <c r="X81" s="15" t="s">
        <v>381</v>
      </c>
      <c r="Y81" s="26"/>
      <c r="Z81" s="16"/>
      <c r="AA81" s="23" t="str">
        <f>IFERROR(VLOOKUP(10*tblRiskRegister322[[#This Row],[Risk Treatment Safeguard Maturity Score]]+tblRiskRegister322[[#This Row],[VCDB Index]],tblHITIndexWeightTable[],4,FALSE),"")</f>
        <v/>
      </c>
      <c r="AB81" s="108">
        <f>VLOOKUP(tblRiskRegister322[[#This Row],[Asset Class]],tblInherentImpacts3046[],2,FALSE)</f>
        <v>3</v>
      </c>
      <c r="AC81" s="108">
        <f>VLOOKUP(tblRiskRegister322[[#This Row],[Asset Class]],tblInherentImpacts3046[],3,FALSE)</f>
        <v>4</v>
      </c>
      <c r="AD81" s="108">
        <f>VLOOKUP(tblRiskRegister322[[#This Row],[Asset Class]],tblInherentImpacts3046[],4,FALSE)</f>
        <v>3</v>
      </c>
      <c r="AE81" s="108">
        <f>VLOOKUP(tblRiskRegister322[[#This Row],[Asset Class]],tblInherentImpacts3046[],5,FALSE)</f>
        <v>3</v>
      </c>
      <c r="AF81" s="23" t="str">
        <f>IFERROR(MAX(tblRiskRegister322[[#This Row],[Risk Treatment Safeguard Impact to Mission]:[Risk Treatment Safeguard Impact to Obligations]])*tblRiskRegister322[[#This Row],[Risk Treatment
Safeguard Expectancy Score]],"")</f>
        <v/>
      </c>
      <c r="AG81" s="23" t="str" cm="1">
        <f t="array" ref="AG81">IF(tblRiskRegister322[[#This Row],[Risk Score]]&gt;=AcceptableRisk1,IF(tblRiskRegister322[[#This Row],[Risk Treatment Safeguard Risk Score]]&lt;AcceptableRisk1, IF(tblRiskRegister322[[#This Row],[Risk Treatment Safeguard Risk Score]]&lt;tblRiskRegister322[[#This Row],[Risk Score]],"Yes","No"),"No"),"Yes")</f>
        <v>No</v>
      </c>
      <c r="AH81" s="17"/>
      <c r="AI81" s="17"/>
      <c r="AJ81" s="18"/>
    </row>
    <row r="82" spans="2:36" ht="14">
      <c r="B82" s="15" t="s">
        <v>92</v>
      </c>
      <c r="C82" s="15"/>
      <c r="D82" s="13">
        <v>9.6</v>
      </c>
      <c r="E82" s="14" t="s">
        <v>215</v>
      </c>
      <c r="F82" s="13"/>
      <c r="G82" s="13" t="s">
        <v>429</v>
      </c>
      <c r="H82" s="13" t="s">
        <v>523</v>
      </c>
      <c r="I82" s="14"/>
      <c r="J82" s="14"/>
      <c r="K82" s="14"/>
      <c r="L82" s="16"/>
      <c r="M82" s="24">
        <f>IFERROR(VLOOKUP(tblRiskRegister322[[#This Row],[Asset Class]],tblVCDBIndex[],4,FALSE),"")</f>
        <v>1</v>
      </c>
      <c r="N82" s="24" t="str">
        <f>IFERROR(VLOOKUP(10*tblRiskRegister322[[#This Row],[Safeguard Maturity Score]]+tblRiskRegister322[[#This Row],[VCDB Index]],tblHITIndexWeightTable[],4,FALSE),"")</f>
        <v/>
      </c>
      <c r="O82" s="24">
        <f>VLOOKUP(tblRiskRegister322[[#This Row],[Asset Class]],tblInherentImpacts3046[],2,FALSE)</f>
        <v>3</v>
      </c>
      <c r="P82" s="24">
        <f>VLOOKUP(tblRiskRegister322[[#This Row],[Asset Class]],tblInherentImpacts3046[],3,FALSE)</f>
        <v>4</v>
      </c>
      <c r="Q82" s="24">
        <f>VLOOKUP(tblRiskRegister322[[#This Row],[Asset Class]],tblInherentImpacts3046[],4,FALSE)</f>
        <v>3</v>
      </c>
      <c r="R82" s="24">
        <f>VLOOKUP(tblRiskRegister322[[#This Row],[Asset Class]],tblInherentImpacts3046[],5,FALSE)</f>
        <v>3</v>
      </c>
      <c r="S82" s="24" t="str">
        <f>IFERROR(MAX(tblRiskRegister322[[#This Row],[Impact to Mission]:[Impact to Obligations]])*tblRiskRegister322[[#This Row],[Expectancy Score]],"")</f>
        <v/>
      </c>
      <c r="T82" s="24" t="str">
        <f>tblRiskRegister322[[#This Row],[Risk Score]]</f>
        <v/>
      </c>
      <c r="U82" s="13"/>
      <c r="V82" s="86">
        <v>9.6</v>
      </c>
      <c r="W82" s="15" t="s">
        <v>215</v>
      </c>
      <c r="X82" s="15" t="s">
        <v>382</v>
      </c>
      <c r="Y82" s="26"/>
      <c r="Z82" s="16"/>
      <c r="AA82" s="23" t="str">
        <f>IFERROR(VLOOKUP(10*tblRiskRegister322[[#This Row],[Risk Treatment Safeguard Maturity Score]]+tblRiskRegister322[[#This Row],[VCDB Index]],tblHITIndexWeightTable[],4,FALSE),"")</f>
        <v/>
      </c>
      <c r="AB82" s="108">
        <f>VLOOKUP(tblRiskRegister322[[#This Row],[Asset Class]],tblInherentImpacts3046[],2,FALSE)</f>
        <v>3</v>
      </c>
      <c r="AC82" s="108">
        <f>VLOOKUP(tblRiskRegister322[[#This Row],[Asset Class]],tblInherentImpacts3046[],3,FALSE)</f>
        <v>4</v>
      </c>
      <c r="AD82" s="108">
        <f>VLOOKUP(tblRiskRegister322[[#This Row],[Asset Class]],tblInherentImpacts3046[],4,FALSE)</f>
        <v>3</v>
      </c>
      <c r="AE82" s="108">
        <f>VLOOKUP(tblRiskRegister322[[#This Row],[Asset Class]],tblInherentImpacts3046[],5,FALSE)</f>
        <v>3</v>
      </c>
      <c r="AF82" s="23" t="str">
        <f>IFERROR(MAX(tblRiskRegister322[[#This Row],[Risk Treatment Safeguard Impact to Mission]:[Risk Treatment Safeguard Impact to Obligations]])*tblRiskRegister322[[#This Row],[Risk Treatment
Safeguard Expectancy Score]],"")</f>
        <v/>
      </c>
      <c r="AG82" s="23" t="str" cm="1">
        <f t="array" ref="AG82">IF(tblRiskRegister322[[#This Row],[Risk Score]]&gt;=AcceptableRisk1,IF(tblRiskRegister322[[#This Row],[Risk Treatment Safeguard Risk Score]]&lt;AcceptableRisk1, IF(tblRiskRegister322[[#This Row],[Risk Treatment Safeguard Risk Score]]&lt;tblRiskRegister322[[#This Row],[Risk Score]],"Yes","No"),"No"),"Yes")</f>
        <v>No</v>
      </c>
      <c r="AH82" s="17"/>
      <c r="AI82" s="17"/>
      <c r="AJ82" s="18"/>
    </row>
    <row r="83" spans="2:36" ht="28">
      <c r="B83" s="15" t="s">
        <v>91</v>
      </c>
      <c r="C83" s="15"/>
      <c r="D83" s="13">
        <v>10.1</v>
      </c>
      <c r="E83" s="14" t="s">
        <v>70</v>
      </c>
      <c r="F83" s="13" t="s">
        <v>429</v>
      </c>
      <c r="G83" s="13" t="s">
        <v>429</v>
      </c>
      <c r="H83" s="13" t="s">
        <v>524</v>
      </c>
      <c r="I83" s="14"/>
      <c r="J83" s="14"/>
      <c r="K83" s="14"/>
      <c r="L83" s="16"/>
      <c r="M83" s="24">
        <f>IFERROR(VLOOKUP(tblRiskRegister322[[#This Row],[Asset Class]],tblVCDBIndex[],4,FALSE),"")</f>
        <v>4</v>
      </c>
      <c r="N83" s="24" t="str">
        <f>IFERROR(VLOOKUP(10*tblRiskRegister322[[#This Row],[Safeguard Maturity Score]]+tblRiskRegister322[[#This Row],[VCDB Index]],tblHITIndexWeightTable[],4,FALSE),"")</f>
        <v/>
      </c>
      <c r="O83" s="24">
        <f>VLOOKUP(tblRiskRegister322[[#This Row],[Asset Class]],tblInherentImpacts3046[],2,FALSE)</f>
        <v>2</v>
      </c>
      <c r="P83" s="24">
        <f>VLOOKUP(tblRiskRegister322[[#This Row],[Asset Class]],tblInherentImpacts3046[],3,FALSE)</f>
        <v>1</v>
      </c>
      <c r="Q83" s="24">
        <f>VLOOKUP(tblRiskRegister322[[#This Row],[Asset Class]],tblInherentImpacts3046[],4,FALSE)</f>
        <v>3</v>
      </c>
      <c r="R83" s="24">
        <f>VLOOKUP(tblRiskRegister322[[#This Row],[Asset Class]],tblInherentImpacts3046[],5,FALSE)</f>
        <v>3</v>
      </c>
      <c r="S83" s="24" t="str">
        <f>IFERROR(MAX(tblRiskRegister322[[#This Row],[Impact to Mission]:[Impact to Obligations]])*tblRiskRegister322[[#This Row],[Expectancy Score]],"")</f>
        <v/>
      </c>
      <c r="T83" s="24" t="str">
        <f>tblRiskRegister322[[#This Row],[Risk Score]]</f>
        <v/>
      </c>
      <c r="U83" s="13"/>
      <c r="V83" s="86">
        <v>10.1</v>
      </c>
      <c r="W83" s="15" t="s">
        <v>70</v>
      </c>
      <c r="X83" s="15" t="s">
        <v>383</v>
      </c>
      <c r="Y83" s="26"/>
      <c r="Z83" s="16"/>
      <c r="AA83" s="23" t="str">
        <f>IFERROR(VLOOKUP(10*tblRiskRegister322[[#This Row],[Risk Treatment Safeguard Maturity Score]]+tblRiskRegister322[[#This Row],[VCDB Index]],tblHITIndexWeightTable[],4,FALSE),"")</f>
        <v/>
      </c>
      <c r="AB83" s="108">
        <f>VLOOKUP(tblRiskRegister322[[#This Row],[Asset Class]],tblInherentImpacts3046[],2,FALSE)</f>
        <v>2</v>
      </c>
      <c r="AC83" s="108">
        <f>VLOOKUP(tblRiskRegister322[[#This Row],[Asset Class]],tblInherentImpacts3046[],3,FALSE)</f>
        <v>1</v>
      </c>
      <c r="AD83" s="108">
        <f>VLOOKUP(tblRiskRegister322[[#This Row],[Asset Class]],tblInherentImpacts3046[],4,FALSE)</f>
        <v>3</v>
      </c>
      <c r="AE83" s="108">
        <f>VLOOKUP(tblRiskRegister322[[#This Row],[Asset Class]],tblInherentImpacts3046[],5,FALSE)</f>
        <v>3</v>
      </c>
      <c r="AF83" s="23" t="str">
        <f>IFERROR(MAX(tblRiskRegister322[[#This Row],[Risk Treatment Safeguard Impact to Mission]:[Risk Treatment Safeguard Impact to Obligations]])*tblRiskRegister322[[#This Row],[Risk Treatment
Safeguard Expectancy Score]],"")</f>
        <v/>
      </c>
      <c r="AG83" s="23" t="str" cm="1">
        <f t="array" ref="AG83">IF(tblRiskRegister322[[#This Row],[Risk Score]]&gt;=AcceptableRisk1,IF(tblRiskRegister322[[#This Row],[Risk Treatment Safeguard Risk Score]]&lt;AcceptableRisk1, IF(tblRiskRegister322[[#This Row],[Risk Treatment Safeguard Risk Score]]&lt;tblRiskRegister322[[#This Row],[Risk Score]],"Yes","No"),"No"),"Yes")</f>
        <v>No</v>
      </c>
      <c r="AH83" s="17"/>
      <c r="AI83" s="17"/>
      <c r="AJ83" s="18"/>
    </row>
    <row r="84" spans="2:36" ht="28">
      <c r="B84" s="15" t="s">
        <v>91</v>
      </c>
      <c r="C84" s="15"/>
      <c r="D84" s="13">
        <v>10.199999999999999</v>
      </c>
      <c r="E84" s="14" t="s">
        <v>71</v>
      </c>
      <c r="F84" s="13" t="s">
        <v>429</v>
      </c>
      <c r="G84" s="13" t="s">
        <v>429</v>
      </c>
      <c r="H84" s="13" t="s">
        <v>523</v>
      </c>
      <c r="I84" s="14"/>
      <c r="J84" s="14"/>
      <c r="K84" s="14"/>
      <c r="L84" s="16"/>
      <c r="M84" s="24">
        <f>IFERROR(VLOOKUP(tblRiskRegister322[[#This Row],[Asset Class]],tblVCDBIndex[],4,FALSE),"")</f>
        <v>4</v>
      </c>
      <c r="N84" s="24" t="str">
        <f>IFERROR(VLOOKUP(10*tblRiskRegister322[[#This Row],[Safeguard Maturity Score]]+tblRiskRegister322[[#This Row],[VCDB Index]],tblHITIndexWeightTable[],4,FALSE),"")</f>
        <v/>
      </c>
      <c r="O84" s="24">
        <f>VLOOKUP(tblRiskRegister322[[#This Row],[Asset Class]],tblInherentImpacts3046[],2,FALSE)</f>
        <v>2</v>
      </c>
      <c r="P84" s="24">
        <f>VLOOKUP(tblRiskRegister322[[#This Row],[Asset Class]],tblInherentImpacts3046[],3,FALSE)</f>
        <v>1</v>
      </c>
      <c r="Q84" s="24">
        <f>VLOOKUP(tblRiskRegister322[[#This Row],[Asset Class]],tblInherentImpacts3046[],4,FALSE)</f>
        <v>3</v>
      </c>
      <c r="R84" s="24">
        <f>VLOOKUP(tblRiskRegister322[[#This Row],[Asset Class]],tblInherentImpacts3046[],5,FALSE)</f>
        <v>3</v>
      </c>
      <c r="S84" s="24" t="str">
        <f>IFERROR(MAX(tblRiskRegister322[[#This Row],[Impact to Mission]:[Impact to Obligations]])*tblRiskRegister322[[#This Row],[Expectancy Score]],"")</f>
        <v/>
      </c>
      <c r="T84" s="24" t="str">
        <f>tblRiskRegister322[[#This Row],[Risk Score]]</f>
        <v/>
      </c>
      <c r="U84" s="13"/>
      <c r="V84" s="86">
        <v>10.199999999999999</v>
      </c>
      <c r="W84" s="15" t="s">
        <v>71</v>
      </c>
      <c r="X84" s="15" t="s">
        <v>384</v>
      </c>
      <c r="Y84" s="26"/>
      <c r="Z84" s="16"/>
      <c r="AA84" s="23" t="str">
        <f>IFERROR(VLOOKUP(10*tblRiskRegister322[[#This Row],[Risk Treatment Safeguard Maturity Score]]+tblRiskRegister322[[#This Row],[VCDB Index]],tblHITIndexWeightTable[],4,FALSE),"")</f>
        <v/>
      </c>
      <c r="AB84" s="108">
        <f>VLOOKUP(tblRiskRegister322[[#This Row],[Asset Class]],tblInherentImpacts3046[],2,FALSE)</f>
        <v>2</v>
      </c>
      <c r="AC84" s="108">
        <f>VLOOKUP(tblRiskRegister322[[#This Row],[Asset Class]],tblInherentImpacts3046[],3,FALSE)</f>
        <v>1</v>
      </c>
      <c r="AD84" s="108">
        <f>VLOOKUP(tblRiskRegister322[[#This Row],[Asset Class]],tblInherentImpacts3046[],4,FALSE)</f>
        <v>3</v>
      </c>
      <c r="AE84" s="108">
        <f>VLOOKUP(tblRiskRegister322[[#This Row],[Asset Class]],tblInherentImpacts3046[],5,FALSE)</f>
        <v>3</v>
      </c>
      <c r="AF84" s="23" t="str">
        <f>IFERROR(MAX(tblRiskRegister322[[#This Row],[Risk Treatment Safeguard Impact to Mission]:[Risk Treatment Safeguard Impact to Obligations]])*tblRiskRegister322[[#This Row],[Risk Treatment
Safeguard Expectancy Score]],"")</f>
        <v/>
      </c>
      <c r="AG84" s="23" t="str" cm="1">
        <f t="array" ref="AG84">IF(tblRiskRegister322[[#This Row],[Risk Score]]&gt;=AcceptableRisk1,IF(tblRiskRegister322[[#This Row],[Risk Treatment Safeguard Risk Score]]&lt;AcceptableRisk1, IF(tblRiskRegister322[[#This Row],[Risk Treatment Safeguard Risk Score]]&lt;tblRiskRegister322[[#This Row],[Risk Score]],"Yes","No"),"No"),"Yes")</f>
        <v>No</v>
      </c>
      <c r="AH84" s="17"/>
      <c r="AI84" s="17"/>
      <c r="AJ84" s="18"/>
    </row>
    <row r="85" spans="2:36" ht="28">
      <c r="B85" s="15" t="s">
        <v>91</v>
      </c>
      <c r="C85" s="15"/>
      <c r="D85" s="13">
        <v>10.3</v>
      </c>
      <c r="E85" s="14" t="s">
        <v>72</v>
      </c>
      <c r="F85" s="13" t="s">
        <v>429</v>
      </c>
      <c r="G85" s="13" t="s">
        <v>429</v>
      </c>
      <c r="H85" s="13" t="s">
        <v>523</v>
      </c>
      <c r="I85" s="14"/>
      <c r="J85" s="14"/>
      <c r="K85" s="14"/>
      <c r="L85" s="16"/>
      <c r="M85" s="24">
        <f>IFERROR(VLOOKUP(tblRiskRegister322[[#This Row],[Asset Class]],tblVCDBIndex[],4,FALSE),"")</f>
        <v>4</v>
      </c>
      <c r="N85" s="24" t="str">
        <f>IFERROR(VLOOKUP(10*tblRiskRegister322[[#This Row],[Safeguard Maturity Score]]+tblRiskRegister322[[#This Row],[VCDB Index]],tblHITIndexWeightTable[],4,FALSE),"")</f>
        <v/>
      </c>
      <c r="O85" s="24">
        <f>VLOOKUP(tblRiskRegister322[[#This Row],[Asset Class]],tblInherentImpacts3046[],2,FALSE)</f>
        <v>2</v>
      </c>
      <c r="P85" s="24">
        <f>VLOOKUP(tblRiskRegister322[[#This Row],[Asset Class]],tblInherentImpacts3046[],3,FALSE)</f>
        <v>1</v>
      </c>
      <c r="Q85" s="24">
        <f>VLOOKUP(tblRiskRegister322[[#This Row],[Asset Class]],tblInherentImpacts3046[],4,FALSE)</f>
        <v>3</v>
      </c>
      <c r="R85" s="24">
        <f>VLOOKUP(tblRiskRegister322[[#This Row],[Asset Class]],tblInherentImpacts3046[],5,FALSE)</f>
        <v>3</v>
      </c>
      <c r="S85" s="24" t="str">
        <f>IFERROR(MAX(tblRiskRegister322[[#This Row],[Impact to Mission]:[Impact to Obligations]])*tblRiskRegister322[[#This Row],[Expectancy Score]],"")</f>
        <v/>
      </c>
      <c r="T85" s="24" t="str">
        <f>tblRiskRegister322[[#This Row],[Risk Score]]</f>
        <v/>
      </c>
      <c r="U85" s="13"/>
      <c r="V85" s="86">
        <v>10.3</v>
      </c>
      <c r="W85" s="15" t="s">
        <v>72</v>
      </c>
      <c r="X85" s="15" t="s">
        <v>385</v>
      </c>
      <c r="Y85" s="26"/>
      <c r="Z85" s="16"/>
      <c r="AA85" s="23" t="str">
        <f>IFERROR(VLOOKUP(10*tblRiskRegister322[[#This Row],[Risk Treatment Safeguard Maturity Score]]+tblRiskRegister322[[#This Row],[VCDB Index]],tblHITIndexWeightTable[],4,FALSE),"")</f>
        <v/>
      </c>
      <c r="AB85" s="108">
        <f>VLOOKUP(tblRiskRegister322[[#This Row],[Asset Class]],tblInherentImpacts3046[],2,FALSE)</f>
        <v>2</v>
      </c>
      <c r="AC85" s="108">
        <f>VLOOKUP(tblRiskRegister322[[#This Row],[Asset Class]],tblInherentImpacts3046[],3,FALSE)</f>
        <v>1</v>
      </c>
      <c r="AD85" s="108">
        <f>VLOOKUP(tblRiskRegister322[[#This Row],[Asset Class]],tblInherentImpacts3046[],4,FALSE)</f>
        <v>3</v>
      </c>
      <c r="AE85" s="108">
        <f>VLOOKUP(tblRiskRegister322[[#This Row],[Asset Class]],tblInherentImpacts3046[],5,FALSE)</f>
        <v>3</v>
      </c>
      <c r="AF85" s="23" t="str">
        <f>IFERROR(MAX(tblRiskRegister322[[#This Row],[Risk Treatment Safeguard Impact to Mission]:[Risk Treatment Safeguard Impact to Obligations]])*tblRiskRegister322[[#This Row],[Risk Treatment
Safeguard Expectancy Score]],"")</f>
        <v/>
      </c>
      <c r="AG85" s="23" t="str" cm="1">
        <f t="array" ref="AG85">IF(tblRiskRegister322[[#This Row],[Risk Score]]&gt;=AcceptableRisk1,IF(tblRiskRegister322[[#This Row],[Risk Treatment Safeguard Risk Score]]&lt;AcceptableRisk1, IF(tblRiskRegister322[[#This Row],[Risk Treatment Safeguard Risk Score]]&lt;tblRiskRegister322[[#This Row],[Risk Score]],"Yes","No"),"No"),"Yes")</f>
        <v>No</v>
      </c>
      <c r="AH85" s="17"/>
      <c r="AI85" s="17"/>
      <c r="AJ85" s="18"/>
    </row>
    <row r="86" spans="2:36" ht="28">
      <c r="B86" s="15" t="s">
        <v>91</v>
      </c>
      <c r="C86" s="15"/>
      <c r="D86" s="13">
        <v>10.4</v>
      </c>
      <c r="E86" s="14" t="s">
        <v>188</v>
      </c>
      <c r="F86" s="13"/>
      <c r="G86" s="13" t="s">
        <v>429</v>
      </c>
      <c r="H86" s="13" t="s">
        <v>524</v>
      </c>
      <c r="I86" s="14"/>
      <c r="J86" s="14"/>
      <c r="K86" s="14"/>
      <c r="L86" s="16"/>
      <c r="M86" s="24">
        <f>IFERROR(VLOOKUP(tblRiskRegister322[[#This Row],[Asset Class]],tblVCDBIndex[],4,FALSE),"")</f>
        <v>4</v>
      </c>
      <c r="N86" s="24" t="str">
        <f>IFERROR(VLOOKUP(10*tblRiskRegister322[[#This Row],[Safeguard Maturity Score]]+tblRiskRegister322[[#This Row],[VCDB Index]],tblHITIndexWeightTable[],4,FALSE),"")</f>
        <v/>
      </c>
      <c r="O86" s="24">
        <f>VLOOKUP(tblRiskRegister322[[#This Row],[Asset Class]],tblInherentImpacts3046[],2,FALSE)</f>
        <v>2</v>
      </c>
      <c r="P86" s="24">
        <f>VLOOKUP(tblRiskRegister322[[#This Row],[Asset Class]],tblInherentImpacts3046[],3,FALSE)</f>
        <v>1</v>
      </c>
      <c r="Q86" s="24">
        <f>VLOOKUP(tblRiskRegister322[[#This Row],[Asset Class]],tblInherentImpacts3046[],4,FALSE)</f>
        <v>3</v>
      </c>
      <c r="R86" s="24">
        <f>VLOOKUP(tblRiskRegister322[[#This Row],[Asset Class]],tblInherentImpacts3046[],5,FALSE)</f>
        <v>3</v>
      </c>
      <c r="S86" s="24" t="str">
        <f>IFERROR(MAX(tblRiskRegister322[[#This Row],[Impact to Mission]:[Impact to Obligations]])*tblRiskRegister322[[#This Row],[Expectancy Score]],"")</f>
        <v/>
      </c>
      <c r="T86" s="24" t="str">
        <f>tblRiskRegister322[[#This Row],[Risk Score]]</f>
        <v/>
      </c>
      <c r="U86" s="13"/>
      <c r="V86" s="86">
        <v>10.4</v>
      </c>
      <c r="W86" s="15" t="s">
        <v>188</v>
      </c>
      <c r="X86" s="15" t="s">
        <v>386</v>
      </c>
      <c r="Y86" s="26"/>
      <c r="Z86" s="16"/>
      <c r="AA86" s="23" t="str">
        <f>IFERROR(VLOOKUP(10*tblRiskRegister322[[#This Row],[Risk Treatment Safeguard Maturity Score]]+tblRiskRegister322[[#This Row],[VCDB Index]],tblHITIndexWeightTable[],4,FALSE),"")</f>
        <v/>
      </c>
      <c r="AB86" s="108">
        <f>VLOOKUP(tblRiskRegister322[[#This Row],[Asset Class]],tblInherentImpacts3046[],2,FALSE)</f>
        <v>2</v>
      </c>
      <c r="AC86" s="108">
        <f>VLOOKUP(tblRiskRegister322[[#This Row],[Asset Class]],tblInherentImpacts3046[],3,FALSE)</f>
        <v>1</v>
      </c>
      <c r="AD86" s="108">
        <f>VLOOKUP(tblRiskRegister322[[#This Row],[Asset Class]],tblInherentImpacts3046[],4,FALSE)</f>
        <v>3</v>
      </c>
      <c r="AE86" s="108">
        <f>VLOOKUP(tblRiskRegister322[[#This Row],[Asset Class]],tblInherentImpacts3046[],5,FALSE)</f>
        <v>3</v>
      </c>
      <c r="AF86" s="23" t="str">
        <f>IFERROR(MAX(tblRiskRegister322[[#This Row],[Risk Treatment Safeguard Impact to Mission]:[Risk Treatment Safeguard Impact to Obligations]])*tblRiskRegister322[[#This Row],[Risk Treatment
Safeguard Expectancy Score]],"")</f>
        <v/>
      </c>
      <c r="AG86" s="23" t="str" cm="1">
        <f t="array" ref="AG86">IF(tblRiskRegister322[[#This Row],[Risk Score]]&gt;=AcceptableRisk1,IF(tblRiskRegister322[[#This Row],[Risk Treatment Safeguard Risk Score]]&lt;AcceptableRisk1, IF(tblRiskRegister322[[#This Row],[Risk Treatment Safeguard Risk Score]]&lt;tblRiskRegister322[[#This Row],[Risk Score]],"Yes","No"),"No"),"Yes")</f>
        <v>No</v>
      </c>
      <c r="AH86" s="17"/>
      <c r="AI86" s="17"/>
      <c r="AJ86" s="18"/>
    </row>
    <row r="87" spans="2:36" ht="42">
      <c r="B87" s="15" t="s">
        <v>91</v>
      </c>
      <c r="C87" s="15"/>
      <c r="D87" s="13">
        <v>10.5</v>
      </c>
      <c r="E87" s="14" t="s">
        <v>189</v>
      </c>
      <c r="F87" s="13"/>
      <c r="G87" s="13" t="s">
        <v>429</v>
      </c>
      <c r="H87" s="13" t="s">
        <v>523</v>
      </c>
      <c r="I87" s="14"/>
      <c r="J87" s="14"/>
      <c r="K87" s="14"/>
      <c r="L87" s="16"/>
      <c r="M87" s="24">
        <f>IFERROR(VLOOKUP(tblRiskRegister322[[#This Row],[Asset Class]],tblVCDBIndex[],4,FALSE),"")</f>
        <v>4</v>
      </c>
      <c r="N87" s="24" t="str">
        <f>IFERROR(VLOOKUP(10*tblRiskRegister322[[#This Row],[Safeguard Maturity Score]]+tblRiskRegister322[[#This Row],[VCDB Index]],tblHITIndexWeightTable[],4,FALSE),"")</f>
        <v/>
      </c>
      <c r="O87" s="24">
        <f>VLOOKUP(tblRiskRegister322[[#This Row],[Asset Class]],tblInherentImpacts3046[],2,FALSE)</f>
        <v>2</v>
      </c>
      <c r="P87" s="24">
        <f>VLOOKUP(tblRiskRegister322[[#This Row],[Asset Class]],tblInherentImpacts3046[],3,FALSE)</f>
        <v>1</v>
      </c>
      <c r="Q87" s="24">
        <f>VLOOKUP(tblRiskRegister322[[#This Row],[Asset Class]],tblInherentImpacts3046[],4,FALSE)</f>
        <v>3</v>
      </c>
      <c r="R87" s="24">
        <f>VLOOKUP(tblRiskRegister322[[#This Row],[Asset Class]],tblInherentImpacts3046[],5,FALSE)</f>
        <v>3</v>
      </c>
      <c r="S87" s="24" t="str">
        <f>IFERROR(MAX(tblRiskRegister322[[#This Row],[Impact to Mission]:[Impact to Obligations]])*tblRiskRegister322[[#This Row],[Expectancy Score]],"")</f>
        <v/>
      </c>
      <c r="T87" s="24" t="str">
        <f>tblRiskRegister322[[#This Row],[Risk Score]]</f>
        <v/>
      </c>
      <c r="U87" s="13"/>
      <c r="V87" s="86">
        <v>10.5</v>
      </c>
      <c r="W87" s="15" t="s">
        <v>189</v>
      </c>
      <c r="X87" s="15" t="s">
        <v>387</v>
      </c>
      <c r="Y87" s="26"/>
      <c r="Z87" s="16"/>
      <c r="AA87" s="23" t="str">
        <f>IFERROR(VLOOKUP(10*tblRiskRegister322[[#This Row],[Risk Treatment Safeguard Maturity Score]]+tblRiskRegister322[[#This Row],[VCDB Index]],tblHITIndexWeightTable[],4,FALSE),"")</f>
        <v/>
      </c>
      <c r="AB87" s="108">
        <f>VLOOKUP(tblRiskRegister322[[#This Row],[Asset Class]],tblInherentImpacts3046[],2,FALSE)</f>
        <v>2</v>
      </c>
      <c r="AC87" s="108">
        <f>VLOOKUP(tblRiskRegister322[[#This Row],[Asset Class]],tblInherentImpacts3046[],3,FALSE)</f>
        <v>1</v>
      </c>
      <c r="AD87" s="108">
        <f>VLOOKUP(tblRiskRegister322[[#This Row],[Asset Class]],tblInherentImpacts3046[],4,FALSE)</f>
        <v>3</v>
      </c>
      <c r="AE87" s="108">
        <f>VLOOKUP(tblRiskRegister322[[#This Row],[Asset Class]],tblInherentImpacts3046[],5,FALSE)</f>
        <v>3</v>
      </c>
      <c r="AF87" s="23" t="str">
        <f>IFERROR(MAX(tblRiskRegister322[[#This Row],[Risk Treatment Safeguard Impact to Mission]:[Risk Treatment Safeguard Impact to Obligations]])*tblRiskRegister322[[#This Row],[Risk Treatment
Safeguard Expectancy Score]],"")</f>
        <v/>
      </c>
      <c r="AG87" s="23" t="str" cm="1">
        <f t="array" ref="AG87">IF(tblRiskRegister322[[#This Row],[Risk Score]]&gt;=AcceptableRisk1,IF(tblRiskRegister322[[#This Row],[Risk Treatment Safeguard Risk Score]]&lt;AcceptableRisk1, IF(tblRiskRegister322[[#This Row],[Risk Treatment Safeguard Risk Score]]&lt;tblRiskRegister322[[#This Row],[Risk Score]],"Yes","No"),"No"),"Yes")</f>
        <v>No</v>
      </c>
      <c r="AH87" s="17"/>
      <c r="AI87" s="17"/>
      <c r="AJ87" s="18"/>
    </row>
    <row r="88" spans="2:36" ht="28">
      <c r="B88" s="15" t="s">
        <v>91</v>
      </c>
      <c r="C88" s="15"/>
      <c r="D88" s="13">
        <v>10.6</v>
      </c>
      <c r="E88" s="14" t="s">
        <v>190</v>
      </c>
      <c r="F88" s="13"/>
      <c r="G88" s="13" t="s">
        <v>429</v>
      </c>
      <c r="H88" s="13" t="s">
        <v>523</v>
      </c>
      <c r="I88" s="14"/>
      <c r="J88" s="14"/>
      <c r="K88" s="14"/>
      <c r="L88" s="16"/>
      <c r="M88" s="24">
        <f>IFERROR(VLOOKUP(tblRiskRegister322[[#This Row],[Asset Class]],tblVCDBIndex[],4,FALSE),"")</f>
        <v>4</v>
      </c>
      <c r="N88" s="24" t="str">
        <f>IFERROR(VLOOKUP(10*tblRiskRegister322[[#This Row],[Safeguard Maturity Score]]+tblRiskRegister322[[#This Row],[VCDB Index]],tblHITIndexWeightTable[],4,FALSE),"")</f>
        <v/>
      </c>
      <c r="O88" s="24">
        <f>VLOOKUP(tblRiskRegister322[[#This Row],[Asset Class]],tblInherentImpacts3046[],2,FALSE)</f>
        <v>2</v>
      </c>
      <c r="P88" s="24">
        <f>VLOOKUP(tblRiskRegister322[[#This Row],[Asset Class]],tblInherentImpacts3046[],3,FALSE)</f>
        <v>1</v>
      </c>
      <c r="Q88" s="24">
        <f>VLOOKUP(tblRiskRegister322[[#This Row],[Asset Class]],tblInherentImpacts3046[],4,FALSE)</f>
        <v>3</v>
      </c>
      <c r="R88" s="24">
        <f>VLOOKUP(tblRiskRegister322[[#This Row],[Asset Class]],tblInherentImpacts3046[],5,FALSE)</f>
        <v>3</v>
      </c>
      <c r="S88" s="24" t="str">
        <f>IFERROR(MAX(tblRiskRegister322[[#This Row],[Impact to Mission]:[Impact to Obligations]])*tblRiskRegister322[[#This Row],[Expectancy Score]],"")</f>
        <v/>
      </c>
      <c r="T88" s="24" t="str">
        <f>tblRiskRegister322[[#This Row],[Risk Score]]</f>
        <v/>
      </c>
      <c r="U88" s="13"/>
      <c r="V88" s="86">
        <v>10.6</v>
      </c>
      <c r="W88" s="15" t="s">
        <v>190</v>
      </c>
      <c r="X88" s="15" t="s">
        <v>388</v>
      </c>
      <c r="Y88" s="26"/>
      <c r="Z88" s="16"/>
      <c r="AA88" s="23" t="str">
        <f>IFERROR(VLOOKUP(10*tblRiskRegister322[[#This Row],[Risk Treatment Safeguard Maturity Score]]+tblRiskRegister322[[#This Row],[VCDB Index]],tblHITIndexWeightTable[],4,FALSE),"")</f>
        <v/>
      </c>
      <c r="AB88" s="108">
        <f>VLOOKUP(tblRiskRegister322[[#This Row],[Asset Class]],tblInherentImpacts3046[],2,FALSE)</f>
        <v>2</v>
      </c>
      <c r="AC88" s="108">
        <f>VLOOKUP(tblRiskRegister322[[#This Row],[Asset Class]],tblInherentImpacts3046[],3,FALSE)</f>
        <v>1</v>
      </c>
      <c r="AD88" s="108">
        <f>VLOOKUP(tblRiskRegister322[[#This Row],[Asset Class]],tblInherentImpacts3046[],4,FALSE)</f>
        <v>3</v>
      </c>
      <c r="AE88" s="108">
        <f>VLOOKUP(tblRiskRegister322[[#This Row],[Asset Class]],tblInherentImpacts3046[],5,FALSE)</f>
        <v>3</v>
      </c>
      <c r="AF88" s="23" t="str">
        <f>IFERROR(MAX(tblRiskRegister322[[#This Row],[Risk Treatment Safeguard Impact to Mission]:[Risk Treatment Safeguard Impact to Obligations]])*tblRiskRegister322[[#This Row],[Risk Treatment
Safeguard Expectancy Score]],"")</f>
        <v/>
      </c>
      <c r="AG88" s="23" t="str" cm="1">
        <f t="array" ref="AG88">IF(tblRiskRegister322[[#This Row],[Risk Score]]&gt;=AcceptableRisk1,IF(tblRiskRegister322[[#This Row],[Risk Treatment Safeguard Risk Score]]&lt;AcceptableRisk1, IF(tblRiskRegister322[[#This Row],[Risk Treatment Safeguard Risk Score]]&lt;tblRiskRegister322[[#This Row],[Risk Score]],"Yes","No"),"No"),"Yes")</f>
        <v>No</v>
      </c>
      <c r="AH88" s="17"/>
      <c r="AI88" s="17"/>
      <c r="AJ88" s="18"/>
    </row>
    <row r="89" spans="2:36" ht="28">
      <c r="B89" s="15" t="s">
        <v>91</v>
      </c>
      <c r="C89" s="15"/>
      <c r="D89" s="13">
        <v>10.7</v>
      </c>
      <c r="E89" s="14" t="s">
        <v>191</v>
      </c>
      <c r="F89" s="13"/>
      <c r="G89" s="13" t="s">
        <v>429</v>
      </c>
      <c r="H89" s="13" t="s">
        <v>524</v>
      </c>
      <c r="I89" s="14"/>
      <c r="J89" s="14"/>
      <c r="K89" s="14"/>
      <c r="L89" s="16"/>
      <c r="M89" s="24">
        <f>IFERROR(VLOOKUP(tblRiskRegister322[[#This Row],[Asset Class]],tblVCDBIndex[],4,FALSE),"")</f>
        <v>4</v>
      </c>
      <c r="N89" s="24" t="str">
        <f>IFERROR(VLOOKUP(10*tblRiskRegister322[[#This Row],[Safeguard Maturity Score]]+tblRiskRegister322[[#This Row],[VCDB Index]],tblHITIndexWeightTable[],4,FALSE),"")</f>
        <v/>
      </c>
      <c r="O89" s="24">
        <f>VLOOKUP(tblRiskRegister322[[#This Row],[Asset Class]],tblInherentImpacts3046[],2,FALSE)</f>
        <v>2</v>
      </c>
      <c r="P89" s="24">
        <f>VLOOKUP(tblRiskRegister322[[#This Row],[Asset Class]],tblInherentImpacts3046[],3,FALSE)</f>
        <v>1</v>
      </c>
      <c r="Q89" s="24">
        <f>VLOOKUP(tblRiskRegister322[[#This Row],[Asset Class]],tblInherentImpacts3046[],4,FALSE)</f>
        <v>3</v>
      </c>
      <c r="R89" s="24">
        <f>VLOOKUP(tblRiskRegister322[[#This Row],[Asset Class]],tblInherentImpacts3046[],5,FALSE)</f>
        <v>3</v>
      </c>
      <c r="S89" s="24" t="str">
        <f>IFERROR(MAX(tblRiskRegister322[[#This Row],[Impact to Mission]:[Impact to Obligations]])*tblRiskRegister322[[#This Row],[Expectancy Score]],"")</f>
        <v/>
      </c>
      <c r="T89" s="24" t="str">
        <f>tblRiskRegister322[[#This Row],[Risk Score]]</f>
        <v/>
      </c>
      <c r="U89" s="13"/>
      <c r="V89" s="86">
        <v>10.7</v>
      </c>
      <c r="W89" s="15" t="s">
        <v>191</v>
      </c>
      <c r="X89" s="15" t="s">
        <v>389</v>
      </c>
      <c r="Y89" s="26"/>
      <c r="Z89" s="16"/>
      <c r="AA89" s="23" t="str">
        <f>IFERROR(VLOOKUP(10*tblRiskRegister322[[#This Row],[Risk Treatment Safeguard Maturity Score]]+tblRiskRegister322[[#This Row],[VCDB Index]],tblHITIndexWeightTable[],4,FALSE),"")</f>
        <v/>
      </c>
      <c r="AB89" s="108">
        <f>VLOOKUP(tblRiskRegister322[[#This Row],[Asset Class]],tblInherentImpacts3046[],2,FALSE)</f>
        <v>2</v>
      </c>
      <c r="AC89" s="108">
        <f>VLOOKUP(tblRiskRegister322[[#This Row],[Asset Class]],tblInherentImpacts3046[],3,FALSE)</f>
        <v>1</v>
      </c>
      <c r="AD89" s="108">
        <f>VLOOKUP(tblRiskRegister322[[#This Row],[Asset Class]],tblInherentImpacts3046[],4,FALSE)</f>
        <v>3</v>
      </c>
      <c r="AE89" s="108">
        <f>VLOOKUP(tblRiskRegister322[[#This Row],[Asset Class]],tblInherentImpacts3046[],5,FALSE)</f>
        <v>3</v>
      </c>
      <c r="AF89" s="23" t="str">
        <f>IFERROR(MAX(tblRiskRegister322[[#This Row],[Risk Treatment Safeguard Impact to Mission]:[Risk Treatment Safeguard Impact to Obligations]])*tblRiskRegister322[[#This Row],[Risk Treatment
Safeguard Expectancy Score]],"")</f>
        <v/>
      </c>
      <c r="AG89" s="23" t="str" cm="1">
        <f t="array" ref="AG89">IF(tblRiskRegister322[[#This Row],[Risk Score]]&gt;=AcceptableRisk1,IF(tblRiskRegister322[[#This Row],[Risk Treatment Safeguard Risk Score]]&lt;AcceptableRisk1, IF(tblRiskRegister322[[#This Row],[Risk Treatment Safeguard Risk Score]]&lt;tblRiskRegister322[[#This Row],[Risk Score]],"Yes","No"),"No"),"Yes")</f>
        <v>No</v>
      </c>
      <c r="AH89" s="17"/>
      <c r="AI89" s="17"/>
      <c r="AJ89" s="18"/>
    </row>
    <row r="90" spans="2:36" ht="56">
      <c r="B90" s="15" t="s">
        <v>528</v>
      </c>
      <c r="C90" s="15"/>
      <c r="D90" s="13">
        <v>11.1</v>
      </c>
      <c r="E90" s="14" t="s">
        <v>73</v>
      </c>
      <c r="F90" s="13" t="s">
        <v>429</v>
      </c>
      <c r="G90" s="13" t="s">
        <v>429</v>
      </c>
      <c r="H90" s="13" t="s">
        <v>532</v>
      </c>
      <c r="I90" s="14"/>
      <c r="J90" s="14"/>
      <c r="K90" s="14"/>
      <c r="L90" s="16"/>
      <c r="M90" s="24">
        <f>IFERROR(VLOOKUP(tblRiskRegister322[[#This Row],[Asset Class]],tblVCDBIndex[],4,FALSE),"")</f>
        <v>2</v>
      </c>
      <c r="N90" s="24" t="str">
        <f>IFERROR(VLOOKUP(10*tblRiskRegister322[[#This Row],[Safeguard Maturity Score]]+tblRiskRegister322[[#This Row],[VCDB Index]],tblHITIndexWeightTable[],4,FALSE),"")</f>
        <v/>
      </c>
      <c r="O90" s="24">
        <f>VLOOKUP(tblRiskRegister322[[#This Row],[Asset Class]],tblInherentImpacts3046[],2,FALSE)</f>
        <v>2</v>
      </c>
      <c r="P90" s="24">
        <f>VLOOKUP(tblRiskRegister322[[#This Row],[Asset Class]],tblInherentImpacts3046[],3,FALSE)</f>
        <v>3</v>
      </c>
      <c r="Q90" s="24">
        <f>VLOOKUP(tblRiskRegister322[[#This Row],[Asset Class]],tblInherentImpacts3046[],4,FALSE)</f>
        <v>2</v>
      </c>
      <c r="R90" s="24">
        <f>VLOOKUP(tblRiskRegister322[[#This Row],[Asset Class]],tblInherentImpacts3046[],5,FALSE)</f>
        <v>2</v>
      </c>
      <c r="S90" s="24" t="str">
        <f>IFERROR(MAX(tblRiskRegister322[[#This Row],[Impact to Mission]:[Impact to Obligations]])*tblRiskRegister322[[#This Row],[Expectancy Score]],"")</f>
        <v/>
      </c>
      <c r="T90" s="24" t="str">
        <f>tblRiskRegister322[[#This Row],[Risk Score]]</f>
        <v/>
      </c>
      <c r="U90" s="13"/>
      <c r="V90" s="86">
        <v>11.1</v>
      </c>
      <c r="W90" s="15" t="s">
        <v>73</v>
      </c>
      <c r="X90" s="15" t="s">
        <v>553</v>
      </c>
      <c r="Y90" s="15"/>
      <c r="Z90" s="16"/>
      <c r="AA90" s="23" t="str">
        <f>IFERROR(VLOOKUP(10*tblRiskRegister322[[#This Row],[Risk Treatment Safeguard Maturity Score]]+tblRiskRegister322[[#This Row],[VCDB Index]],tblHITIndexWeightTable[],4,FALSE),"")</f>
        <v/>
      </c>
      <c r="AB90" s="108">
        <f>VLOOKUP(tblRiskRegister322[[#This Row],[Asset Class]],tblInherentImpacts3046[],2,FALSE)</f>
        <v>2</v>
      </c>
      <c r="AC90" s="108">
        <f>VLOOKUP(tblRiskRegister322[[#This Row],[Asset Class]],tblInherentImpacts3046[],3,FALSE)</f>
        <v>3</v>
      </c>
      <c r="AD90" s="108">
        <f>VLOOKUP(tblRiskRegister322[[#This Row],[Asset Class]],tblInherentImpacts3046[],4,FALSE)</f>
        <v>2</v>
      </c>
      <c r="AE90" s="108">
        <f>VLOOKUP(tblRiskRegister322[[#This Row],[Asset Class]],tblInherentImpacts3046[],5,FALSE)</f>
        <v>2</v>
      </c>
      <c r="AF90" s="23" t="str">
        <f>IFERROR(MAX(tblRiskRegister322[[#This Row],[Risk Treatment Safeguard Impact to Mission]:[Risk Treatment Safeguard Impact to Obligations]])*tblRiskRegister322[[#This Row],[Risk Treatment
Safeguard Expectancy Score]],"")</f>
        <v/>
      </c>
      <c r="AG90" s="23" t="str" cm="1">
        <f t="array" ref="AG90">IF(tblRiskRegister322[[#This Row],[Risk Score]]&gt;=AcceptableRisk1,IF(tblRiskRegister322[[#This Row],[Risk Treatment Safeguard Risk Score]]&lt;AcceptableRisk1, IF(tblRiskRegister322[[#This Row],[Risk Treatment Safeguard Risk Score]]&lt;tblRiskRegister322[[#This Row],[Risk Score]],"Yes","No"),"No"),"Yes")</f>
        <v>No</v>
      </c>
      <c r="AH90" s="17"/>
      <c r="AI90" s="17"/>
      <c r="AJ90" s="18"/>
    </row>
    <row r="91" spans="2:36" ht="28">
      <c r="B91" s="15" t="s">
        <v>90</v>
      </c>
      <c r="C91" s="15"/>
      <c r="D91" s="13">
        <v>11.2</v>
      </c>
      <c r="E91" s="14" t="s">
        <v>74</v>
      </c>
      <c r="F91" s="13" t="s">
        <v>429</v>
      </c>
      <c r="G91" s="13" t="s">
        <v>429</v>
      </c>
      <c r="H91" s="13" t="s">
        <v>525</v>
      </c>
      <c r="I91" s="14"/>
      <c r="J91" s="14"/>
      <c r="K91" s="14"/>
      <c r="L91" s="16"/>
      <c r="M91" s="24">
        <f>IFERROR(VLOOKUP(tblRiskRegister322[[#This Row],[Asset Class]],tblVCDBIndex[],4,FALSE),"")</f>
        <v>2</v>
      </c>
      <c r="N91" s="24" t="str">
        <f>IFERROR(VLOOKUP(10*tblRiskRegister322[[#This Row],[Safeguard Maturity Score]]+tblRiskRegister322[[#This Row],[VCDB Index]],tblHITIndexWeightTable[],4,FALSE),"")</f>
        <v/>
      </c>
      <c r="O91" s="24">
        <f>VLOOKUP(tblRiskRegister322[[#This Row],[Asset Class]],tblInherentImpacts3046[],2,FALSE)</f>
        <v>3</v>
      </c>
      <c r="P91" s="24">
        <f>VLOOKUP(tblRiskRegister322[[#This Row],[Asset Class]],tblInherentImpacts3046[],3,FALSE)</f>
        <v>4</v>
      </c>
      <c r="Q91" s="24">
        <f>VLOOKUP(tblRiskRegister322[[#This Row],[Asset Class]],tblInherentImpacts3046[],4,FALSE)</f>
        <v>5</v>
      </c>
      <c r="R91" s="24">
        <f>VLOOKUP(tblRiskRegister322[[#This Row],[Asset Class]],tblInherentImpacts3046[],5,FALSE)</f>
        <v>4</v>
      </c>
      <c r="S91" s="24" t="str">
        <f>IFERROR(MAX(tblRiskRegister322[[#This Row],[Impact to Mission]:[Impact to Obligations]])*tblRiskRegister322[[#This Row],[Expectancy Score]],"")</f>
        <v/>
      </c>
      <c r="T91" s="24" t="str">
        <f>tblRiskRegister322[[#This Row],[Risk Score]]</f>
        <v/>
      </c>
      <c r="U91" s="13"/>
      <c r="V91" s="86">
        <v>11.2</v>
      </c>
      <c r="W91" s="15" t="s">
        <v>74</v>
      </c>
      <c r="X91" s="15" t="s">
        <v>390</v>
      </c>
      <c r="Y91" s="15"/>
      <c r="Z91" s="16"/>
      <c r="AA91" s="23" t="str">
        <f>IFERROR(VLOOKUP(10*tblRiskRegister322[[#This Row],[Risk Treatment Safeguard Maturity Score]]+tblRiskRegister322[[#This Row],[VCDB Index]],tblHITIndexWeightTable[],4,FALSE),"")</f>
        <v/>
      </c>
      <c r="AB91" s="108">
        <f>VLOOKUP(tblRiskRegister322[[#This Row],[Asset Class]],tblInherentImpacts3046[],2,FALSE)</f>
        <v>3</v>
      </c>
      <c r="AC91" s="108">
        <f>VLOOKUP(tblRiskRegister322[[#This Row],[Asset Class]],tblInherentImpacts3046[],3,FALSE)</f>
        <v>4</v>
      </c>
      <c r="AD91" s="108">
        <f>VLOOKUP(tblRiskRegister322[[#This Row],[Asset Class]],tblInherentImpacts3046[],4,FALSE)</f>
        <v>5</v>
      </c>
      <c r="AE91" s="108">
        <f>VLOOKUP(tblRiskRegister322[[#This Row],[Asset Class]],tblInherentImpacts3046[],5,FALSE)</f>
        <v>4</v>
      </c>
      <c r="AF91" s="23" t="str">
        <f>IFERROR(MAX(tblRiskRegister322[[#This Row],[Risk Treatment Safeguard Impact to Mission]:[Risk Treatment Safeguard Impact to Obligations]])*tblRiskRegister322[[#This Row],[Risk Treatment
Safeguard Expectancy Score]],"")</f>
        <v/>
      </c>
      <c r="AG91" s="23" t="str" cm="1">
        <f t="array" ref="AG91">IF(tblRiskRegister322[[#This Row],[Risk Score]]&gt;=AcceptableRisk1,IF(tblRiskRegister322[[#This Row],[Risk Treatment Safeguard Risk Score]]&lt;AcceptableRisk1, IF(tblRiskRegister322[[#This Row],[Risk Treatment Safeguard Risk Score]]&lt;tblRiskRegister322[[#This Row],[Risk Score]],"Yes","No"),"No"),"Yes")</f>
        <v>No</v>
      </c>
      <c r="AH91" s="17"/>
      <c r="AI91" s="17"/>
      <c r="AJ91" s="18"/>
    </row>
    <row r="92" spans="2:36" ht="28">
      <c r="B92" s="15" t="s">
        <v>90</v>
      </c>
      <c r="C92" s="15"/>
      <c r="D92" s="13">
        <v>11.3</v>
      </c>
      <c r="E92" s="14" t="s">
        <v>75</v>
      </c>
      <c r="F92" s="13" t="s">
        <v>429</v>
      </c>
      <c r="G92" s="13" t="s">
        <v>429</v>
      </c>
      <c r="H92" s="13" t="s">
        <v>523</v>
      </c>
      <c r="I92" s="14"/>
      <c r="J92" s="14"/>
      <c r="K92" s="14"/>
      <c r="L92" s="16"/>
      <c r="M92" s="24">
        <f>IFERROR(VLOOKUP(tblRiskRegister322[[#This Row],[Asset Class]],tblVCDBIndex[],4,FALSE),"")</f>
        <v>2</v>
      </c>
      <c r="N92" s="24" t="str">
        <f>IFERROR(VLOOKUP(10*tblRiskRegister322[[#This Row],[Safeguard Maturity Score]]+tblRiskRegister322[[#This Row],[VCDB Index]],tblHITIndexWeightTable[],4,FALSE),"")</f>
        <v/>
      </c>
      <c r="O92" s="24">
        <f>VLOOKUP(tblRiskRegister322[[#This Row],[Asset Class]],tblInherentImpacts3046[],2,FALSE)</f>
        <v>3</v>
      </c>
      <c r="P92" s="24">
        <f>VLOOKUP(tblRiskRegister322[[#This Row],[Asset Class]],tblInherentImpacts3046[],3,FALSE)</f>
        <v>4</v>
      </c>
      <c r="Q92" s="24">
        <f>VLOOKUP(tblRiskRegister322[[#This Row],[Asset Class]],tblInherentImpacts3046[],4,FALSE)</f>
        <v>5</v>
      </c>
      <c r="R92" s="24">
        <f>VLOOKUP(tblRiskRegister322[[#This Row],[Asset Class]],tblInherentImpacts3046[],5,FALSE)</f>
        <v>4</v>
      </c>
      <c r="S92" s="24" t="str">
        <f>IFERROR(MAX(tblRiskRegister322[[#This Row],[Impact to Mission]:[Impact to Obligations]])*tblRiskRegister322[[#This Row],[Expectancy Score]],"")</f>
        <v/>
      </c>
      <c r="T92" s="24" t="str">
        <f>tblRiskRegister322[[#This Row],[Risk Score]]</f>
        <v/>
      </c>
      <c r="U92" s="13"/>
      <c r="V92" s="86">
        <v>11.3</v>
      </c>
      <c r="W92" s="15" t="s">
        <v>75</v>
      </c>
      <c r="X92" s="15" t="s">
        <v>391</v>
      </c>
      <c r="Y92" s="15"/>
      <c r="Z92" s="16"/>
      <c r="AA92" s="23" t="str">
        <f>IFERROR(VLOOKUP(10*tblRiskRegister322[[#This Row],[Risk Treatment Safeguard Maturity Score]]+tblRiskRegister322[[#This Row],[VCDB Index]],tblHITIndexWeightTable[],4,FALSE),"")</f>
        <v/>
      </c>
      <c r="AB92" s="108">
        <f>VLOOKUP(tblRiskRegister322[[#This Row],[Asset Class]],tblInherentImpacts3046[],2,FALSE)</f>
        <v>3</v>
      </c>
      <c r="AC92" s="108">
        <f>VLOOKUP(tblRiskRegister322[[#This Row],[Asset Class]],tblInherentImpacts3046[],3,FALSE)</f>
        <v>4</v>
      </c>
      <c r="AD92" s="108">
        <f>VLOOKUP(tblRiskRegister322[[#This Row],[Asset Class]],tblInherentImpacts3046[],4,FALSE)</f>
        <v>5</v>
      </c>
      <c r="AE92" s="108">
        <f>VLOOKUP(tblRiskRegister322[[#This Row],[Asset Class]],tblInherentImpacts3046[],5,FALSE)</f>
        <v>4</v>
      </c>
      <c r="AF92" s="23" t="str">
        <f>IFERROR(MAX(tblRiskRegister322[[#This Row],[Risk Treatment Safeguard Impact to Mission]:[Risk Treatment Safeguard Impact to Obligations]])*tblRiskRegister322[[#This Row],[Risk Treatment
Safeguard Expectancy Score]],"")</f>
        <v/>
      </c>
      <c r="AG92" s="23" t="str" cm="1">
        <f t="array" ref="AG92">IF(tblRiskRegister322[[#This Row],[Risk Score]]&gt;=AcceptableRisk1,IF(tblRiskRegister322[[#This Row],[Risk Treatment Safeguard Risk Score]]&lt;AcceptableRisk1, IF(tblRiskRegister322[[#This Row],[Risk Treatment Safeguard Risk Score]]&lt;tblRiskRegister322[[#This Row],[Risk Score]],"Yes","No"),"No"),"Yes")</f>
        <v>No</v>
      </c>
      <c r="AH92" s="17"/>
      <c r="AI92" s="17"/>
      <c r="AJ92" s="18"/>
    </row>
    <row r="93" spans="2:36" ht="28">
      <c r="B93" s="15" t="s">
        <v>90</v>
      </c>
      <c r="C93" s="15"/>
      <c r="D93" s="13">
        <v>11.4</v>
      </c>
      <c r="E93" s="14" t="s">
        <v>76</v>
      </c>
      <c r="F93" s="13" t="s">
        <v>429</v>
      </c>
      <c r="G93" s="13" t="s">
        <v>429</v>
      </c>
      <c r="H93" s="13" t="s">
        <v>525</v>
      </c>
      <c r="I93" s="14"/>
      <c r="J93" s="14"/>
      <c r="K93" s="14"/>
      <c r="L93" s="16"/>
      <c r="M93" s="24">
        <f>IFERROR(VLOOKUP(tblRiskRegister322[[#This Row],[Asset Class]],tblVCDBIndex[],4,FALSE),"")</f>
        <v>2</v>
      </c>
      <c r="N93" s="24" t="str">
        <f>IFERROR(VLOOKUP(10*tblRiskRegister322[[#This Row],[Safeguard Maturity Score]]+tblRiskRegister322[[#This Row],[VCDB Index]],tblHITIndexWeightTable[],4,FALSE),"")</f>
        <v/>
      </c>
      <c r="O93" s="24">
        <f>VLOOKUP(tblRiskRegister322[[#This Row],[Asset Class]],tblInherentImpacts3046[],2,FALSE)</f>
        <v>3</v>
      </c>
      <c r="P93" s="24">
        <f>VLOOKUP(tblRiskRegister322[[#This Row],[Asset Class]],tblInherentImpacts3046[],3,FALSE)</f>
        <v>4</v>
      </c>
      <c r="Q93" s="24">
        <f>VLOOKUP(tblRiskRegister322[[#This Row],[Asset Class]],tblInherentImpacts3046[],4,FALSE)</f>
        <v>5</v>
      </c>
      <c r="R93" s="24">
        <f>VLOOKUP(tblRiskRegister322[[#This Row],[Asset Class]],tblInherentImpacts3046[],5,FALSE)</f>
        <v>4</v>
      </c>
      <c r="S93" s="24" t="str">
        <f>IFERROR(MAX(tblRiskRegister322[[#This Row],[Impact to Mission]:[Impact to Obligations]])*tblRiskRegister322[[#This Row],[Expectancy Score]],"")</f>
        <v/>
      </c>
      <c r="T93" s="24" t="str">
        <f>tblRiskRegister322[[#This Row],[Risk Score]]</f>
        <v/>
      </c>
      <c r="U93" s="13"/>
      <c r="V93" s="86">
        <v>11.4</v>
      </c>
      <c r="W93" s="15" t="s">
        <v>76</v>
      </c>
      <c r="X93" s="15" t="s">
        <v>392</v>
      </c>
      <c r="Y93" s="15"/>
      <c r="Z93" s="16"/>
      <c r="AA93" s="23" t="str">
        <f>IFERROR(VLOOKUP(10*tblRiskRegister322[[#This Row],[Risk Treatment Safeguard Maturity Score]]+tblRiskRegister322[[#This Row],[VCDB Index]],tblHITIndexWeightTable[],4,FALSE),"")</f>
        <v/>
      </c>
      <c r="AB93" s="108">
        <f>VLOOKUP(tblRiskRegister322[[#This Row],[Asset Class]],tblInherentImpacts3046[],2,FALSE)</f>
        <v>3</v>
      </c>
      <c r="AC93" s="108">
        <f>VLOOKUP(tblRiskRegister322[[#This Row],[Asset Class]],tblInherentImpacts3046[],3,FALSE)</f>
        <v>4</v>
      </c>
      <c r="AD93" s="108">
        <f>VLOOKUP(tblRiskRegister322[[#This Row],[Asset Class]],tblInherentImpacts3046[],4,FALSE)</f>
        <v>5</v>
      </c>
      <c r="AE93" s="108">
        <f>VLOOKUP(tblRiskRegister322[[#This Row],[Asset Class]],tblInherentImpacts3046[],5,FALSE)</f>
        <v>4</v>
      </c>
      <c r="AF93" s="23" t="str">
        <f>IFERROR(MAX(tblRiskRegister322[[#This Row],[Risk Treatment Safeguard Impact to Mission]:[Risk Treatment Safeguard Impact to Obligations]])*tblRiskRegister322[[#This Row],[Risk Treatment
Safeguard Expectancy Score]],"")</f>
        <v/>
      </c>
      <c r="AG93" s="23" t="str" cm="1">
        <f t="array" ref="AG93">IF(tblRiskRegister322[[#This Row],[Risk Score]]&gt;=AcceptableRisk1,IF(tblRiskRegister322[[#This Row],[Risk Treatment Safeguard Risk Score]]&lt;AcceptableRisk1, IF(tblRiskRegister322[[#This Row],[Risk Treatment Safeguard Risk Score]]&lt;tblRiskRegister322[[#This Row],[Risk Score]],"Yes","No"),"No"),"Yes")</f>
        <v>No</v>
      </c>
      <c r="AH93" s="17"/>
      <c r="AI93" s="17"/>
      <c r="AJ93" s="18"/>
    </row>
    <row r="94" spans="2:36" ht="14">
      <c r="B94" s="15" t="s">
        <v>90</v>
      </c>
      <c r="C94" s="15"/>
      <c r="D94" s="13">
        <v>11.5</v>
      </c>
      <c r="E94" s="14" t="s">
        <v>180</v>
      </c>
      <c r="F94" s="13"/>
      <c r="G94" s="13" t="s">
        <v>429</v>
      </c>
      <c r="H94" s="13" t="s">
        <v>525</v>
      </c>
      <c r="I94" s="14"/>
      <c r="J94" s="14"/>
      <c r="K94" s="14"/>
      <c r="L94" s="16"/>
      <c r="M94" s="24">
        <f>IFERROR(VLOOKUP(tblRiskRegister322[[#This Row],[Asset Class]],tblVCDBIndex[],4,FALSE),"")</f>
        <v>2</v>
      </c>
      <c r="N94" s="24" t="str">
        <f>IFERROR(VLOOKUP(10*tblRiskRegister322[[#This Row],[Safeguard Maturity Score]]+tblRiskRegister322[[#This Row],[VCDB Index]],tblHITIndexWeightTable[],4,FALSE),"")</f>
        <v/>
      </c>
      <c r="O94" s="24">
        <f>VLOOKUP(tblRiskRegister322[[#This Row],[Asset Class]],tblInherentImpacts3046[],2,FALSE)</f>
        <v>3</v>
      </c>
      <c r="P94" s="24">
        <f>VLOOKUP(tblRiskRegister322[[#This Row],[Asset Class]],tblInherentImpacts3046[],3,FALSE)</f>
        <v>4</v>
      </c>
      <c r="Q94" s="24">
        <f>VLOOKUP(tblRiskRegister322[[#This Row],[Asset Class]],tblInherentImpacts3046[],4,FALSE)</f>
        <v>5</v>
      </c>
      <c r="R94" s="24">
        <f>VLOOKUP(tblRiskRegister322[[#This Row],[Asset Class]],tblInherentImpacts3046[],5,FALSE)</f>
        <v>4</v>
      </c>
      <c r="S94" s="24" t="str">
        <f>IFERROR(MAX(tblRiskRegister322[[#This Row],[Impact to Mission]:[Impact to Obligations]])*tblRiskRegister322[[#This Row],[Expectancy Score]],"")</f>
        <v/>
      </c>
      <c r="T94" s="24" t="str">
        <f>tblRiskRegister322[[#This Row],[Risk Score]]</f>
        <v/>
      </c>
      <c r="U94" s="13"/>
      <c r="V94" s="86">
        <v>11.5</v>
      </c>
      <c r="W94" s="15" t="s">
        <v>180</v>
      </c>
      <c r="X94" s="15" t="s">
        <v>393</v>
      </c>
      <c r="Y94" s="15"/>
      <c r="Z94" s="16"/>
      <c r="AA94" s="23" t="str">
        <f>IFERROR(VLOOKUP(10*tblRiskRegister322[[#This Row],[Risk Treatment Safeguard Maturity Score]]+tblRiskRegister322[[#This Row],[VCDB Index]],tblHITIndexWeightTable[],4,FALSE),"")</f>
        <v/>
      </c>
      <c r="AB94" s="108">
        <f>VLOOKUP(tblRiskRegister322[[#This Row],[Asset Class]],tblInherentImpacts3046[],2,FALSE)</f>
        <v>3</v>
      </c>
      <c r="AC94" s="108">
        <f>VLOOKUP(tblRiskRegister322[[#This Row],[Asset Class]],tblInherentImpacts3046[],3,FALSE)</f>
        <v>4</v>
      </c>
      <c r="AD94" s="108">
        <f>VLOOKUP(tblRiskRegister322[[#This Row],[Asset Class]],tblInherentImpacts3046[],4,FALSE)</f>
        <v>5</v>
      </c>
      <c r="AE94" s="108">
        <f>VLOOKUP(tblRiskRegister322[[#This Row],[Asset Class]],tblInherentImpacts3046[],5,FALSE)</f>
        <v>4</v>
      </c>
      <c r="AF94" s="23" t="str">
        <f>IFERROR(MAX(tblRiskRegister322[[#This Row],[Risk Treatment Safeguard Impact to Mission]:[Risk Treatment Safeguard Impact to Obligations]])*tblRiskRegister322[[#This Row],[Risk Treatment
Safeguard Expectancy Score]],"")</f>
        <v/>
      </c>
      <c r="AG94" s="23" t="str" cm="1">
        <f t="array" ref="AG94">IF(tblRiskRegister322[[#This Row],[Risk Score]]&gt;=AcceptableRisk1,IF(tblRiskRegister322[[#This Row],[Risk Treatment Safeguard Risk Score]]&lt;AcceptableRisk1, IF(tblRiskRegister322[[#This Row],[Risk Treatment Safeguard Risk Score]]&lt;tblRiskRegister322[[#This Row],[Risk Score]],"Yes","No"),"No"),"Yes")</f>
        <v>No</v>
      </c>
      <c r="AH94" s="17"/>
      <c r="AI94" s="17"/>
      <c r="AJ94" s="18"/>
    </row>
    <row r="95" spans="2:36" ht="42">
      <c r="B95" s="15" t="s">
        <v>92</v>
      </c>
      <c r="C95" s="15"/>
      <c r="D95" s="13">
        <v>12.1</v>
      </c>
      <c r="E95" s="14" t="s">
        <v>77</v>
      </c>
      <c r="F95" s="13" t="s">
        <v>429</v>
      </c>
      <c r="G95" s="13" t="s">
        <v>429</v>
      </c>
      <c r="H95" s="13" t="s">
        <v>523</v>
      </c>
      <c r="I95" s="14"/>
      <c r="J95" s="14"/>
      <c r="K95" s="14"/>
      <c r="L95" s="16"/>
      <c r="M95" s="24">
        <f>IFERROR(VLOOKUP(tblRiskRegister322[[#This Row],[Asset Class]],tblVCDBIndex[],4,FALSE),"")</f>
        <v>1</v>
      </c>
      <c r="N95" s="24" t="str">
        <f>IFERROR(VLOOKUP(10*tblRiskRegister322[[#This Row],[Safeguard Maturity Score]]+tblRiskRegister322[[#This Row],[VCDB Index]],tblHITIndexWeightTable[],4,FALSE),"")</f>
        <v/>
      </c>
      <c r="O95" s="24">
        <f>VLOOKUP(tblRiskRegister322[[#This Row],[Asset Class]],tblInherentImpacts3046[],2,FALSE)</f>
        <v>3</v>
      </c>
      <c r="P95" s="24">
        <f>VLOOKUP(tblRiskRegister322[[#This Row],[Asset Class]],tblInherentImpacts3046[],3,FALSE)</f>
        <v>4</v>
      </c>
      <c r="Q95" s="24">
        <f>VLOOKUP(tblRiskRegister322[[#This Row],[Asset Class]],tblInherentImpacts3046[],4,FALSE)</f>
        <v>3</v>
      </c>
      <c r="R95" s="24">
        <f>VLOOKUP(tblRiskRegister322[[#This Row],[Asset Class]],tblInherentImpacts3046[],5,FALSE)</f>
        <v>3</v>
      </c>
      <c r="S95" s="24" t="str">
        <f>IFERROR(MAX(tblRiskRegister322[[#This Row],[Impact to Mission]:[Impact to Obligations]])*tblRiskRegister322[[#This Row],[Expectancy Score]],"")</f>
        <v/>
      </c>
      <c r="T95" s="24" t="str">
        <f>tblRiskRegister322[[#This Row],[Risk Score]]</f>
        <v/>
      </c>
      <c r="U95" s="13"/>
      <c r="V95" s="86">
        <v>12.1</v>
      </c>
      <c r="W95" s="15" t="s">
        <v>77</v>
      </c>
      <c r="X95" s="15" t="s">
        <v>554</v>
      </c>
      <c r="Y95" s="26"/>
      <c r="Z95" s="16"/>
      <c r="AA95" s="23" t="str">
        <f>IFERROR(VLOOKUP(10*tblRiskRegister322[[#This Row],[Risk Treatment Safeguard Maturity Score]]+tblRiskRegister322[[#This Row],[VCDB Index]],tblHITIndexWeightTable[],4,FALSE),"")</f>
        <v/>
      </c>
      <c r="AB95" s="108">
        <f>VLOOKUP(tblRiskRegister322[[#This Row],[Asset Class]],tblInherentImpacts3046[],2,FALSE)</f>
        <v>3</v>
      </c>
      <c r="AC95" s="108">
        <f>VLOOKUP(tblRiskRegister322[[#This Row],[Asset Class]],tblInherentImpacts3046[],3,FALSE)</f>
        <v>4</v>
      </c>
      <c r="AD95" s="108">
        <f>VLOOKUP(tblRiskRegister322[[#This Row],[Asset Class]],tblInherentImpacts3046[],4,FALSE)</f>
        <v>3</v>
      </c>
      <c r="AE95" s="108">
        <f>VLOOKUP(tblRiskRegister322[[#This Row],[Asset Class]],tblInherentImpacts3046[],5,FALSE)</f>
        <v>3</v>
      </c>
      <c r="AF95" s="23" t="str">
        <f>IFERROR(MAX(tblRiskRegister322[[#This Row],[Risk Treatment Safeguard Impact to Mission]:[Risk Treatment Safeguard Impact to Obligations]])*tblRiskRegister322[[#This Row],[Risk Treatment
Safeguard Expectancy Score]],"")</f>
        <v/>
      </c>
      <c r="AG95" s="23" t="str" cm="1">
        <f t="array" ref="AG95">IF(tblRiskRegister322[[#This Row],[Risk Score]]&gt;=AcceptableRisk1,IF(tblRiskRegister322[[#This Row],[Risk Treatment Safeguard Risk Score]]&lt;AcceptableRisk1, IF(tblRiskRegister322[[#This Row],[Risk Treatment Safeguard Risk Score]]&lt;tblRiskRegister322[[#This Row],[Risk Score]],"Yes","No"),"No"),"Yes")</f>
        <v>No</v>
      </c>
      <c r="AH95" s="17"/>
      <c r="AI95" s="17"/>
      <c r="AJ95" s="18"/>
    </row>
    <row r="96" spans="2:36" ht="42">
      <c r="B96" s="15" t="s">
        <v>92</v>
      </c>
      <c r="C96" s="15"/>
      <c r="D96" s="13">
        <v>12.2</v>
      </c>
      <c r="E96" s="14" t="s">
        <v>216</v>
      </c>
      <c r="F96" s="13"/>
      <c r="G96" s="13" t="s">
        <v>429</v>
      </c>
      <c r="H96" s="13" t="s">
        <v>523</v>
      </c>
      <c r="I96" s="14"/>
      <c r="J96" s="14"/>
      <c r="K96" s="14"/>
      <c r="L96" s="16"/>
      <c r="M96" s="24">
        <f>IFERROR(VLOOKUP(tblRiskRegister322[[#This Row],[Asset Class]],tblVCDBIndex[],4,FALSE),"")</f>
        <v>1</v>
      </c>
      <c r="N96" s="24" t="str">
        <f>IFERROR(VLOOKUP(10*tblRiskRegister322[[#This Row],[Safeguard Maturity Score]]+tblRiskRegister322[[#This Row],[VCDB Index]],tblHITIndexWeightTable[],4,FALSE),"")</f>
        <v/>
      </c>
      <c r="O96" s="24">
        <f>VLOOKUP(tblRiskRegister322[[#This Row],[Asset Class]],tblInherentImpacts3046[],2,FALSE)</f>
        <v>3</v>
      </c>
      <c r="P96" s="24">
        <f>VLOOKUP(tblRiskRegister322[[#This Row],[Asset Class]],tblInherentImpacts3046[],3,FALSE)</f>
        <v>4</v>
      </c>
      <c r="Q96" s="24">
        <f>VLOOKUP(tblRiskRegister322[[#This Row],[Asset Class]],tblInherentImpacts3046[],4,FALSE)</f>
        <v>3</v>
      </c>
      <c r="R96" s="24">
        <f>VLOOKUP(tblRiskRegister322[[#This Row],[Asset Class]],tblInherentImpacts3046[],5,FALSE)</f>
        <v>3</v>
      </c>
      <c r="S96" s="24" t="str">
        <f>IFERROR(MAX(tblRiskRegister322[[#This Row],[Impact to Mission]:[Impact to Obligations]])*tblRiskRegister322[[#This Row],[Expectancy Score]],"")</f>
        <v/>
      </c>
      <c r="T96" s="24" t="str">
        <f>tblRiskRegister322[[#This Row],[Risk Score]]</f>
        <v/>
      </c>
      <c r="U96" s="13"/>
      <c r="V96" s="86">
        <v>12.2</v>
      </c>
      <c r="W96" s="15" t="s">
        <v>216</v>
      </c>
      <c r="X96" s="15" t="s">
        <v>555</v>
      </c>
      <c r="Y96" s="26"/>
      <c r="Z96" s="16"/>
      <c r="AA96" s="23" t="str">
        <f>IFERROR(VLOOKUP(10*tblRiskRegister322[[#This Row],[Risk Treatment Safeguard Maturity Score]]+tblRiskRegister322[[#This Row],[VCDB Index]],tblHITIndexWeightTable[],4,FALSE),"")</f>
        <v/>
      </c>
      <c r="AB96" s="108">
        <f>VLOOKUP(tblRiskRegister322[[#This Row],[Asset Class]],tblInherentImpacts3046[],2,FALSE)</f>
        <v>3</v>
      </c>
      <c r="AC96" s="108">
        <f>VLOOKUP(tblRiskRegister322[[#This Row],[Asset Class]],tblInherentImpacts3046[],3,FALSE)</f>
        <v>4</v>
      </c>
      <c r="AD96" s="108">
        <f>VLOOKUP(tblRiskRegister322[[#This Row],[Asset Class]],tblInherentImpacts3046[],4,FALSE)</f>
        <v>3</v>
      </c>
      <c r="AE96" s="108">
        <f>VLOOKUP(tblRiskRegister322[[#This Row],[Asset Class]],tblInherentImpacts3046[],5,FALSE)</f>
        <v>3</v>
      </c>
      <c r="AF96" s="23" t="str">
        <f>IFERROR(MAX(tblRiskRegister322[[#This Row],[Risk Treatment Safeguard Impact to Mission]:[Risk Treatment Safeguard Impact to Obligations]])*tblRiskRegister322[[#This Row],[Risk Treatment
Safeguard Expectancy Score]],"")</f>
        <v/>
      </c>
      <c r="AG96" s="23" t="str" cm="1">
        <f t="array" ref="AG96">IF(tblRiskRegister322[[#This Row],[Risk Score]]&gt;=AcceptableRisk1,IF(tblRiskRegister322[[#This Row],[Risk Treatment Safeguard Risk Score]]&lt;AcceptableRisk1, IF(tblRiskRegister322[[#This Row],[Risk Treatment Safeguard Risk Score]]&lt;tblRiskRegister322[[#This Row],[Risk Score]],"Yes","No"),"No"),"Yes")</f>
        <v>No</v>
      </c>
      <c r="AH96" s="17"/>
      <c r="AI96" s="17"/>
      <c r="AJ96" s="18"/>
    </row>
    <row r="97" spans="2:36" ht="28">
      <c r="B97" s="15" t="s">
        <v>92</v>
      </c>
      <c r="C97" s="15"/>
      <c r="D97" s="13">
        <v>12.3</v>
      </c>
      <c r="E97" s="14" t="s">
        <v>217</v>
      </c>
      <c r="F97" s="13"/>
      <c r="G97" s="13" t="s">
        <v>429</v>
      </c>
      <c r="H97" s="13" t="s">
        <v>523</v>
      </c>
      <c r="I97" s="14"/>
      <c r="J97" s="14"/>
      <c r="K97" s="14"/>
      <c r="L97" s="16"/>
      <c r="M97" s="24">
        <f>IFERROR(VLOOKUP(tblRiskRegister322[[#This Row],[Asset Class]],tblVCDBIndex[],4,FALSE),"")</f>
        <v>1</v>
      </c>
      <c r="N97" s="24" t="str">
        <f>IFERROR(VLOOKUP(10*tblRiskRegister322[[#This Row],[Safeguard Maturity Score]]+tblRiskRegister322[[#This Row],[VCDB Index]],tblHITIndexWeightTable[],4,FALSE),"")</f>
        <v/>
      </c>
      <c r="O97" s="24">
        <f>VLOOKUP(tblRiskRegister322[[#This Row],[Asset Class]],tblInherentImpacts3046[],2,FALSE)</f>
        <v>3</v>
      </c>
      <c r="P97" s="24">
        <f>VLOOKUP(tblRiskRegister322[[#This Row],[Asset Class]],tblInherentImpacts3046[],3,FALSE)</f>
        <v>4</v>
      </c>
      <c r="Q97" s="24">
        <f>VLOOKUP(tblRiskRegister322[[#This Row],[Asset Class]],tblInherentImpacts3046[],4,FALSE)</f>
        <v>3</v>
      </c>
      <c r="R97" s="24">
        <f>VLOOKUP(tblRiskRegister322[[#This Row],[Asset Class]],tblInherentImpacts3046[],5,FALSE)</f>
        <v>3</v>
      </c>
      <c r="S97" s="24" t="str">
        <f>IFERROR(MAX(tblRiskRegister322[[#This Row],[Impact to Mission]:[Impact to Obligations]])*tblRiskRegister322[[#This Row],[Expectancy Score]],"")</f>
        <v/>
      </c>
      <c r="T97" s="24" t="str">
        <f>tblRiskRegister322[[#This Row],[Risk Score]]</f>
        <v/>
      </c>
      <c r="U97" s="13"/>
      <c r="V97" s="86">
        <v>12.3</v>
      </c>
      <c r="W97" s="15" t="s">
        <v>217</v>
      </c>
      <c r="X97" s="15" t="s">
        <v>556</v>
      </c>
      <c r="Y97" s="26"/>
      <c r="Z97" s="16"/>
      <c r="AA97" s="23" t="str">
        <f>IFERROR(VLOOKUP(10*tblRiskRegister322[[#This Row],[Risk Treatment Safeguard Maturity Score]]+tblRiskRegister322[[#This Row],[VCDB Index]],tblHITIndexWeightTable[],4,FALSE),"")</f>
        <v/>
      </c>
      <c r="AB97" s="108">
        <f>VLOOKUP(tblRiskRegister322[[#This Row],[Asset Class]],tblInherentImpacts3046[],2,FALSE)</f>
        <v>3</v>
      </c>
      <c r="AC97" s="108">
        <f>VLOOKUP(tblRiskRegister322[[#This Row],[Asset Class]],tblInherentImpacts3046[],3,FALSE)</f>
        <v>4</v>
      </c>
      <c r="AD97" s="108">
        <f>VLOOKUP(tblRiskRegister322[[#This Row],[Asset Class]],tblInherentImpacts3046[],4,FALSE)</f>
        <v>3</v>
      </c>
      <c r="AE97" s="108">
        <f>VLOOKUP(tblRiskRegister322[[#This Row],[Asset Class]],tblInherentImpacts3046[],5,FALSE)</f>
        <v>3</v>
      </c>
      <c r="AF97" s="23" t="str">
        <f>IFERROR(MAX(tblRiskRegister322[[#This Row],[Risk Treatment Safeguard Impact to Mission]:[Risk Treatment Safeguard Impact to Obligations]])*tblRiskRegister322[[#This Row],[Risk Treatment
Safeguard Expectancy Score]],"")</f>
        <v/>
      </c>
      <c r="AG97" s="23" t="str" cm="1">
        <f t="array" ref="AG97">IF(tblRiskRegister322[[#This Row],[Risk Score]]&gt;=AcceptableRisk1,IF(tblRiskRegister322[[#This Row],[Risk Treatment Safeguard Risk Score]]&lt;AcceptableRisk1, IF(tblRiskRegister322[[#This Row],[Risk Treatment Safeguard Risk Score]]&lt;tblRiskRegister322[[#This Row],[Risk Score]],"Yes","No"),"No"),"Yes")</f>
        <v>No</v>
      </c>
      <c r="AH97" s="17"/>
      <c r="AI97" s="17"/>
      <c r="AJ97" s="18"/>
    </row>
    <row r="98" spans="2:36" ht="42">
      <c r="B98" s="15" t="s">
        <v>528</v>
      </c>
      <c r="C98" s="15"/>
      <c r="D98" s="13">
        <v>12.4</v>
      </c>
      <c r="E98" s="14" t="s">
        <v>218</v>
      </c>
      <c r="F98" s="13"/>
      <c r="G98" s="13" t="s">
        <v>429</v>
      </c>
      <c r="H98" s="13" t="s">
        <v>532</v>
      </c>
      <c r="I98" s="14"/>
      <c r="J98" s="14"/>
      <c r="K98" s="14"/>
      <c r="L98" s="16"/>
      <c r="M98" s="24">
        <f>IFERROR(VLOOKUP(tblRiskRegister322[[#This Row],[Asset Class]],tblVCDBIndex[],4,FALSE),"")</f>
        <v>2</v>
      </c>
      <c r="N98" s="24" t="str">
        <f>IFERROR(VLOOKUP(10*tblRiskRegister322[[#This Row],[Safeguard Maturity Score]]+tblRiskRegister322[[#This Row],[VCDB Index]],tblHITIndexWeightTable[],4,FALSE),"")</f>
        <v/>
      </c>
      <c r="O98" s="24">
        <f>VLOOKUP(tblRiskRegister322[[#This Row],[Asset Class]],tblInherentImpacts3046[],2,FALSE)</f>
        <v>2</v>
      </c>
      <c r="P98" s="24">
        <f>VLOOKUP(tblRiskRegister322[[#This Row],[Asset Class]],tblInherentImpacts3046[],3,FALSE)</f>
        <v>3</v>
      </c>
      <c r="Q98" s="24">
        <f>VLOOKUP(tblRiskRegister322[[#This Row],[Asset Class]],tblInherentImpacts3046[],4,FALSE)</f>
        <v>2</v>
      </c>
      <c r="R98" s="24">
        <f>VLOOKUP(tblRiskRegister322[[#This Row],[Asset Class]],tblInherentImpacts3046[],5,FALSE)</f>
        <v>2</v>
      </c>
      <c r="S98" s="24" t="str">
        <f>IFERROR(MAX(tblRiskRegister322[[#This Row],[Impact to Mission]:[Impact to Obligations]])*tblRiskRegister322[[#This Row],[Expectancy Score]],"")</f>
        <v/>
      </c>
      <c r="T98" s="24" t="str">
        <f>tblRiskRegister322[[#This Row],[Risk Score]]</f>
        <v/>
      </c>
      <c r="U98" s="13"/>
      <c r="V98" s="86">
        <v>12.4</v>
      </c>
      <c r="W98" s="15" t="s">
        <v>218</v>
      </c>
      <c r="X98" s="15" t="s">
        <v>394</v>
      </c>
      <c r="Y98" s="26"/>
      <c r="Z98" s="16"/>
      <c r="AA98" s="23" t="str">
        <f>IFERROR(VLOOKUP(10*tblRiskRegister322[[#This Row],[Risk Treatment Safeguard Maturity Score]]+tblRiskRegister322[[#This Row],[VCDB Index]],tblHITIndexWeightTable[],4,FALSE),"")</f>
        <v/>
      </c>
      <c r="AB98" s="108">
        <f>VLOOKUP(tblRiskRegister322[[#This Row],[Asset Class]],tblInherentImpacts3046[],2,FALSE)</f>
        <v>2</v>
      </c>
      <c r="AC98" s="108">
        <f>VLOOKUP(tblRiskRegister322[[#This Row],[Asset Class]],tblInherentImpacts3046[],3,FALSE)</f>
        <v>3</v>
      </c>
      <c r="AD98" s="108">
        <f>VLOOKUP(tblRiskRegister322[[#This Row],[Asset Class]],tblInherentImpacts3046[],4,FALSE)</f>
        <v>2</v>
      </c>
      <c r="AE98" s="108">
        <f>VLOOKUP(tblRiskRegister322[[#This Row],[Asset Class]],tblInherentImpacts3046[],5,FALSE)</f>
        <v>2</v>
      </c>
      <c r="AF98" s="23" t="str">
        <f>IFERROR(MAX(tblRiskRegister322[[#This Row],[Risk Treatment Safeguard Impact to Mission]:[Risk Treatment Safeguard Impact to Obligations]])*tblRiskRegister322[[#This Row],[Risk Treatment
Safeguard Expectancy Score]],"")</f>
        <v/>
      </c>
      <c r="AG98" s="23" t="str" cm="1">
        <f t="array" ref="AG98">IF(tblRiskRegister322[[#This Row],[Risk Score]]&gt;=AcceptableRisk1,IF(tblRiskRegister322[[#This Row],[Risk Treatment Safeguard Risk Score]]&lt;AcceptableRisk1, IF(tblRiskRegister322[[#This Row],[Risk Treatment Safeguard Risk Score]]&lt;tblRiskRegister322[[#This Row],[Risk Score]],"Yes","No"),"No"),"Yes")</f>
        <v>No</v>
      </c>
      <c r="AH98" s="17"/>
      <c r="AI98" s="17"/>
      <c r="AJ98" s="18"/>
    </row>
    <row r="99" spans="2:36" ht="28">
      <c r="B99" s="15" t="s">
        <v>92</v>
      </c>
      <c r="C99" s="15"/>
      <c r="D99" s="13">
        <v>12.5</v>
      </c>
      <c r="E99" s="14" t="s">
        <v>219</v>
      </c>
      <c r="F99" s="13"/>
      <c r="G99" s="13" t="s">
        <v>429</v>
      </c>
      <c r="H99" s="13" t="s">
        <v>523</v>
      </c>
      <c r="I99" s="14"/>
      <c r="J99" s="14"/>
      <c r="K99" s="14"/>
      <c r="L99" s="16"/>
      <c r="M99" s="24">
        <f>IFERROR(VLOOKUP(tblRiskRegister322[[#This Row],[Asset Class]],tblVCDBIndex[],4,FALSE),"")</f>
        <v>1</v>
      </c>
      <c r="N99" s="24" t="str">
        <f>IFERROR(VLOOKUP(10*tblRiskRegister322[[#This Row],[Safeguard Maturity Score]]+tblRiskRegister322[[#This Row],[VCDB Index]],tblHITIndexWeightTable[],4,FALSE),"")</f>
        <v/>
      </c>
      <c r="O99" s="24">
        <f>VLOOKUP(tblRiskRegister322[[#This Row],[Asset Class]],tblInherentImpacts3046[],2,FALSE)</f>
        <v>3</v>
      </c>
      <c r="P99" s="24">
        <f>VLOOKUP(tblRiskRegister322[[#This Row],[Asset Class]],tblInherentImpacts3046[],3,FALSE)</f>
        <v>4</v>
      </c>
      <c r="Q99" s="24">
        <f>VLOOKUP(tblRiskRegister322[[#This Row],[Asset Class]],tblInherentImpacts3046[],4,FALSE)</f>
        <v>3</v>
      </c>
      <c r="R99" s="24">
        <f>VLOOKUP(tblRiskRegister322[[#This Row],[Asset Class]],tblInherentImpacts3046[],5,FALSE)</f>
        <v>3</v>
      </c>
      <c r="S99" s="24" t="str">
        <f>IFERROR(MAX(tblRiskRegister322[[#This Row],[Impact to Mission]:[Impact to Obligations]])*tblRiskRegister322[[#This Row],[Expectancy Score]],"")</f>
        <v/>
      </c>
      <c r="T99" s="24" t="str">
        <f>tblRiskRegister322[[#This Row],[Risk Score]]</f>
        <v/>
      </c>
      <c r="U99" s="13"/>
      <c r="V99" s="86">
        <v>12.5</v>
      </c>
      <c r="W99" s="15" t="s">
        <v>219</v>
      </c>
      <c r="X99" s="15" t="s">
        <v>395</v>
      </c>
      <c r="Y99" s="26"/>
      <c r="Z99" s="16"/>
      <c r="AA99" s="23" t="str">
        <f>IFERROR(VLOOKUP(10*tblRiskRegister322[[#This Row],[Risk Treatment Safeguard Maturity Score]]+tblRiskRegister322[[#This Row],[VCDB Index]],tblHITIndexWeightTable[],4,FALSE),"")</f>
        <v/>
      </c>
      <c r="AB99" s="108">
        <f>VLOOKUP(tblRiskRegister322[[#This Row],[Asset Class]],tblInherentImpacts3046[],2,FALSE)</f>
        <v>3</v>
      </c>
      <c r="AC99" s="108">
        <f>VLOOKUP(tblRiskRegister322[[#This Row],[Asset Class]],tblInherentImpacts3046[],3,FALSE)</f>
        <v>4</v>
      </c>
      <c r="AD99" s="108">
        <f>VLOOKUP(tblRiskRegister322[[#This Row],[Asset Class]],tblInherentImpacts3046[],4,FALSE)</f>
        <v>3</v>
      </c>
      <c r="AE99" s="108">
        <f>VLOOKUP(tblRiskRegister322[[#This Row],[Asset Class]],tblInherentImpacts3046[],5,FALSE)</f>
        <v>3</v>
      </c>
      <c r="AF99" s="23" t="str">
        <f>IFERROR(MAX(tblRiskRegister322[[#This Row],[Risk Treatment Safeguard Impact to Mission]:[Risk Treatment Safeguard Impact to Obligations]])*tblRiskRegister322[[#This Row],[Risk Treatment
Safeguard Expectancy Score]],"")</f>
        <v/>
      </c>
      <c r="AG99" s="23" t="str" cm="1">
        <f t="array" ref="AG99">IF(tblRiskRegister322[[#This Row],[Risk Score]]&gt;=AcceptableRisk1,IF(tblRiskRegister322[[#This Row],[Risk Treatment Safeguard Risk Score]]&lt;AcceptableRisk1, IF(tblRiskRegister322[[#This Row],[Risk Treatment Safeguard Risk Score]]&lt;tblRiskRegister322[[#This Row],[Risk Score]],"Yes","No"),"No"),"Yes")</f>
        <v>No</v>
      </c>
      <c r="AH99" s="17"/>
      <c r="AI99" s="17"/>
      <c r="AJ99" s="18"/>
    </row>
    <row r="100" spans="2:36" ht="28">
      <c r="B100" s="15" t="s">
        <v>92</v>
      </c>
      <c r="C100" s="15"/>
      <c r="D100" s="13">
        <v>12.6</v>
      </c>
      <c r="E100" s="14" t="s">
        <v>220</v>
      </c>
      <c r="F100" s="13"/>
      <c r="G100" s="13" t="s">
        <v>429</v>
      </c>
      <c r="H100" s="13" t="s">
        <v>523</v>
      </c>
      <c r="I100" s="14"/>
      <c r="J100" s="14"/>
      <c r="K100" s="14"/>
      <c r="L100" s="16"/>
      <c r="M100" s="24">
        <f>IFERROR(VLOOKUP(tblRiskRegister322[[#This Row],[Asset Class]],tblVCDBIndex[],4,FALSE),"")</f>
        <v>1</v>
      </c>
      <c r="N100" s="24" t="str">
        <f>IFERROR(VLOOKUP(10*tblRiskRegister322[[#This Row],[Safeguard Maturity Score]]+tblRiskRegister322[[#This Row],[VCDB Index]],tblHITIndexWeightTable[],4,FALSE),"")</f>
        <v/>
      </c>
      <c r="O100" s="24">
        <f>VLOOKUP(tblRiskRegister322[[#This Row],[Asset Class]],tblInherentImpacts3046[],2,FALSE)</f>
        <v>3</v>
      </c>
      <c r="P100" s="24">
        <f>VLOOKUP(tblRiskRegister322[[#This Row],[Asset Class]],tblInherentImpacts3046[],3,FALSE)</f>
        <v>4</v>
      </c>
      <c r="Q100" s="24">
        <f>VLOOKUP(tblRiskRegister322[[#This Row],[Asset Class]],tblInherentImpacts3046[],4,FALSE)</f>
        <v>3</v>
      </c>
      <c r="R100" s="24">
        <f>VLOOKUP(tblRiskRegister322[[#This Row],[Asset Class]],tblInherentImpacts3046[],5,FALSE)</f>
        <v>3</v>
      </c>
      <c r="S100" s="24" t="str">
        <f>IFERROR(MAX(tblRiskRegister322[[#This Row],[Impact to Mission]:[Impact to Obligations]])*tblRiskRegister322[[#This Row],[Expectancy Score]],"")</f>
        <v/>
      </c>
      <c r="T100" s="24" t="str">
        <f>tblRiskRegister322[[#This Row],[Risk Score]]</f>
        <v/>
      </c>
      <c r="U100" s="13"/>
      <c r="V100" s="86">
        <v>12.6</v>
      </c>
      <c r="W100" s="15" t="s">
        <v>220</v>
      </c>
      <c r="X100" s="15" t="s">
        <v>557</v>
      </c>
      <c r="Y100" s="26"/>
      <c r="Z100" s="16"/>
      <c r="AA100" s="23" t="str">
        <f>IFERROR(VLOOKUP(10*tblRiskRegister322[[#This Row],[Risk Treatment Safeguard Maturity Score]]+tblRiskRegister322[[#This Row],[VCDB Index]],tblHITIndexWeightTable[],4,FALSE),"")</f>
        <v/>
      </c>
      <c r="AB100" s="108">
        <f>VLOOKUP(tblRiskRegister322[[#This Row],[Asset Class]],tblInherentImpacts3046[],2,FALSE)</f>
        <v>3</v>
      </c>
      <c r="AC100" s="108">
        <f>VLOOKUP(tblRiskRegister322[[#This Row],[Asset Class]],tblInherentImpacts3046[],3,FALSE)</f>
        <v>4</v>
      </c>
      <c r="AD100" s="108">
        <f>VLOOKUP(tblRiskRegister322[[#This Row],[Asset Class]],tblInherentImpacts3046[],4,FALSE)</f>
        <v>3</v>
      </c>
      <c r="AE100" s="108">
        <f>VLOOKUP(tblRiskRegister322[[#This Row],[Asset Class]],tblInherentImpacts3046[],5,FALSE)</f>
        <v>3</v>
      </c>
      <c r="AF100" s="23" t="str">
        <f>IFERROR(MAX(tblRiskRegister322[[#This Row],[Risk Treatment Safeguard Impact to Mission]:[Risk Treatment Safeguard Impact to Obligations]])*tblRiskRegister322[[#This Row],[Risk Treatment
Safeguard Expectancy Score]],"")</f>
        <v/>
      </c>
      <c r="AG100" s="23" t="str" cm="1">
        <f t="array" ref="AG100">IF(tblRiskRegister322[[#This Row],[Risk Score]]&gt;=AcceptableRisk1,IF(tblRiskRegister322[[#This Row],[Risk Treatment Safeguard Risk Score]]&lt;AcceptableRisk1, IF(tblRiskRegister322[[#This Row],[Risk Treatment Safeguard Risk Score]]&lt;tblRiskRegister322[[#This Row],[Risk Score]],"Yes","No"),"No"),"Yes")</f>
        <v>No</v>
      </c>
      <c r="AH100" s="17"/>
      <c r="AI100" s="17"/>
      <c r="AJ100" s="18"/>
    </row>
    <row r="101" spans="2:36" ht="42">
      <c r="B101" s="15" t="s">
        <v>91</v>
      </c>
      <c r="C101" s="15"/>
      <c r="D101" s="13">
        <v>12.7</v>
      </c>
      <c r="E101" s="14" t="s">
        <v>192</v>
      </c>
      <c r="F101" s="13"/>
      <c r="G101" s="13" t="s">
        <v>429</v>
      </c>
      <c r="H101" s="13" t="s">
        <v>523</v>
      </c>
      <c r="I101" s="14"/>
      <c r="J101" s="14"/>
      <c r="K101" s="14"/>
      <c r="L101" s="16"/>
      <c r="M101" s="24">
        <f>IFERROR(VLOOKUP(tblRiskRegister322[[#This Row],[Asset Class]],tblVCDBIndex[],4,FALSE),"")</f>
        <v>4</v>
      </c>
      <c r="N101" s="24" t="str">
        <f>IFERROR(VLOOKUP(10*tblRiskRegister322[[#This Row],[Safeguard Maturity Score]]+tblRiskRegister322[[#This Row],[VCDB Index]],tblHITIndexWeightTable[],4,FALSE),"")</f>
        <v/>
      </c>
      <c r="O101" s="24">
        <f>VLOOKUP(tblRiskRegister322[[#This Row],[Asset Class]],tblInherentImpacts3046[],2,FALSE)</f>
        <v>2</v>
      </c>
      <c r="P101" s="24">
        <f>VLOOKUP(tblRiskRegister322[[#This Row],[Asset Class]],tblInherentImpacts3046[],3,FALSE)</f>
        <v>1</v>
      </c>
      <c r="Q101" s="24">
        <f>VLOOKUP(tblRiskRegister322[[#This Row],[Asset Class]],tblInherentImpacts3046[],4,FALSE)</f>
        <v>3</v>
      </c>
      <c r="R101" s="24">
        <f>VLOOKUP(tblRiskRegister322[[#This Row],[Asset Class]],tblInherentImpacts3046[],5,FALSE)</f>
        <v>3</v>
      </c>
      <c r="S101" s="24" t="str">
        <f>IFERROR(MAX(tblRiskRegister322[[#This Row],[Impact to Mission]:[Impact to Obligations]])*tblRiskRegister322[[#This Row],[Expectancy Score]],"")</f>
        <v/>
      </c>
      <c r="T101" s="24" t="str">
        <f>tblRiskRegister322[[#This Row],[Risk Score]]</f>
        <v/>
      </c>
      <c r="U101" s="13"/>
      <c r="V101" s="86">
        <v>12.7</v>
      </c>
      <c r="W101" s="15" t="s">
        <v>192</v>
      </c>
      <c r="X101" s="15" t="s">
        <v>396</v>
      </c>
      <c r="Y101" s="26"/>
      <c r="Z101" s="16"/>
      <c r="AA101" s="23" t="str">
        <f>IFERROR(VLOOKUP(10*tblRiskRegister322[[#This Row],[Risk Treatment Safeguard Maturity Score]]+tblRiskRegister322[[#This Row],[VCDB Index]],tblHITIndexWeightTable[],4,FALSE),"")</f>
        <v/>
      </c>
      <c r="AB101" s="108">
        <f>VLOOKUP(tblRiskRegister322[[#This Row],[Asset Class]],tblInherentImpacts3046[],2,FALSE)</f>
        <v>2</v>
      </c>
      <c r="AC101" s="108">
        <f>VLOOKUP(tblRiskRegister322[[#This Row],[Asset Class]],tblInherentImpacts3046[],3,FALSE)</f>
        <v>1</v>
      </c>
      <c r="AD101" s="108">
        <f>VLOOKUP(tblRiskRegister322[[#This Row],[Asset Class]],tblInherentImpacts3046[],4,FALSE)</f>
        <v>3</v>
      </c>
      <c r="AE101" s="108">
        <f>VLOOKUP(tblRiskRegister322[[#This Row],[Asset Class]],tblInherentImpacts3046[],5,FALSE)</f>
        <v>3</v>
      </c>
      <c r="AF101" s="23" t="str">
        <f>IFERROR(MAX(tblRiskRegister322[[#This Row],[Risk Treatment Safeguard Impact to Mission]:[Risk Treatment Safeguard Impact to Obligations]])*tblRiskRegister322[[#This Row],[Risk Treatment
Safeguard Expectancy Score]],"")</f>
        <v/>
      </c>
      <c r="AG101" s="23" t="str" cm="1">
        <f t="array" ref="AG101">IF(tblRiskRegister322[[#This Row],[Risk Score]]&gt;=AcceptableRisk1,IF(tblRiskRegister322[[#This Row],[Risk Treatment Safeguard Risk Score]]&lt;AcceptableRisk1, IF(tblRiskRegister322[[#This Row],[Risk Treatment Safeguard Risk Score]]&lt;tblRiskRegister322[[#This Row],[Risk Score]],"Yes","No"),"No"),"Yes")</f>
        <v>No</v>
      </c>
      <c r="AH101" s="17"/>
      <c r="AI101" s="17"/>
      <c r="AJ101" s="18"/>
    </row>
    <row r="102" spans="2:36" ht="56">
      <c r="B102" s="15" t="s">
        <v>92</v>
      </c>
      <c r="C102" s="15"/>
      <c r="D102" s="13">
        <v>13.1</v>
      </c>
      <c r="E102" s="14" t="s">
        <v>221</v>
      </c>
      <c r="F102" s="13"/>
      <c r="G102" s="13" t="s">
        <v>429</v>
      </c>
      <c r="H102" s="13" t="s">
        <v>524</v>
      </c>
      <c r="I102" s="14"/>
      <c r="J102" s="14"/>
      <c r="K102" s="14"/>
      <c r="L102" s="16"/>
      <c r="M102" s="24">
        <f>IFERROR(VLOOKUP(tblRiskRegister322[[#This Row],[Asset Class]],tblVCDBIndex[],4,FALSE),"")</f>
        <v>1</v>
      </c>
      <c r="N102" s="24" t="str">
        <f>IFERROR(VLOOKUP(10*tblRiskRegister322[[#This Row],[Safeguard Maturity Score]]+tblRiskRegister322[[#This Row],[VCDB Index]],tblHITIndexWeightTable[],4,FALSE),"")</f>
        <v/>
      </c>
      <c r="O102" s="24">
        <f>VLOOKUP(tblRiskRegister322[[#This Row],[Asset Class]],tblInherentImpacts3046[],2,FALSE)</f>
        <v>3</v>
      </c>
      <c r="P102" s="24">
        <f>VLOOKUP(tblRiskRegister322[[#This Row],[Asset Class]],tblInherentImpacts3046[],3,FALSE)</f>
        <v>4</v>
      </c>
      <c r="Q102" s="24">
        <f>VLOOKUP(tblRiskRegister322[[#This Row],[Asset Class]],tblInherentImpacts3046[],4,FALSE)</f>
        <v>3</v>
      </c>
      <c r="R102" s="24">
        <f>VLOOKUP(tblRiskRegister322[[#This Row],[Asset Class]],tblInherentImpacts3046[],5,FALSE)</f>
        <v>3</v>
      </c>
      <c r="S102" s="24" t="str">
        <f>IFERROR(MAX(tblRiskRegister322[[#This Row],[Impact to Mission]:[Impact to Obligations]])*tblRiskRegister322[[#This Row],[Expectancy Score]],"")</f>
        <v/>
      </c>
      <c r="T102" s="24" t="str">
        <f>tblRiskRegister322[[#This Row],[Risk Score]]</f>
        <v/>
      </c>
      <c r="U102" s="13"/>
      <c r="V102" s="86">
        <v>13.1</v>
      </c>
      <c r="W102" s="15" t="s">
        <v>221</v>
      </c>
      <c r="X102" s="15" t="s">
        <v>397</v>
      </c>
      <c r="Y102" s="26"/>
      <c r="Z102" s="16"/>
      <c r="AA102" s="23" t="str">
        <f>IFERROR(VLOOKUP(10*tblRiskRegister322[[#This Row],[Risk Treatment Safeguard Maturity Score]]+tblRiskRegister322[[#This Row],[VCDB Index]],tblHITIndexWeightTable[],4,FALSE),"")</f>
        <v/>
      </c>
      <c r="AB102" s="108">
        <f>VLOOKUP(tblRiskRegister322[[#This Row],[Asset Class]],tblInherentImpacts3046[],2,FALSE)</f>
        <v>3</v>
      </c>
      <c r="AC102" s="108">
        <f>VLOOKUP(tblRiskRegister322[[#This Row],[Asset Class]],tblInherentImpacts3046[],3,FALSE)</f>
        <v>4</v>
      </c>
      <c r="AD102" s="108">
        <f>VLOOKUP(tblRiskRegister322[[#This Row],[Asset Class]],tblInherentImpacts3046[],4,FALSE)</f>
        <v>3</v>
      </c>
      <c r="AE102" s="108">
        <f>VLOOKUP(tblRiskRegister322[[#This Row],[Asset Class]],tblInherentImpacts3046[],5,FALSE)</f>
        <v>3</v>
      </c>
      <c r="AF102" s="23" t="str">
        <f>IFERROR(MAX(tblRiskRegister322[[#This Row],[Risk Treatment Safeguard Impact to Mission]:[Risk Treatment Safeguard Impact to Obligations]])*tblRiskRegister322[[#This Row],[Risk Treatment
Safeguard Expectancy Score]],"")</f>
        <v/>
      </c>
      <c r="AG102" s="23" t="str" cm="1">
        <f t="array" ref="AG102">IF(tblRiskRegister322[[#This Row],[Risk Score]]&gt;=AcceptableRisk1,IF(tblRiskRegister322[[#This Row],[Risk Treatment Safeguard Risk Score]]&lt;AcceptableRisk1, IF(tblRiskRegister322[[#This Row],[Risk Treatment Safeguard Risk Score]]&lt;tblRiskRegister322[[#This Row],[Risk Score]],"Yes","No"),"No"),"Yes")</f>
        <v>No</v>
      </c>
      <c r="AH102" s="17"/>
      <c r="AI102" s="17"/>
      <c r="AJ102" s="18"/>
    </row>
    <row r="103" spans="2:36" ht="28">
      <c r="B103" s="15" t="s">
        <v>91</v>
      </c>
      <c r="C103" s="15"/>
      <c r="D103" s="13">
        <v>13.2</v>
      </c>
      <c r="E103" s="14" t="s">
        <v>193</v>
      </c>
      <c r="F103" s="13"/>
      <c r="G103" s="13" t="s">
        <v>429</v>
      </c>
      <c r="H103" s="13" t="s">
        <v>524</v>
      </c>
      <c r="I103" s="14"/>
      <c r="J103" s="14"/>
      <c r="K103" s="14"/>
      <c r="L103" s="16"/>
      <c r="M103" s="24">
        <f>IFERROR(VLOOKUP(tblRiskRegister322[[#This Row],[Asset Class]],tblVCDBIndex[],4,FALSE),"")</f>
        <v>4</v>
      </c>
      <c r="N103" s="24" t="str">
        <f>IFERROR(VLOOKUP(10*tblRiskRegister322[[#This Row],[Safeguard Maturity Score]]+tblRiskRegister322[[#This Row],[VCDB Index]],tblHITIndexWeightTable[],4,FALSE),"")</f>
        <v/>
      </c>
      <c r="O103" s="24">
        <f>VLOOKUP(tblRiskRegister322[[#This Row],[Asset Class]],tblInherentImpacts3046[],2,FALSE)</f>
        <v>2</v>
      </c>
      <c r="P103" s="24">
        <f>VLOOKUP(tblRiskRegister322[[#This Row],[Asset Class]],tblInherentImpacts3046[],3,FALSE)</f>
        <v>1</v>
      </c>
      <c r="Q103" s="24">
        <f>VLOOKUP(tblRiskRegister322[[#This Row],[Asset Class]],tblInherentImpacts3046[],4,FALSE)</f>
        <v>3</v>
      </c>
      <c r="R103" s="24">
        <f>VLOOKUP(tblRiskRegister322[[#This Row],[Asset Class]],tblInherentImpacts3046[],5,FALSE)</f>
        <v>3</v>
      </c>
      <c r="S103" s="24" t="str">
        <f>IFERROR(MAX(tblRiskRegister322[[#This Row],[Impact to Mission]:[Impact to Obligations]])*tblRiskRegister322[[#This Row],[Expectancy Score]],"")</f>
        <v/>
      </c>
      <c r="T103" s="24" t="str">
        <f>tblRiskRegister322[[#This Row],[Risk Score]]</f>
        <v/>
      </c>
      <c r="U103" s="13"/>
      <c r="V103" s="86">
        <v>13.2</v>
      </c>
      <c r="W103" s="15" t="s">
        <v>193</v>
      </c>
      <c r="X103" s="15" t="s">
        <v>398</v>
      </c>
      <c r="Y103" s="26"/>
      <c r="Z103" s="16"/>
      <c r="AA103" s="23" t="str">
        <f>IFERROR(VLOOKUP(10*tblRiskRegister322[[#This Row],[Risk Treatment Safeguard Maturity Score]]+tblRiskRegister322[[#This Row],[VCDB Index]],tblHITIndexWeightTable[],4,FALSE),"")</f>
        <v/>
      </c>
      <c r="AB103" s="108">
        <f>VLOOKUP(tblRiskRegister322[[#This Row],[Asset Class]],tblInherentImpacts3046[],2,FALSE)</f>
        <v>2</v>
      </c>
      <c r="AC103" s="108">
        <f>VLOOKUP(tblRiskRegister322[[#This Row],[Asset Class]],tblInherentImpacts3046[],3,FALSE)</f>
        <v>1</v>
      </c>
      <c r="AD103" s="108">
        <f>VLOOKUP(tblRiskRegister322[[#This Row],[Asset Class]],tblInherentImpacts3046[],4,FALSE)</f>
        <v>3</v>
      </c>
      <c r="AE103" s="108">
        <f>VLOOKUP(tblRiskRegister322[[#This Row],[Asset Class]],tblInherentImpacts3046[],5,FALSE)</f>
        <v>3</v>
      </c>
      <c r="AF103" s="23" t="str">
        <f>IFERROR(MAX(tblRiskRegister322[[#This Row],[Risk Treatment Safeguard Impact to Mission]:[Risk Treatment Safeguard Impact to Obligations]])*tblRiskRegister322[[#This Row],[Risk Treatment
Safeguard Expectancy Score]],"")</f>
        <v/>
      </c>
      <c r="AG103" s="23" t="str" cm="1">
        <f t="array" ref="AG103">IF(tblRiskRegister322[[#This Row],[Risk Score]]&gt;=AcceptableRisk1,IF(tblRiskRegister322[[#This Row],[Risk Treatment Safeguard Risk Score]]&lt;AcceptableRisk1, IF(tblRiskRegister322[[#This Row],[Risk Treatment Safeguard Risk Score]]&lt;tblRiskRegister322[[#This Row],[Risk Score]],"Yes","No"),"No"),"Yes")</f>
        <v>No</v>
      </c>
      <c r="AH103" s="17"/>
      <c r="AI103" s="17"/>
      <c r="AJ103" s="18"/>
    </row>
    <row r="104" spans="2:36" ht="42">
      <c r="B104" s="15" t="s">
        <v>92</v>
      </c>
      <c r="C104" s="15"/>
      <c r="D104" s="13">
        <v>13.3</v>
      </c>
      <c r="E104" s="14" t="s">
        <v>222</v>
      </c>
      <c r="F104" s="13"/>
      <c r="G104" s="13" t="s">
        <v>429</v>
      </c>
      <c r="H104" s="13" t="s">
        <v>524</v>
      </c>
      <c r="I104" s="14"/>
      <c r="J104" s="14"/>
      <c r="K104" s="14"/>
      <c r="L104" s="16"/>
      <c r="M104" s="24">
        <f>IFERROR(VLOOKUP(tblRiskRegister322[[#This Row],[Asset Class]],tblVCDBIndex[],4,FALSE),"")</f>
        <v>1</v>
      </c>
      <c r="N104" s="24" t="str">
        <f>IFERROR(VLOOKUP(10*tblRiskRegister322[[#This Row],[Safeguard Maturity Score]]+tblRiskRegister322[[#This Row],[VCDB Index]],tblHITIndexWeightTable[],4,FALSE),"")</f>
        <v/>
      </c>
      <c r="O104" s="24">
        <f>VLOOKUP(tblRiskRegister322[[#This Row],[Asset Class]],tblInherentImpacts3046[],2,FALSE)</f>
        <v>3</v>
      </c>
      <c r="P104" s="24">
        <f>VLOOKUP(tblRiskRegister322[[#This Row],[Asset Class]],tblInherentImpacts3046[],3,FALSE)</f>
        <v>4</v>
      </c>
      <c r="Q104" s="24">
        <f>VLOOKUP(tblRiskRegister322[[#This Row],[Asset Class]],tblInherentImpacts3046[],4,FALSE)</f>
        <v>3</v>
      </c>
      <c r="R104" s="24">
        <f>VLOOKUP(tblRiskRegister322[[#This Row],[Asset Class]],tblInherentImpacts3046[],5,FALSE)</f>
        <v>3</v>
      </c>
      <c r="S104" s="24" t="str">
        <f>IFERROR(MAX(tblRiskRegister322[[#This Row],[Impact to Mission]:[Impact to Obligations]])*tblRiskRegister322[[#This Row],[Expectancy Score]],"")</f>
        <v/>
      </c>
      <c r="T104" s="24" t="str">
        <f>tblRiskRegister322[[#This Row],[Risk Score]]</f>
        <v/>
      </c>
      <c r="U104" s="13"/>
      <c r="V104" s="86">
        <v>13.3</v>
      </c>
      <c r="W104" s="15" t="s">
        <v>222</v>
      </c>
      <c r="X104" s="15" t="s">
        <v>399</v>
      </c>
      <c r="Y104" s="26"/>
      <c r="Z104" s="16"/>
      <c r="AA104" s="23" t="str">
        <f>IFERROR(VLOOKUP(10*tblRiskRegister322[[#This Row],[Risk Treatment Safeguard Maturity Score]]+tblRiskRegister322[[#This Row],[VCDB Index]],tblHITIndexWeightTable[],4,FALSE),"")</f>
        <v/>
      </c>
      <c r="AB104" s="108">
        <f>VLOOKUP(tblRiskRegister322[[#This Row],[Asset Class]],tblInherentImpacts3046[],2,FALSE)</f>
        <v>3</v>
      </c>
      <c r="AC104" s="108">
        <f>VLOOKUP(tblRiskRegister322[[#This Row],[Asset Class]],tblInherentImpacts3046[],3,FALSE)</f>
        <v>4</v>
      </c>
      <c r="AD104" s="108">
        <f>VLOOKUP(tblRiskRegister322[[#This Row],[Asset Class]],tblInherentImpacts3046[],4,FALSE)</f>
        <v>3</v>
      </c>
      <c r="AE104" s="108">
        <f>VLOOKUP(tblRiskRegister322[[#This Row],[Asset Class]],tblInherentImpacts3046[],5,FALSE)</f>
        <v>3</v>
      </c>
      <c r="AF104" s="23" t="str">
        <f>IFERROR(MAX(tblRiskRegister322[[#This Row],[Risk Treatment Safeguard Impact to Mission]:[Risk Treatment Safeguard Impact to Obligations]])*tblRiskRegister322[[#This Row],[Risk Treatment
Safeguard Expectancy Score]],"")</f>
        <v/>
      </c>
      <c r="AG104" s="23" t="str" cm="1">
        <f t="array" ref="AG104">IF(tblRiskRegister322[[#This Row],[Risk Score]]&gt;=AcceptableRisk1,IF(tblRiskRegister322[[#This Row],[Risk Treatment Safeguard Risk Score]]&lt;AcceptableRisk1, IF(tblRiskRegister322[[#This Row],[Risk Treatment Safeguard Risk Score]]&lt;tblRiskRegister322[[#This Row],[Risk Score]],"Yes","No"),"No"),"Yes")</f>
        <v>No</v>
      </c>
      <c r="AH104" s="17"/>
      <c r="AI104" s="17"/>
      <c r="AJ104" s="18"/>
    </row>
    <row r="105" spans="2:36" ht="28">
      <c r="B105" s="15" t="s">
        <v>92</v>
      </c>
      <c r="C105" s="15"/>
      <c r="D105" s="13">
        <v>13.4</v>
      </c>
      <c r="E105" s="14" t="s">
        <v>223</v>
      </c>
      <c r="F105" s="13"/>
      <c r="G105" s="13" t="s">
        <v>429</v>
      </c>
      <c r="H105" s="13" t="s">
        <v>523</v>
      </c>
      <c r="I105" s="14"/>
      <c r="J105" s="14"/>
      <c r="K105" s="14"/>
      <c r="L105" s="16"/>
      <c r="M105" s="24">
        <f>IFERROR(VLOOKUP(tblRiskRegister322[[#This Row],[Asset Class]],tblVCDBIndex[],4,FALSE),"")</f>
        <v>1</v>
      </c>
      <c r="N105" s="24" t="str">
        <f>IFERROR(VLOOKUP(10*tblRiskRegister322[[#This Row],[Safeguard Maturity Score]]+tblRiskRegister322[[#This Row],[VCDB Index]],tblHITIndexWeightTable[],4,FALSE),"")</f>
        <v/>
      </c>
      <c r="O105" s="24">
        <f>VLOOKUP(tblRiskRegister322[[#This Row],[Asset Class]],tblInherentImpacts3046[],2,FALSE)</f>
        <v>3</v>
      </c>
      <c r="P105" s="24">
        <f>VLOOKUP(tblRiskRegister322[[#This Row],[Asset Class]],tblInherentImpacts3046[],3,FALSE)</f>
        <v>4</v>
      </c>
      <c r="Q105" s="24">
        <f>VLOOKUP(tblRiskRegister322[[#This Row],[Asset Class]],tblInherentImpacts3046[],4,FALSE)</f>
        <v>3</v>
      </c>
      <c r="R105" s="24">
        <f>VLOOKUP(tblRiskRegister322[[#This Row],[Asset Class]],tblInherentImpacts3046[],5,FALSE)</f>
        <v>3</v>
      </c>
      <c r="S105" s="24" t="str">
        <f>IFERROR(MAX(tblRiskRegister322[[#This Row],[Impact to Mission]:[Impact to Obligations]])*tblRiskRegister322[[#This Row],[Expectancy Score]],"")</f>
        <v/>
      </c>
      <c r="T105" s="24" t="str">
        <f>tblRiskRegister322[[#This Row],[Risk Score]]</f>
        <v/>
      </c>
      <c r="U105" s="13"/>
      <c r="V105" s="86">
        <v>13.4</v>
      </c>
      <c r="W105" s="15" t="s">
        <v>223</v>
      </c>
      <c r="X105" s="15" t="s">
        <v>400</v>
      </c>
      <c r="Y105" s="26"/>
      <c r="Z105" s="16"/>
      <c r="AA105" s="23" t="str">
        <f>IFERROR(VLOOKUP(10*tblRiskRegister322[[#This Row],[Risk Treatment Safeguard Maturity Score]]+tblRiskRegister322[[#This Row],[VCDB Index]],tblHITIndexWeightTable[],4,FALSE),"")</f>
        <v/>
      </c>
      <c r="AB105" s="108">
        <f>VLOOKUP(tblRiskRegister322[[#This Row],[Asset Class]],tblInherentImpacts3046[],2,FALSE)</f>
        <v>3</v>
      </c>
      <c r="AC105" s="108">
        <f>VLOOKUP(tblRiskRegister322[[#This Row],[Asset Class]],tblInherentImpacts3046[],3,FALSE)</f>
        <v>4</v>
      </c>
      <c r="AD105" s="108">
        <f>VLOOKUP(tblRiskRegister322[[#This Row],[Asset Class]],tblInherentImpacts3046[],4,FALSE)</f>
        <v>3</v>
      </c>
      <c r="AE105" s="108">
        <f>VLOOKUP(tblRiskRegister322[[#This Row],[Asset Class]],tblInherentImpacts3046[],5,FALSE)</f>
        <v>3</v>
      </c>
      <c r="AF105" s="23" t="str">
        <f>IFERROR(MAX(tblRiskRegister322[[#This Row],[Risk Treatment Safeguard Impact to Mission]:[Risk Treatment Safeguard Impact to Obligations]])*tblRiskRegister322[[#This Row],[Risk Treatment
Safeguard Expectancy Score]],"")</f>
        <v/>
      </c>
      <c r="AG105" s="23" t="str" cm="1">
        <f t="array" ref="AG105">IF(tblRiskRegister322[[#This Row],[Risk Score]]&gt;=AcceptableRisk1,IF(tblRiskRegister322[[#This Row],[Risk Treatment Safeguard Risk Score]]&lt;AcceptableRisk1, IF(tblRiskRegister322[[#This Row],[Risk Treatment Safeguard Risk Score]]&lt;tblRiskRegister322[[#This Row],[Risk Score]],"Yes","No"),"No"),"Yes")</f>
        <v>No</v>
      </c>
      <c r="AH105" s="17"/>
      <c r="AI105" s="17"/>
      <c r="AJ105" s="18"/>
    </row>
    <row r="106" spans="2:36" ht="56">
      <c r="B106" s="15" t="s">
        <v>91</v>
      </c>
      <c r="C106" s="15"/>
      <c r="D106" s="13">
        <v>13.5</v>
      </c>
      <c r="E106" s="14" t="s">
        <v>194</v>
      </c>
      <c r="F106" s="13"/>
      <c r="G106" s="13" t="s">
        <v>429</v>
      </c>
      <c r="H106" s="13" t="s">
        <v>523</v>
      </c>
      <c r="I106" s="14"/>
      <c r="J106" s="14"/>
      <c r="K106" s="14"/>
      <c r="L106" s="16"/>
      <c r="M106" s="24">
        <f>IFERROR(VLOOKUP(tblRiskRegister322[[#This Row],[Asset Class]],tblVCDBIndex[],4,FALSE),"")</f>
        <v>4</v>
      </c>
      <c r="N106" s="24" t="str">
        <f>IFERROR(VLOOKUP(10*tblRiskRegister322[[#This Row],[Safeguard Maturity Score]]+tblRiskRegister322[[#This Row],[VCDB Index]],tblHITIndexWeightTable[],4,FALSE),"")</f>
        <v/>
      </c>
      <c r="O106" s="24">
        <f>VLOOKUP(tblRiskRegister322[[#This Row],[Asset Class]],tblInherentImpacts3046[],2,FALSE)</f>
        <v>2</v>
      </c>
      <c r="P106" s="24">
        <f>VLOOKUP(tblRiskRegister322[[#This Row],[Asset Class]],tblInherentImpacts3046[],3,FALSE)</f>
        <v>1</v>
      </c>
      <c r="Q106" s="24">
        <f>VLOOKUP(tblRiskRegister322[[#This Row],[Asset Class]],tblInherentImpacts3046[],4,FALSE)</f>
        <v>3</v>
      </c>
      <c r="R106" s="24">
        <f>VLOOKUP(tblRiskRegister322[[#This Row],[Asset Class]],tblInherentImpacts3046[],5,FALSE)</f>
        <v>3</v>
      </c>
      <c r="S106" s="24" t="str">
        <f>IFERROR(MAX(tblRiskRegister322[[#This Row],[Impact to Mission]:[Impact to Obligations]])*tblRiskRegister322[[#This Row],[Expectancy Score]],"")</f>
        <v/>
      </c>
      <c r="T106" s="24" t="str">
        <f>tblRiskRegister322[[#This Row],[Risk Score]]</f>
        <v/>
      </c>
      <c r="U106" s="13"/>
      <c r="V106" s="86">
        <v>13.5</v>
      </c>
      <c r="W106" s="15" t="s">
        <v>194</v>
      </c>
      <c r="X106" s="15" t="s">
        <v>401</v>
      </c>
      <c r="Y106" s="26"/>
      <c r="Z106" s="16"/>
      <c r="AA106" s="23" t="str">
        <f>IFERROR(VLOOKUP(10*tblRiskRegister322[[#This Row],[Risk Treatment Safeguard Maturity Score]]+tblRiskRegister322[[#This Row],[VCDB Index]],tblHITIndexWeightTable[],4,FALSE),"")</f>
        <v/>
      </c>
      <c r="AB106" s="108">
        <f>VLOOKUP(tblRiskRegister322[[#This Row],[Asset Class]],tblInherentImpacts3046[],2,FALSE)</f>
        <v>2</v>
      </c>
      <c r="AC106" s="108">
        <f>VLOOKUP(tblRiskRegister322[[#This Row],[Asset Class]],tblInherentImpacts3046[],3,FALSE)</f>
        <v>1</v>
      </c>
      <c r="AD106" s="108">
        <f>VLOOKUP(tblRiskRegister322[[#This Row],[Asset Class]],tblInherentImpacts3046[],4,FALSE)</f>
        <v>3</v>
      </c>
      <c r="AE106" s="108">
        <f>VLOOKUP(tblRiskRegister322[[#This Row],[Asset Class]],tblInherentImpacts3046[],5,FALSE)</f>
        <v>3</v>
      </c>
      <c r="AF106" s="23" t="str">
        <f>IFERROR(MAX(tblRiskRegister322[[#This Row],[Risk Treatment Safeguard Impact to Mission]:[Risk Treatment Safeguard Impact to Obligations]])*tblRiskRegister322[[#This Row],[Risk Treatment
Safeguard Expectancy Score]],"")</f>
        <v/>
      </c>
      <c r="AG106" s="23" t="str" cm="1">
        <f t="array" ref="AG106">IF(tblRiskRegister322[[#This Row],[Risk Score]]&gt;=AcceptableRisk1,IF(tblRiskRegister322[[#This Row],[Risk Treatment Safeguard Risk Score]]&lt;AcceptableRisk1, IF(tblRiskRegister322[[#This Row],[Risk Treatment Safeguard Risk Score]]&lt;tblRiskRegister322[[#This Row],[Risk Score]],"Yes","No"),"No"),"Yes")</f>
        <v>No</v>
      </c>
      <c r="AH106" s="17"/>
      <c r="AI106" s="17"/>
      <c r="AJ106" s="18"/>
    </row>
    <row r="107" spans="2:36" ht="28">
      <c r="B107" s="15" t="s">
        <v>92</v>
      </c>
      <c r="C107" s="15"/>
      <c r="D107" s="13">
        <v>13.6</v>
      </c>
      <c r="E107" s="14" t="s">
        <v>224</v>
      </c>
      <c r="F107" s="13"/>
      <c r="G107" s="13" t="s">
        <v>429</v>
      </c>
      <c r="H107" s="13" t="s">
        <v>524</v>
      </c>
      <c r="I107" s="14"/>
      <c r="J107" s="14"/>
      <c r="K107" s="14"/>
      <c r="L107" s="16"/>
      <c r="M107" s="24">
        <f>IFERROR(VLOOKUP(tblRiskRegister322[[#This Row],[Asset Class]],tblVCDBIndex[],4,FALSE),"")</f>
        <v>1</v>
      </c>
      <c r="N107" s="24" t="str">
        <f>IFERROR(VLOOKUP(10*tblRiskRegister322[[#This Row],[Safeguard Maturity Score]]+tblRiskRegister322[[#This Row],[VCDB Index]],tblHITIndexWeightTable[],4,FALSE),"")</f>
        <v/>
      </c>
      <c r="O107" s="24">
        <f>VLOOKUP(tblRiskRegister322[[#This Row],[Asset Class]],tblInherentImpacts3046[],2,FALSE)</f>
        <v>3</v>
      </c>
      <c r="P107" s="24">
        <f>VLOOKUP(tblRiskRegister322[[#This Row],[Asset Class]],tblInherentImpacts3046[],3,FALSE)</f>
        <v>4</v>
      </c>
      <c r="Q107" s="24">
        <f>VLOOKUP(tblRiskRegister322[[#This Row],[Asset Class]],tblInherentImpacts3046[],4,FALSE)</f>
        <v>3</v>
      </c>
      <c r="R107" s="24">
        <f>VLOOKUP(tblRiskRegister322[[#This Row],[Asset Class]],tblInherentImpacts3046[],5,FALSE)</f>
        <v>3</v>
      </c>
      <c r="S107" s="24" t="str">
        <f>IFERROR(MAX(tblRiskRegister322[[#This Row],[Impact to Mission]:[Impact to Obligations]])*tblRiskRegister322[[#This Row],[Expectancy Score]],"")</f>
        <v/>
      </c>
      <c r="T107" s="24" t="str">
        <f>tblRiskRegister322[[#This Row],[Risk Score]]</f>
        <v/>
      </c>
      <c r="U107" s="13"/>
      <c r="V107" s="86">
        <v>13.6</v>
      </c>
      <c r="W107" s="15" t="s">
        <v>224</v>
      </c>
      <c r="X107" s="15" t="s">
        <v>402</v>
      </c>
      <c r="Y107" s="26"/>
      <c r="Z107" s="16"/>
      <c r="AA107" s="23" t="str">
        <f>IFERROR(VLOOKUP(10*tblRiskRegister322[[#This Row],[Risk Treatment Safeguard Maturity Score]]+tblRiskRegister322[[#This Row],[VCDB Index]],tblHITIndexWeightTable[],4,FALSE),"")</f>
        <v/>
      </c>
      <c r="AB107" s="108">
        <f>VLOOKUP(tblRiskRegister322[[#This Row],[Asset Class]],tblInherentImpacts3046[],2,FALSE)</f>
        <v>3</v>
      </c>
      <c r="AC107" s="108">
        <f>VLOOKUP(tblRiskRegister322[[#This Row],[Asset Class]],tblInherentImpacts3046[],3,FALSE)</f>
        <v>4</v>
      </c>
      <c r="AD107" s="108">
        <f>VLOOKUP(tblRiskRegister322[[#This Row],[Asset Class]],tblInherentImpacts3046[],4,FALSE)</f>
        <v>3</v>
      </c>
      <c r="AE107" s="108">
        <f>VLOOKUP(tblRiskRegister322[[#This Row],[Asset Class]],tblInherentImpacts3046[],5,FALSE)</f>
        <v>3</v>
      </c>
      <c r="AF107" s="23" t="str">
        <f>IFERROR(MAX(tblRiskRegister322[[#This Row],[Risk Treatment Safeguard Impact to Mission]:[Risk Treatment Safeguard Impact to Obligations]])*tblRiskRegister322[[#This Row],[Risk Treatment
Safeguard Expectancy Score]],"")</f>
        <v/>
      </c>
      <c r="AG107" s="23" t="str" cm="1">
        <f t="array" ref="AG107">IF(tblRiskRegister322[[#This Row],[Risk Score]]&gt;=AcceptableRisk1,IF(tblRiskRegister322[[#This Row],[Risk Treatment Safeguard Risk Score]]&lt;AcceptableRisk1, IF(tblRiskRegister322[[#This Row],[Risk Treatment Safeguard Risk Score]]&lt;tblRiskRegister322[[#This Row],[Risk Score]],"Yes","No"),"No"),"Yes")</f>
        <v>No</v>
      </c>
      <c r="AH107" s="17"/>
      <c r="AI107" s="17"/>
      <c r="AJ107" s="18"/>
    </row>
    <row r="108" spans="2:36" ht="70">
      <c r="B108" s="15" t="s">
        <v>528</v>
      </c>
      <c r="C108" s="15"/>
      <c r="D108" s="13">
        <v>14.1</v>
      </c>
      <c r="E108" s="14" t="s">
        <v>78</v>
      </c>
      <c r="F108" s="13" t="s">
        <v>429</v>
      </c>
      <c r="G108" s="13" t="s">
        <v>429</v>
      </c>
      <c r="H108" s="13" t="s">
        <v>532</v>
      </c>
      <c r="I108" s="14"/>
      <c r="J108" s="14"/>
      <c r="K108" s="14"/>
      <c r="L108" s="16"/>
      <c r="M108" s="24">
        <f>IFERROR(VLOOKUP(tblRiskRegister322[[#This Row],[Asset Class]],tblVCDBIndex[],4,FALSE),"")</f>
        <v>2</v>
      </c>
      <c r="N108" s="24" t="str">
        <f>IFERROR(VLOOKUP(10*tblRiskRegister322[[#This Row],[Safeguard Maturity Score]]+tblRiskRegister322[[#This Row],[VCDB Index]],tblHITIndexWeightTable[],4,FALSE),"")</f>
        <v/>
      </c>
      <c r="O108" s="24">
        <f>VLOOKUP(tblRiskRegister322[[#This Row],[Asset Class]],tblInherentImpacts3046[],2,FALSE)</f>
        <v>2</v>
      </c>
      <c r="P108" s="24">
        <f>VLOOKUP(tblRiskRegister322[[#This Row],[Asset Class]],tblInherentImpacts3046[],3,FALSE)</f>
        <v>3</v>
      </c>
      <c r="Q108" s="24">
        <f>VLOOKUP(tblRiskRegister322[[#This Row],[Asset Class]],tblInherentImpacts3046[],4,FALSE)</f>
        <v>2</v>
      </c>
      <c r="R108" s="24">
        <f>VLOOKUP(tblRiskRegister322[[#This Row],[Asset Class]],tblInherentImpacts3046[],5,FALSE)</f>
        <v>2</v>
      </c>
      <c r="S108" s="24" t="str">
        <f>IFERROR(MAX(tblRiskRegister322[[#This Row],[Impact to Mission]:[Impact to Obligations]])*tblRiskRegister322[[#This Row],[Expectancy Score]],"")</f>
        <v/>
      </c>
      <c r="T108" s="24" t="str">
        <f>tblRiskRegister322[[#This Row],[Risk Score]]</f>
        <v/>
      </c>
      <c r="U108" s="13"/>
      <c r="V108" s="86">
        <v>14.1</v>
      </c>
      <c r="W108" s="15" t="s">
        <v>78</v>
      </c>
      <c r="X108" s="15" t="s">
        <v>403</v>
      </c>
      <c r="Y108" s="26"/>
      <c r="Z108" s="16"/>
      <c r="AA108" s="23" t="str">
        <f>IFERROR(VLOOKUP(10*tblRiskRegister322[[#This Row],[Risk Treatment Safeguard Maturity Score]]+tblRiskRegister322[[#This Row],[VCDB Index]],tblHITIndexWeightTable[],4,FALSE),"")</f>
        <v/>
      </c>
      <c r="AB108" s="108">
        <f>VLOOKUP(tblRiskRegister322[[#This Row],[Asset Class]],tblInherentImpacts3046[],2,FALSE)</f>
        <v>2</v>
      </c>
      <c r="AC108" s="108">
        <f>VLOOKUP(tblRiskRegister322[[#This Row],[Asset Class]],tblInherentImpacts3046[],3,FALSE)</f>
        <v>3</v>
      </c>
      <c r="AD108" s="108">
        <f>VLOOKUP(tblRiskRegister322[[#This Row],[Asset Class]],tblInherentImpacts3046[],4,FALSE)</f>
        <v>2</v>
      </c>
      <c r="AE108" s="108">
        <f>VLOOKUP(tblRiskRegister322[[#This Row],[Asset Class]],tblInherentImpacts3046[],5,FALSE)</f>
        <v>2</v>
      </c>
      <c r="AF108" s="23" t="str">
        <f>IFERROR(MAX(tblRiskRegister322[[#This Row],[Risk Treatment Safeguard Impact to Mission]:[Risk Treatment Safeguard Impact to Obligations]])*tblRiskRegister322[[#This Row],[Risk Treatment
Safeguard Expectancy Score]],"")</f>
        <v/>
      </c>
      <c r="AG108" s="23" t="str" cm="1">
        <f t="array" ref="AG108">IF(tblRiskRegister322[[#This Row],[Risk Score]]&gt;=AcceptableRisk1,IF(tblRiskRegister322[[#This Row],[Risk Treatment Safeguard Risk Score]]&lt;AcceptableRisk1, IF(tblRiskRegister322[[#This Row],[Risk Treatment Safeguard Risk Score]]&lt;tblRiskRegister322[[#This Row],[Risk Score]],"Yes","No"),"No"),"Yes")</f>
        <v>No</v>
      </c>
      <c r="AH108" s="17"/>
      <c r="AI108" s="17"/>
      <c r="AJ108" s="18"/>
    </row>
    <row r="109" spans="2:36" ht="42">
      <c r="B109" s="15" t="s">
        <v>93</v>
      </c>
      <c r="C109" s="15"/>
      <c r="D109" s="13">
        <v>14.2</v>
      </c>
      <c r="E109" s="14" t="s">
        <v>79</v>
      </c>
      <c r="F109" s="13" t="s">
        <v>429</v>
      </c>
      <c r="G109" s="13" t="s">
        <v>429</v>
      </c>
      <c r="H109" s="13" t="s">
        <v>523</v>
      </c>
      <c r="I109" s="14"/>
      <c r="J109" s="14"/>
      <c r="K109" s="14"/>
      <c r="L109" s="16"/>
      <c r="M109" s="24">
        <f>IFERROR(VLOOKUP(tblRiskRegister322[[#This Row],[Asset Class]],tblVCDBIndex[],4,FALSE),"")</f>
        <v>2</v>
      </c>
      <c r="N109" s="24" t="str">
        <f>IFERROR(VLOOKUP(10*tblRiskRegister322[[#This Row],[Safeguard Maturity Score]]+tblRiskRegister322[[#This Row],[VCDB Index]],tblHITIndexWeightTable[],4,FALSE),"")</f>
        <v/>
      </c>
      <c r="O109" s="24">
        <f>VLOOKUP(tblRiskRegister322[[#This Row],[Asset Class]],tblInherentImpacts3046[],2,FALSE)</f>
        <v>3</v>
      </c>
      <c r="P109" s="24">
        <f>VLOOKUP(tblRiskRegister322[[#This Row],[Asset Class]],tblInherentImpacts3046[],3,FALSE)</f>
        <v>3</v>
      </c>
      <c r="Q109" s="24">
        <f>VLOOKUP(tblRiskRegister322[[#This Row],[Asset Class]],tblInherentImpacts3046[],4,FALSE)</f>
        <v>4</v>
      </c>
      <c r="R109" s="24">
        <f>VLOOKUP(tblRiskRegister322[[#This Row],[Asset Class]],tblInherentImpacts3046[],5,FALSE)</f>
        <v>3</v>
      </c>
      <c r="S109" s="24" t="str">
        <f>IFERROR(MAX(tblRiskRegister322[[#This Row],[Impact to Mission]:[Impact to Obligations]])*tblRiskRegister322[[#This Row],[Expectancy Score]],"")</f>
        <v/>
      </c>
      <c r="T109" s="24" t="str">
        <f>tblRiskRegister322[[#This Row],[Risk Score]]</f>
        <v/>
      </c>
      <c r="U109" s="13"/>
      <c r="V109" s="86">
        <v>14.2</v>
      </c>
      <c r="W109" s="15" t="s">
        <v>79</v>
      </c>
      <c r="X109" s="15" t="s">
        <v>558</v>
      </c>
      <c r="Y109" s="26"/>
      <c r="Z109" s="16"/>
      <c r="AA109" s="23" t="str">
        <f>IFERROR(VLOOKUP(10*tblRiskRegister322[[#This Row],[Risk Treatment Safeguard Maturity Score]]+tblRiskRegister322[[#This Row],[VCDB Index]],tblHITIndexWeightTable[],4,FALSE),"")</f>
        <v/>
      </c>
      <c r="AB109" s="108">
        <f>VLOOKUP(tblRiskRegister322[[#This Row],[Asset Class]],tblInherentImpacts3046[],2,FALSE)</f>
        <v>3</v>
      </c>
      <c r="AC109" s="108">
        <f>VLOOKUP(tblRiskRegister322[[#This Row],[Asset Class]],tblInherentImpacts3046[],3,FALSE)</f>
        <v>3</v>
      </c>
      <c r="AD109" s="108">
        <f>VLOOKUP(tblRiskRegister322[[#This Row],[Asset Class]],tblInherentImpacts3046[],4,FALSE)</f>
        <v>4</v>
      </c>
      <c r="AE109" s="108">
        <f>VLOOKUP(tblRiskRegister322[[#This Row],[Asset Class]],tblInherentImpacts3046[],5,FALSE)</f>
        <v>3</v>
      </c>
      <c r="AF109" s="23" t="str">
        <f>IFERROR(MAX(tblRiskRegister322[[#This Row],[Risk Treatment Safeguard Impact to Mission]:[Risk Treatment Safeguard Impact to Obligations]])*tblRiskRegister322[[#This Row],[Risk Treatment
Safeguard Expectancy Score]],"")</f>
        <v/>
      </c>
      <c r="AG109" s="23" t="str" cm="1">
        <f t="array" ref="AG109">IF(tblRiskRegister322[[#This Row],[Risk Score]]&gt;=AcceptableRisk1,IF(tblRiskRegister322[[#This Row],[Risk Treatment Safeguard Risk Score]]&lt;AcceptableRisk1, IF(tblRiskRegister322[[#This Row],[Risk Treatment Safeguard Risk Score]]&lt;tblRiskRegister322[[#This Row],[Risk Score]],"Yes","No"),"No"),"Yes")</f>
        <v>No</v>
      </c>
      <c r="AH109" s="17"/>
      <c r="AI109" s="17"/>
      <c r="AJ109" s="18"/>
    </row>
    <row r="110" spans="2:36" ht="28">
      <c r="B110" s="15" t="s">
        <v>93</v>
      </c>
      <c r="C110" s="15"/>
      <c r="D110" s="13">
        <v>14.3</v>
      </c>
      <c r="E110" s="14" t="s">
        <v>80</v>
      </c>
      <c r="F110" s="13" t="s">
        <v>429</v>
      </c>
      <c r="G110" s="13" t="s">
        <v>429</v>
      </c>
      <c r="H110" s="13" t="s">
        <v>523</v>
      </c>
      <c r="I110" s="14"/>
      <c r="J110" s="14"/>
      <c r="K110" s="14"/>
      <c r="L110" s="16"/>
      <c r="M110" s="24">
        <f>IFERROR(VLOOKUP(tblRiskRegister322[[#This Row],[Asset Class]],tblVCDBIndex[],4,FALSE),"")</f>
        <v>2</v>
      </c>
      <c r="N110" s="24" t="str">
        <f>IFERROR(VLOOKUP(10*tblRiskRegister322[[#This Row],[Safeguard Maturity Score]]+tblRiskRegister322[[#This Row],[VCDB Index]],tblHITIndexWeightTable[],4,FALSE),"")</f>
        <v/>
      </c>
      <c r="O110" s="24">
        <f>VLOOKUP(tblRiskRegister322[[#This Row],[Asset Class]],tblInherentImpacts3046[],2,FALSE)</f>
        <v>3</v>
      </c>
      <c r="P110" s="24">
        <f>VLOOKUP(tblRiskRegister322[[#This Row],[Asset Class]],tblInherentImpacts3046[],3,FALSE)</f>
        <v>3</v>
      </c>
      <c r="Q110" s="24">
        <f>VLOOKUP(tblRiskRegister322[[#This Row],[Asset Class]],tblInherentImpacts3046[],4,FALSE)</f>
        <v>4</v>
      </c>
      <c r="R110" s="24">
        <f>VLOOKUP(tblRiskRegister322[[#This Row],[Asset Class]],tblInherentImpacts3046[],5,FALSE)</f>
        <v>3</v>
      </c>
      <c r="S110" s="24" t="str">
        <f>IFERROR(MAX(tblRiskRegister322[[#This Row],[Impact to Mission]:[Impact to Obligations]])*tblRiskRegister322[[#This Row],[Expectancy Score]],"")</f>
        <v/>
      </c>
      <c r="T110" s="24" t="str">
        <f>tblRiskRegister322[[#This Row],[Risk Score]]</f>
        <v/>
      </c>
      <c r="U110" s="13"/>
      <c r="V110" s="86">
        <v>14.3</v>
      </c>
      <c r="W110" s="15" t="s">
        <v>80</v>
      </c>
      <c r="X110" s="15" t="s">
        <v>404</v>
      </c>
      <c r="Y110" s="26"/>
      <c r="Z110" s="16"/>
      <c r="AA110" s="23" t="str">
        <f>IFERROR(VLOOKUP(10*tblRiskRegister322[[#This Row],[Risk Treatment Safeguard Maturity Score]]+tblRiskRegister322[[#This Row],[VCDB Index]],tblHITIndexWeightTable[],4,FALSE),"")</f>
        <v/>
      </c>
      <c r="AB110" s="108">
        <f>VLOOKUP(tblRiskRegister322[[#This Row],[Asset Class]],tblInherentImpacts3046[],2,FALSE)</f>
        <v>3</v>
      </c>
      <c r="AC110" s="108">
        <f>VLOOKUP(tblRiskRegister322[[#This Row],[Asset Class]],tblInherentImpacts3046[],3,FALSE)</f>
        <v>3</v>
      </c>
      <c r="AD110" s="108">
        <f>VLOOKUP(tblRiskRegister322[[#This Row],[Asset Class]],tblInherentImpacts3046[],4,FALSE)</f>
        <v>4</v>
      </c>
      <c r="AE110" s="108">
        <f>VLOOKUP(tblRiskRegister322[[#This Row],[Asset Class]],tblInherentImpacts3046[],5,FALSE)</f>
        <v>3</v>
      </c>
      <c r="AF110" s="23" t="str">
        <f>IFERROR(MAX(tblRiskRegister322[[#This Row],[Risk Treatment Safeguard Impact to Mission]:[Risk Treatment Safeguard Impact to Obligations]])*tblRiskRegister322[[#This Row],[Risk Treatment
Safeguard Expectancy Score]],"")</f>
        <v/>
      </c>
      <c r="AG110" s="23" t="str" cm="1">
        <f t="array" ref="AG110">IF(tblRiskRegister322[[#This Row],[Risk Score]]&gt;=AcceptableRisk1,IF(tblRiskRegister322[[#This Row],[Risk Treatment Safeguard Risk Score]]&lt;AcceptableRisk1, IF(tblRiskRegister322[[#This Row],[Risk Treatment Safeguard Risk Score]]&lt;tblRiskRegister322[[#This Row],[Risk Score]],"Yes","No"),"No"),"Yes")</f>
        <v>No</v>
      </c>
      <c r="AH110" s="17"/>
      <c r="AI110" s="17"/>
      <c r="AJ110" s="18"/>
    </row>
    <row r="111" spans="2:36" ht="56">
      <c r="B111" s="15" t="s">
        <v>93</v>
      </c>
      <c r="C111" s="15"/>
      <c r="D111" s="13">
        <v>14.4</v>
      </c>
      <c r="E111" s="14" t="s">
        <v>81</v>
      </c>
      <c r="F111" s="13" t="s">
        <v>429</v>
      </c>
      <c r="G111" s="13" t="s">
        <v>429</v>
      </c>
      <c r="H111" s="13" t="s">
        <v>523</v>
      </c>
      <c r="I111" s="14"/>
      <c r="J111" s="14"/>
      <c r="K111" s="14"/>
      <c r="L111" s="16"/>
      <c r="M111" s="24">
        <f>IFERROR(VLOOKUP(tblRiskRegister322[[#This Row],[Asset Class]],tblVCDBIndex[],4,FALSE),"")</f>
        <v>2</v>
      </c>
      <c r="N111" s="24" t="str">
        <f>IFERROR(VLOOKUP(10*tblRiskRegister322[[#This Row],[Safeguard Maturity Score]]+tblRiskRegister322[[#This Row],[VCDB Index]],tblHITIndexWeightTable[],4,FALSE),"")</f>
        <v/>
      </c>
      <c r="O111" s="24">
        <f>VLOOKUP(tblRiskRegister322[[#This Row],[Asset Class]],tblInherentImpacts3046[],2,FALSE)</f>
        <v>3</v>
      </c>
      <c r="P111" s="24">
        <f>VLOOKUP(tblRiskRegister322[[#This Row],[Asset Class]],tblInherentImpacts3046[],3,FALSE)</f>
        <v>3</v>
      </c>
      <c r="Q111" s="24">
        <f>VLOOKUP(tblRiskRegister322[[#This Row],[Asset Class]],tblInherentImpacts3046[],4,FALSE)</f>
        <v>4</v>
      </c>
      <c r="R111" s="24">
        <f>VLOOKUP(tblRiskRegister322[[#This Row],[Asset Class]],tblInherentImpacts3046[],5,FALSE)</f>
        <v>3</v>
      </c>
      <c r="S111" s="24" t="str">
        <f>IFERROR(MAX(tblRiskRegister322[[#This Row],[Impact to Mission]:[Impact to Obligations]])*tblRiskRegister322[[#This Row],[Expectancy Score]],"")</f>
        <v/>
      </c>
      <c r="T111" s="24" t="str">
        <f>tblRiskRegister322[[#This Row],[Risk Score]]</f>
        <v/>
      </c>
      <c r="U111" s="13"/>
      <c r="V111" s="86">
        <v>14.4</v>
      </c>
      <c r="W111" s="15" t="s">
        <v>81</v>
      </c>
      <c r="X111" s="15" t="s">
        <v>405</v>
      </c>
      <c r="Y111" s="26"/>
      <c r="Z111" s="16"/>
      <c r="AA111" s="23" t="str">
        <f>IFERROR(VLOOKUP(10*tblRiskRegister322[[#This Row],[Risk Treatment Safeguard Maturity Score]]+tblRiskRegister322[[#This Row],[VCDB Index]],tblHITIndexWeightTable[],4,FALSE),"")</f>
        <v/>
      </c>
      <c r="AB111" s="108">
        <f>VLOOKUP(tblRiskRegister322[[#This Row],[Asset Class]],tblInherentImpacts3046[],2,FALSE)</f>
        <v>3</v>
      </c>
      <c r="AC111" s="108">
        <f>VLOOKUP(tblRiskRegister322[[#This Row],[Asset Class]],tblInherentImpacts3046[],3,FALSE)</f>
        <v>3</v>
      </c>
      <c r="AD111" s="108">
        <f>VLOOKUP(tblRiskRegister322[[#This Row],[Asset Class]],tblInherentImpacts3046[],4,FALSE)</f>
        <v>4</v>
      </c>
      <c r="AE111" s="108">
        <f>VLOOKUP(tblRiskRegister322[[#This Row],[Asset Class]],tblInherentImpacts3046[],5,FALSE)</f>
        <v>3</v>
      </c>
      <c r="AF111" s="23" t="str">
        <f>IFERROR(MAX(tblRiskRegister322[[#This Row],[Risk Treatment Safeguard Impact to Mission]:[Risk Treatment Safeguard Impact to Obligations]])*tblRiskRegister322[[#This Row],[Risk Treatment
Safeguard Expectancy Score]],"")</f>
        <v/>
      </c>
      <c r="AG111" s="23" t="str" cm="1">
        <f t="array" ref="AG111">IF(tblRiskRegister322[[#This Row],[Risk Score]]&gt;=AcceptableRisk1,IF(tblRiskRegister322[[#This Row],[Risk Treatment Safeguard Risk Score]]&lt;AcceptableRisk1, IF(tblRiskRegister322[[#This Row],[Risk Treatment Safeguard Risk Score]]&lt;tblRiskRegister322[[#This Row],[Risk Score]],"Yes","No"),"No"),"Yes")</f>
        <v>No</v>
      </c>
      <c r="AH111" s="17"/>
      <c r="AI111" s="17"/>
      <c r="AJ111" s="18"/>
    </row>
    <row r="112" spans="2:36" ht="42">
      <c r="B112" s="15" t="s">
        <v>93</v>
      </c>
      <c r="C112" s="15"/>
      <c r="D112" s="13">
        <v>14.5</v>
      </c>
      <c r="E112" s="14" t="s">
        <v>82</v>
      </c>
      <c r="F112" s="13" t="s">
        <v>429</v>
      </c>
      <c r="G112" s="13" t="s">
        <v>429</v>
      </c>
      <c r="H112" s="13" t="s">
        <v>523</v>
      </c>
      <c r="I112" s="14"/>
      <c r="J112" s="14"/>
      <c r="K112" s="14"/>
      <c r="L112" s="16"/>
      <c r="M112" s="24">
        <f>IFERROR(VLOOKUP(tblRiskRegister322[[#This Row],[Asset Class]],tblVCDBIndex[],4,FALSE),"")</f>
        <v>2</v>
      </c>
      <c r="N112" s="24" t="str">
        <f>IFERROR(VLOOKUP(10*tblRiskRegister322[[#This Row],[Safeguard Maturity Score]]+tblRiskRegister322[[#This Row],[VCDB Index]],tblHITIndexWeightTable[],4,FALSE),"")</f>
        <v/>
      </c>
      <c r="O112" s="24">
        <f>VLOOKUP(tblRiskRegister322[[#This Row],[Asset Class]],tblInherentImpacts3046[],2,FALSE)</f>
        <v>3</v>
      </c>
      <c r="P112" s="24">
        <f>VLOOKUP(tblRiskRegister322[[#This Row],[Asset Class]],tblInherentImpacts3046[],3,FALSE)</f>
        <v>3</v>
      </c>
      <c r="Q112" s="24">
        <f>VLOOKUP(tblRiskRegister322[[#This Row],[Asset Class]],tblInherentImpacts3046[],4,FALSE)</f>
        <v>4</v>
      </c>
      <c r="R112" s="24">
        <f>VLOOKUP(tblRiskRegister322[[#This Row],[Asset Class]],tblInherentImpacts3046[],5,FALSE)</f>
        <v>3</v>
      </c>
      <c r="S112" s="24" t="str">
        <f>IFERROR(MAX(tblRiskRegister322[[#This Row],[Impact to Mission]:[Impact to Obligations]])*tblRiskRegister322[[#This Row],[Expectancy Score]],"")</f>
        <v/>
      </c>
      <c r="T112" s="24" t="str">
        <f>tblRiskRegister322[[#This Row],[Risk Score]]</f>
        <v/>
      </c>
      <c r="U112" s="13"/>
      <c r="V112" s="86">
        <v>14.5</v>
      </c>
      <c r="W112" s="15" t="s">
        <v>82</v>
      </c>
      <c r="X112" s="15" t="s">
        <v>406</v>
      </c>
      <c r="Y112" s="26"/>
      <c r="Z112" s="16"/>
      <c r="AA112" s="23" t="str">
        <f>IFERROR(VLOOKUP(10*tblRiskRegister322[[#This Row],[Risk Treatment Safeguard Maturity Score]]+tblRiskRegister322[[#This Row],[VCDB Index]],tblHITIndexWeightTable[],4,FALSE),"")</f>
        <v/>
      </c>
      <c r="AB112" s="108">
        <f>VLOOKUP(tblRiskRegister322[[#This Row],[Asset Class]],tblInherentImpacts3046[],2,FALSE)</f>
        <v>3</v>
      </c>
      <c r="AC112" s="108">
        <f>VLOOKUP(tblRiskRegister322[[#This Row],[Asset Class]],tblInherentImpacts3046[],3,FALSE)</f>
        <v>3</v>
      </c>
      <c r="AD112" s="108">
        <f>VLOOKUP(tblRiskRegister322[[#This Row],[Asset Class]],tblInherentImpacts3046[],4,FALSE)</f>
        <v>4</v>
      </c>
      <c r="AE112" s="108">
        <f>VLOOKUP(tblRiskRegister322[[#This Row],[Asset Class]],tblInherentImpacts3046[],5,FALSE)</f>
        <v>3</v>
      </c>
      <c r="AF112" s="23" t="str">
        <f>IFERROR(MAX(tblRiskRegister322[[#This Row],[Risk Treatment Safeguard Impact to Mission]:[Risk Treatment Safeguard Impact to Obligations]])*tblRiskRegister322[[#This Row],[Risk Treatment
Safeguard Expectancy Score]],"")</f>
        <v/>
      </c>
      <c r="AG112" s="23" t="str" cm="1">
        <f t="array" ref="AG112">IF(tblRiskRegister322[[#This Row],[Risk Score]]&gt;=AcceptableRisk1,IF(tblRiskRegister322[[#This Row],[Risk Treatment Safeguard Risk Score]]&lt;AcceptableRisk1, IF(tblRiskRegister322[[#This Row],[Risk Treatment Safeguard Risk Score]]&lt;tblRiskRegister322[[#This Row],[Risk Score]],"Yes","No"),"No"),"Yes")</f>
        <v>No</v>
      </c>
      <c r="AH112" s="17"/>
      <c r="AI112" s="17"/>
      <c r="AJ112" s="18"/>
    </row>
    <row r="113" spans="2:36" ht="42">
      <c r="B113" s="15" t="s">
        <v>93</v>
      </c>
      <c r="C113" s="15"/>
      <c r="D113" s="13">
        <v>14.6</v>
      </c>
      <c r="E113" s="14" t="s">
        <v>83</v>
      </c>
      <c r="F113" s="13" t="s">
        <v>429</v>
      </c>
      <c r="G113" s="13" t="s">
        <v>429</v>
      </c>
      <c r="H113" s="13" t="s">
        <v>523</v>
      </c>
      <c r="I113" s="14"/>
      <c r="J113" s="14"/>
      <c r="K113" s="14"/>
      <c r="L113" s="16"/>
      <c r="M113" s="24">
        <f>IFERROR(VLOOKUP(tblRiskRegister322[[#This Row],[Asset Class]],tblVCDBIndex[],4,FALSE),"")</f>
        <v>2</v>
      </c>
      <c r="N113" s="24" t="str">
        <f>IFERROR(VLOOKUP(10*tblRiskRegister322[[#This Row],[Safeguard Maturity Score]]+tblRiskRegister322[[#This Row],[VCDB Index]],tblHITIndexWeightTable[],4,FALSE),"")</f>
        <v/>
      </c>
      <c r="O113" s="24">
        <f>VLOOKUP(tblRiskRegister322[[#This Row],[Asset Class]],tblInherentImpacts3046[],2,FALSE)</f>
        <v>3</v>
      </c>
      <c r="P113" s="24">
        <f>VLOOKUP(tblRiskRegister322[[#This Row],[Asset Class]],tblInherentImpacts3046[],3,FALSE)</f>
        <v>3</v>
      </c>
      <c r="Q113" s="24">
        <f>VLOOKUP(tblRiskRegister322[[#This Row],[Asset Class]],tblInherentImpacts3046[],4,FALSE)</f>
        <v>4</v>
      </c>
      <c r="R113" s="24">
        <f>VLOOKUP(tblRiskRegister322[[#This Row],[Asset Class]],tblInherentImpacts3046[],5,FALSE)</f>
        <v>3</v>
      </c>
      <c r="S113" s="24" t="str">
        <f>IFERROR(MAX(tblRiskRegister322[[#This Row],[Impact to Mission]:[Impact to Obligations]])*tblRiskRegister322[[#This Row],[Expectancy Score]],"")</f>
        <v/>
      </c>
      <c r="T113" s="24" t="str">
        <f>tblRiskRegister322[[#This Row],[Risk Score]]</f>
        <v/>
      </c>
      <c r="U113" s="13"/>
      <c r="V113" s="86">
        <v>14.6</v>
      </c>
      <c r="W113" s="15" t="s">
        <v>83</v>
      </c>
      <c r="X113" s="15" t="s">
        <v>407</v>
      </c>
      <c r="Y113" s="26"/>
      <c r="Z113" s="16"/>
      <c r="AA113" s="23" t="str">
        <f>IFERROR(VLOOKUP(10*tblRiskRegister322[[#This Row],[Risk Treatment Safeguard Maturity Score]]+tblRiskRegister322[[#This Row],[VCDB Index]],tblHITIndexWeightTable[],4,FALSE),"")</f>
        <v/>
      </c>
      <c r="AB113" s="108">
        <f>VLOOKUP(tblRiskRegister322[[#This Row],[Asset Class]],tblInherentImpacts3046[],2,FALSE)</f>
        <v>3</v>
      </c>
      <c r="AC113" s="108">
        <f>VLOOKUP(tblRiskRegister322[[#This Row],[Asset Class]],tblInherentImpacts3046[],3,FALSE)</f>
        <v>3</v>
      </c>
      <c r="AD113" s="108">
        <f>VLOOKUP(tblRiskRegister322[[#This Row],[Asset Class]],tblInherentImpacts3046[],4,FALSE)</f>
        <v>4</v>
      </c>
      <c r="AE113" s="108">
        <f>VLOOKUP(tblRiskRegister322[[#This Row],[Asset Class]],tblInherentImpacts3046[],5,FALSE)</f>
        <v>3</v>
      </c>
      <c r="AF113" s="23" t="str">
        <f>IFERROR(MAX(tblRiskRegister322[[#This Row],[Risk Treatment Safeguard Impact to Mission]:[Risk Treatment Safeguard Impact to Obligations]])*tblRiskRegister322[[#This Row],[Risk Treatment
Safeguard Expectancy Score]],"")</f>
        <v/>
      </c>
      <c r="AG113" s="23" t="str" cm="1">
        <f t="array" ref="AG113">IF(tblRiskRegister322[[#This Row],[Risk Score]]&gt;=AcceptableRisk1,IF(tblRiskRegister322[[#This Row],[Risk Treatment Safeguard Risk Score]]&lt;AcceptableRisk1, IF(tblRiskRegister322[[#This Row],[Risk Treatment Safeguard Risk Score]]&lt;tblRiskRegister322[[#This Row],[Risk Score]],"Yes","No"),"No"),"Yes")</f>
        <v>No</v>
      </c>
      <c r="AH113" s="17"/>
      <c r="AI113" s="17"/>
      <c r="AJ113" s="18"/>
    </row>
    <row r="114" spans="2:36" ht="42">
      <c r="B114" s="15" t="s">
        <v>93</v>
      </c>
      <c r="C114" s="15"/>
      <c r="D114" s="13">
        <v>14.7</v>
      </c>
      <c r="E114" s="14" t="s">
        <v>84</v>
      </c>
      <c r="F114" s="13" t="s">
        <v>429</v>
      </c>
      <c r="G114" s="13" t="s">
        <v>429</v>
      </c>
      <c r="H114" s="13" t="s">
        <v>523</v>
      </c>
      <c r="I114" s="14"/>
      <c r="J114" s="14"/>
      <c r="K114" s="14"/>
      <c r="L114" s="16"/>
      <c r="M114" s="24">
        <f>IFERROR(VLOOKUP(tblRiskRegister322[[#This Row],[Asset Class]],tblVCDBIndex[],4,FALSE),"")</f>
        <v>2</v>
      </c>
      <c r="N114" s="24" t="str">
        <f>IFERROR(VLOOKUP(10*tblRiskRegister322[[#This Row],[Safeguard Maturity Score]]+tblRiskRegister322[[#This Row],[VCDB Index]],tblHITIndexWeightTable[],4,FALSE),"")</f>
        <v/>
      </c>
      <c r="O114" s="24">
        <f>VLOOKUP(tblRiskRegister322[[#This Row],[Asset Class]],tblInherentImpacts3046[],2,FALSE)</f>
        <v>3</v>
      </c>
      <c r="P114" s="24">
        <f>VLOOKUP(tblRiskRegister322[[#This Row],[Asset Class]],tblInherentImpacts3046[],3,FALSE)</f>
        <v>3</v>
      </c>
      <c r="Q114" s="24">
        <f>VLOOKUP(tblRiskRegister322[[#This Row],[Asset Class]],tblInherentImpacts3046[],4,FALSE)</f>
        <v>4</v>
      </c>
      <c r="R114" s="24">
        <f>VLOOKUP(tblRiskRegister322[[#This Row],[Asset Class]],tblInherentImpacts3046[],5,FALSE)</f>
        <v>3</v>
      </c>
      <c r="S114" s="24" t="str">
        <f>IFERROR(MAX(tblRiskRegister322[[#This Row],[Impact to Mission]:[Impact to Obligations]])*tblRiskRegister322[[#This Row],[Expectancy Score]],"")</f>
        <v/>
      </c>
      <c r="T114" s="24" t="str">
        <f>tblRiskRegister322[[#This Row],[Risk Score]]</f>
        <v/>
      </c>
      <c r="U114" s="13"/>
      <c r="V114" s="86">
        <v>14.7</v>
      </c>
      <c r="W114" s="15" t="s">
        <v>84</v>
      </c>
      <c r="X114" s="15" t="s">
        <v>408</v>
      </c>
      <c r="Y114" s="26"/>
      <c r="Z114" s="16"/>
      <c r="AA114" s="23" t="str">
        <f>IFERROR(VLOOKUP(10*tblRiskRegister322[[#This Row],[Risk Treatment Safeguard Maturity Score]]+tblRiskRegister322[[#This Row],[VCDB Index]],tblHITIndexWeightTable[],4,FALSE),"")</f>
        <v/>
      </c>
      <c r="AB114" s="108">
        <f>VLOOKUP(tblRiskRegister322[[#This Row],[Asset Class]],tblInherentImpacts3046[],2,FALSE)</f>
        <v>3</v>
      </c>
      <c r="AC114" s="108">
        <f>VLOOKUP(tblRiskRegister322[[#This Row],[Asset Class]],tblInherentImpacts3046[],3,FALSE)</f>
        <v>3</v>
      </c>
      <c r="AD114" s="108">
        <f>VLOOKUP(tblRiskRegister322[[#This Row],[Asset Class]],tblInherentImpacts3046[],4,FALSE)</f>
        <v>4</v>
      </c>
      <c r="AE114" s="108">
        <f>VLOOKUP(tblRiskRegister322[[#This Row],[Asset Class]],tblInherentImpacts3046[],5,FALSE)</f>
        <v>3</v>
      </c>
      <c r="AF114" s="23" t="str">
        <f>IFERROR(MAX(tblRiskRegister322[[#This Row],[Risk Treatment Safeguard Impact to Mission]:[Risk Treatment Safeguard Impact to Obligations]])*tblRiskRegister322[[#This Row],[Risk Treatment
Safeguard Expectancy Score]],"")</f>
        <v/>
      </c>
      <c r="AG114" s="23" t="str" cm="1">
        <f t="array" ref="AG114">IF(tblRiskRegister322[[#This Row],[Risk Score]]&gt;=AcceptableRisk1,IF(tblRiskRegister322[[#This Row],[Risk Treatment Safeguard Risk Score]]&lt;AcceptableRisk1, IF(tblRiskRegister322[[#This Row],[Risk Treatment Safeguard Risk Score]]&lt;tblRiskRegister322[[#This Row],[Risk Score]],"Yes","No"),"No"),"Yes")</f>
        <v>No</v>
      </c>
      <c r="AH114" s="17"/>
      <c r="AI114" s="17"/>
      <c r="AJ114" s="18"/>
    </row>
    <row r="115" spans="2:36" ht="56">
      <c r="B115" s="15" t="s">
        <v>93</v>
      </c>
      <c r="C115" s="15"/>
      <c r="D115" s="13">
        <v>14.8</v>
      </c>
      <c r="E115" s="14" t="s">
        <v>85</v>
      </c>
      <c r="F115" s="13" t="s">
        <v>429</v>
      </c>
      <c r="G115" s="13" t="s">
        <v>429</v>
      </c>
      <c r="H115" s="13" t="s">
        <v>523</v>
      </c>
      <c r="I115" s="14"/>
      <c r="J115" s="14"/>
      <c r="K115" s="14"/>
      <c r="L115" s="16"/>
      <c r="M115" s="24">
        <f>IFERROR(VLOOKUP(tblRiskRegister322[[#This Row],[Asset Class]],tblVCDBIndex[],4,FALSE),"")</f>
        <v>2</v>
      </c>
      <c r="N115" s="24" t="str">
        <f>IFERROR(VLOOKUP(10*tblRiskRegister322[[#This Row],[Safeguard Maturity Score]]+tblRiskRegister322[[#This Row],[VCDB Index]],tblHITIndexWeightTable[],4,FALSE),"")</f>
        <v/>
      </c>
      <c r="O115" s="24">
        <f>VLOOKUP(tblRiskRegister322[[#This Row],[Asset Class]],tblInherentImpacts3046[],2,FALSE)</f>
        <v>3</v>
      </c>
      <c r="P115" s="24">
        <f>VLOOKUP(tblRiskRegister322[[#This Row],[Asset Class]],tblInherentImpacts3046[],3,FALSE)</f>
        <v>3</v>
      </c>
      <c r="Q115" s="24">
        <f>VLOOKUP(tblRiskRegister322[[#This Row],[Asset Class]],tblInherentImpacts3046[],4,FALSE)</f>
        <v>4</v>
      </c>
      <c r="R115" s="24">
        <f>VLOOKUP(tblRiskRegister322[[#This Row],[Asset Class]],tblInherentImpacts3046[],5,FALSE)</f>
        <v>3</v>
      </c>
      <c r="S115" s="24" t="str">
        <f>IFERROR(MAX(tblRiskRegister322[[#This Row],[Impact to Mission]:[Impact to Obligations]])*tblRiskRegister322[[#This Row],[Expectancy Score]],"")</f>
        <v/>
      </c>
      <c r="T115" s="24" t="str">
        <f>tblRiskRegister322[[#This Row],[Risk Score]]</f>
        <v/>
      </c>
      <c r="U115" s="13"/>
      <c r="V115" s="86">
        <v>14.8</v>
      </c>
      <c r="W115" s="15" t="s">
        <v>85</v>
      </c>
      <c r="X115" s="15" t="s">
        <v>409</v>
      </c>
      <c r="Y115" s="26"/>
      <c r="Z115" s="16"/>
      <c r="AA115" s="23" t="str">
        <f>IFERROR(VLOOKUP(10*tblRiskRegister322[[#This Row],[Risk Treatment Safeguard Maturity Score]]+tblRiskRegister322[[#This Row],[VCDB Index]],tblHITIndexWeightTable[],4,FALSE),"")</f>
        <v/>
      </c>
      <c r="AB115" s="108">
        <f>VLOOKUP(tblRiskRegister322[[#This Row],[Asset Class]],tblInherentImpacts3046[],2,FALSE)</f>
        <v>3</v>
      </c>
      <c r="AC115" s="108">
        <f>VLOOKUP(tblRiskRegister322[[#This Row],[Asset Class]],tblInherentImpacts3046[],3,FALSE)</f>
        <v>3</v>
      </c>
      <c r="AD115" s="108">
        <f>VLOOKUP(tblRiskRegister322[[#This Row],[Asset Class]],tblInherentImpacts3046[],4,FALSE)</f>
        <v>4</v>
      </c>
      <c r="AE115" s="108">
        <f>VLOOKUP(tblRiskRegister322[[#This Row],[Asset Class]],tblInherentImpacts3046[],5,FALSE)</f>
        <v>3</v>
      </c>
      <c r="AF115" s="23" t="str">
        <f>IFERROR(MAX(tblRiskRegister322[[#This Row],[Risk Treatment Safeguard Impact to Mission]:[Risk Treatment Safeguard Impact to Obligations]])*tblRiskRegister322[[#This Row],[Risk Treatment
Safeguard Expectancy Score]],"")</f>
        <v/>
      </c>
      <c r="AG115" s="23" t="str" cm="1">
        <f t="array" ref="AG115">IF(tblRiskRegister322[[#This Row],[Risk Score]]&gt;=AcceptableRisk1,IF(tblRiskRegister322[[#This Row],[Risk Treatment Safeguard Risk Score]]&lt;AcceptableRisk1, IF(tblRiskRegister322[[#This Row],[Risk Treatment Safeguard Risk Score]]&lt;tblRiskRegister322[[#This Row],[Risk Score]],"Yes","No"),"No"),"Yes")</f>
        <v>No</v>
      </c>
      <c r="AH115" s="17"/>
      <c r="AI115" s="17"/>
      <c r="AJ115" s="18"/>
    </row>
    <row r="116" spans="2:36" ht="56">
      <c r="B116" s="15" t="s">
        <v>93</v>
      </c>
      <c r="C116" s="15"/>
      <c r="D116" s="13">
        <v>14.9</v>
      </c>
      <c r="E116" s="14" t="s">
        <v>195</v>
      </c>
      <c r="F116" s="13"/>
      <c r="G116" s="13" t="s">
        <v>429</v>
      </c>
      <c r="H116" s="13" t="s">
        <v>523</v>
      </c>
      <c r="I116" s="14"/>
      <c r="J116" s="14"/>
      <c r="K116" s="14"/>
      <c r="L116" s="16"/>
      <c r="M116" s="24">
        <f>IFERROR(VLOOKUP(tblRiskRegister322[[#This Row],[Asset Class]],tblVCDBIndex[],4,FALSE),"")</f>
        <v>2</v>
      </c>
      <c r="N116" s="24" t="str">
        <f>IFERROR(VLOOKUP(10*tblRiskRegister322[[#This Row],[Safeguard Maturity Score]]+tblRiskRegister322[[#This Row],[VCDB Index]],tblHITIndexWeightTable[],4,FALSE),"")</f>
        <v/>
      </c>
      <c r="O116" s="24">
        <f>VLOOKUP(tblRiskRegister322[[#This Row],[Asset Class]],tblInherentImpacts3046[],2,FALSE)</f>
        <v>3</v>
      </c>
      <c r="P116" s="24">
        <f>VLOOKUP(tblRiskRegister322[[#This Row],[Asset Class]],tblInherentImpacts3046[],3,FALSE)</f>
        <v>3</v>
      </c>
      <c r="Q116" s="24">
        <f>VLOOKUP(tblRiskRegister322[[#This Row],[Asset Class]],tblInherentImpacts3046[],4,FALSE)</f>
        <v>4</v>
      </c>
      <c r="R116" s="24">
        <f>VLOOKUP(tblRiskRegister322[[#This Row],[Asset Class]],tblInherentImpacts3046[],5,FALSE)</f>
        <v>3</v>
      </c>
      <c r="S116" s="24" t="str">
        <f>IFERROR(MAX(tblRiskRegister322[[#This Row],[Impact to Mission]:[Impact to Obligations]])*tblRiskRegister322[[#This Row],[Expectancy Score]],"")</f>
        <v/>
      </c>
      <c r="T116" s="24" t="str">
        <f>tblRiskRegister322[[#This Row],[Risk Score]]</f>
        <v/>
      </c>
      <c r="U116" s="13"/>
      <c r="V116" s="86">
        <v>14.9</v>
      </c>
      <c r="W116" s="15" t="s">
        <v>195</v>
      </c>
      <c r="X116" s="15" t="s">
        <v>410</v>
      </c>
      <c r="Y116" s="26"/>
      <c r="Z116" s="16"/>
      <c r="AA116" s="23" t="str">
        <f>IFERROR(VLOOKUP(10*tblRiskRegister322[[#This Row],[Risk Treatment Safeguard Maturity Score]]+tblRiskRegister322[[#This Row],[VCDB Index]],tblHITIndexWeightTable[],4,FALSE),"")</f>
        <v/>
      </c>
      <c r="AB116" s="108">
        <f>VLOOKUP(tblRiskRegister322[[#This Row],[Asset Class]],tblInherentImpacts3046[],2,FALSE)</f>
        <v>3</v>
      </c>
      <c r="AC116" s="108">
        <f>VLOOKUP(tblRiskRegister322[[#This Row],[Asset Class]],tblInherentImpacts3046[],3,FALSE)</f>
        <v>3</v>
      </c>
      <c r="AD116" s="108">
        <f>VLOOKUP(tblRiskRegister322[[#This Row],[Asset Class]],tblInherentImpacts3046[],4,FALSE)</f>
        <v>4</v>
      </c>
      <c r="AE116" s="108">
        <f>VLOOKUP(tblRiskRegister322[[#This Row],[Asset Class]],tblInherentImpacts3046[],5,FALSE)</f>
        <v>3</v>
      </c>
      <c r="AF116" s="23" t="str">
        <f>IFERROR(MAX(tblRiskRegister322[[#This Row],[Risk Treatment Safeguard Impact to Mission]:[Risk Treatment Safeguard Impact to Obligations]])*tblRiskRegister322[[#This Row],[Risk Treatment
Safeguard Expectancy Score]],"")</f>
        <v/>
      </c>
      <c r="AG116" s="23" t="str" cm="1">
        <f t="array" ref="AG116">IF(tblRiskRegister322[[#This Row],[Risk Score]]&gt;=AcceptableRisk1,IF(tblRiskRegister322[[#This Row],[Risk Treatment Safeguard Risk Score]]&lt;AcceptableRisk1, IF(tblRiskRegister322[[#This Row],[Risk Treatment Safeguard Risk Score]]&lt;tblRiskRegister322[[#This Row],[Risk Score]],"Yes","No"),"No"),"Yes")</f>
        <v>No</v>
      </c>
      <c r="AH116" s="17"/>
      <c r="AI116" s="17"/>
      <c r="AJ116" s="18"/>
    </row>
    <row r="117" spans="2:36" ht="56">
      <c r="B117" s="15" t="s">
        <v>93</v>
      </c>
      <c r="C117" s="15"/>
      <c r="D117" s="13">
        <v>15.1</v>
      </c>
      <c r="E117" s="14" t="s">
        <v>86</v>
      </c>
      <c r="F117" s="13" t="s">
        <v>429</v>
      </c>
      <c r="G117" s="13" t="s">
        <v>429</v>
      </c>
      <c r="H117" s="13" t="s">
        <v>521</v>
      </c>
      <c r="I117" s="14"/>
      <c r="J117" s="14"/>
      <c r="K117" s="14"/>
      <c r="L117" s="16"/>
      <c r="M117" s="24">
        <f>IFERROR(VLOOKUP(tblRiskRegister322[[#This Row],[Asset Class]],tblVCDBIndex[],4,FALSE),"")</f>
        <v>2</v>
      </c>
      <c r="N117" s="24" t="str">
        <f>IFERROR(VLOOKUP(10*tblRiskRegister322[[#This Row],[Safeguard Maturity Score]]+tblRiskRegister322[[#This Row],[VCDB Index]],tblHITIndexWeightTable[],4,FALSE),"")</f>
        <v/>
      </c>
      <c r="O117" s="24">
        <f>VLOOKUP(tblRiskRegister322[[#This Row],[Asset Class]],tblInherentImpacts3046[],2,FALSE)</f>
        <v>3</v>
      </c>
      <c r="P117" s="24">
        <f>VLOOKUP(tblRiskRegister322[[#This Row],[Asset Class]],tblInherentImpacts3046[],3,FALSE)</f>
        <v>3</v>
      </c>
      <c r="Q117" s="24">
        <f>VLOOKUP(tblRiskRegister322[[#This Row],[Asset Class]],tblInherentImpacts3046[],4,FALSE)</f>
        <v>4</v>
      </c>
      <c r="R117" s="24">
        <f>VLOOKUP(tblRiskRegister322[[#This Row],[Asset Class]],tblInherentImpacts3046[],5,FALSE)</f>
        <v>3</v>
      </c>
      <c r="S117" s="24" t="str">
        <f>IFERROR(MAX(tblRiskRegister322[[#This Row],[Impact to Mission]:[Impact to Obligations]])*tblRiskRegister322[[#This Row],[Expectancy Score]],"")</f>
        <v/>
      </c>
      <c r="T117" s="24" t="str">
        <f>tblRiskRegister322[[#This Row],[Risk Score]]</f>
        <v/>
      </c>
      <c r="U117" s="13"/>
      <c r="V117" s="86">
        <v>15.1</v>
      </c>
      <c r="W117" s="15" t="s">
        <v>86</v>
      </c>
      <c r="X117" s="15" t="s">
        <v>411</v>
      </c>
      <c r="Y117" s="26"/>
      <c r="Z117" s="16"/>
      <c r="AA117" s="23" t="str">
        <f>IFERROR(VLOOKUP(10*tblRiskRegister322[[#This Row],[Risk Treatment Safeguard Maturity Score]]+tblRiskRegister322[[#This Row],[VCDB Index]],tblHITIndexWeightTable[],4,FALSE),"")</f>
        <v/>
      </c>
      <c r="AB117" s="108">
        <f>VLOOKUP(tblRiskRegister322[[#This Row],[Asset Class]],tblInherentImpacts3046[],2,FALSE)</f>
        <v>3</v>
      </c>
      <c r="AC117" s="108">
        <f>VLOOKUP(tblRiskRegister322[[#This Row],[Asset Class]],tblInherentImpacts3046[],3,FALSE)</f>
        <v>3</v>
      </c>
      <c r="AD117" s="108">
        <f>VLOOKUP(tblRiskRegister322[[#This Row],[Asset Class]],tblInherentImpacts3046[],4,FALSE)</f>
        <v>4</v>
      </c>
      <c r="AE117" s="108">
        <f>VLOOKUP(tblRiskRegister322[[#This Row],[Asset Class]],tblInherentImpacts3046[],5,FALSE)</f>
        <v>3</v>
      </c>
      <c r="AF117" s="23" t="str">
        <f>IFERROR(MAX(tblRiskRegister322[[#This Row],[Risk Treatment Safeguard Impact to Mission]:[Risk Treatment Safeguard Impact to Obligations]])*tblRiskRegister322[[#This Row],[Risk Treatment
Safeguard Expectancy Score]],"")</f>
        <v/>
      </c>
      <c r="AG117" s="23" t="str" cm="1">
        <f t="array" ref="AG117">IF(tblRiskRegister322[[#This Row],[Risk Score]]&gt;=AcceptableRisk1,IF(tblRiskRegister322[[#This Row],[Risk Treatment Safeguard Risk Score]]&lt;AcceptableRisk1, IF(tblRiskRegister322[[#This Row],[Risk Treatment Safeguard Risk Score]]&lt;tblRiskRegister322[[#This Row],[Risk Score]],"Yes","No"),"No"),"Yes")</f>
        <v>No</v>
      </c>
      <c r="AH117" s="17"/>
      <c r="AI117" s="17"/>
      <c r="AJ117" s="18"/>
    </row>
    <row r="118" spans="2:36" ht="56">
      <c r="B118" s="15" t="s">
        <v>528</v>
      </c>
      <c r="C118" s="15"/>
      <c r="D118" s="13">
        <v>15.2</v>
      </c>
      <c r="E118" s="14" t="s">
        <v>196</v>
      </c>
      <c r="F118" s="13"/>
      <c r="G118" s="13" t="s">
        <v>429</v>
      </c>
      <c r="H118" s="13" t="s">
        <v>532</v>
      </c>
      <c r="I118" s="14"/>
      <c r="J118" s="14"/>
      <c r="K118" s="14"/>
      <c r="L118" s="16"/>
      <c r="M118" s="24">
        <f>IFERROR(VLOOKUP(tblRiskRegister322[[#This Row],[Asset Class]],tblVCDBIndex[],4,FALSE),"")</f>
        <v>2</v>
      </c>
      <c r="N118" s="24" t="str">
        <f>IFERROR(VLOOKUP(10*tblRiskRegister322[[#This Row],[Safeguard Maturity Score]]+tblRiskRegister322[[#This Row],[VCDB Index]],tblHITIndexWeightTable[],4,FALSE),"")</f>
        <v/>
      </c>
      <c r="O118" s="24">
        <f>VLOOKUP(tblRiskRegister322[[#This Row],[Asset Class]],tblInherentImpacts3046[],2,FALSE)</f>
        <v>2</v>
      </c>
      <c r="P118" s="24">
        <f>VLOOKUP(tblRiskRegister322[[#This Row],[Asset Class]],tblInherentImpacts3046[],3,FALSE)</f>
        <v>3</v>
      </c>
      <c r="Q118" s="24">
        <f>VLOOKUP(tblRiskRegister322[[#This Row],[Asset Class]],tblInherentImpacts3046[],4,FALSE)</f>
        <v>2</v>
      </c>
      <c r="R118" s="24">
        <f>VLOOKUP(tblRiskRegister322[[#This Row],[Asset Class]],tblInherentImpacts3046[],5,FALSE)</f>
        <v>2</v>
      </c>
      <c r="S118" s="24" t="str">
        <f>IFERROR(MAX(tblRiskRegister322[[#This Row],[Impact to Mission]:[Impact to Obligations]])*tblRiskRegister322[[#This Row],[Expectancy Score]],"")</f>
        <v/>
      </c>
      <c r="T118" s="24" t="str">
        <f>tblRiskRegister322[[#This Row],[Risk Score]]</f>
        <v/>
      </c>
      <c r="U118" s="13"/>
      <c r="V118" s="86">
        <v>15.2</v>
      </c>
      <c r="W118" s="15" t="s">
        <v>196</v>
      </c>
      <c r="X118" s="15" t="s">
        <v>412</v>
      </c>
      <c r="Y118" s="26"/>
      <c r="Z118" s="16"/>
      <c r="AA118" s="23" t="str">
        <f>IFERROR(VLOOKUP(10*tblRiskRegister322[[#This Row],[Risk Treatment Safeguard Maturity Score]]+tblRiskRegister322[[#This Row],[VCDB Index]],tblHITIndexWeightTable[],4,FALSE),"")</f>
        <v/>
      </c>
      <c r="AB118" s="108">
        <f>VLOOKUP(tblRiskRegister322[[#This Row],[Asset Class]],tblInherentImpacts3046[],2,FALSE)</f>
        <v>2</v>
      </c>
      <c r="AC118" s="108">
        <f>VLOOKUP(tblRiskRegister322[[#This Row],[Asset Class]],tblInherentImpacts3046[],3,FALSE)</f>
        <v>3</v>
      </c>
      <c r="AD118" s="108">
        <f>VLOOKUP(tblRiskRegister322[[#This Row],[Asset Class]],tblInherentImpacts3046[],4,FALSE)</f>
        <v>2</v>
      </c>
      <c r="AE118" s="108">
        <f>VLOOKUP(tblRiskRegister322[[#This Row],[Asset Class]],tblInherentImpacts3046[],5,FALSE)</f>
        <v>2</v>
      </c>
      <c r="AF118" s="23" t="str">
        <f>IFERROR(MAX(tblRiskRegister322[[#This Row],[Risk Treatment Safeguard Impact to Mission]:[Risk Treatment Safeguard Impact to Obligations]])*tblRiskRegister322[[#This Row],[Risk Treatment
Safeguard Expectancy Score]],"")</f>
        <v/>
      </c>
      <c r="AG118" s="23" t="str" cm="1">
        <f t="array" ref="AG118">IF(tblRiskRegister322[[#This Row],[Risk Score]]&gt;=AcceptableRisk1,IF(tblRiskRegister322[[#This Row],[Risk Treatment Safeguard Risk Score]]&lt;AcceptableRisk1, IF(tblRiskRegister322[[#This Row],[Risk Treatment Safeguard Risk Score]]&lt;tblRiskRegister322[[#This Row],[Risk Score]],"Yes","No"),"No"),"Yes")</f>
        <v>No</v>
      </c>
      <c r="AH118" s="17"/>
      <c r="AI118" s="17"/>
      <c r="AJ118" s="18"/>
    </row>
    <row r="119" spans="2:36" ht="56">
      <c r="B119" s="15" t="s">
        <v>93</v>
      </c>
      <c r="C119" s="15"/>
      <c r="D119" s="13">
        <v>15.3</v>
      </c>
      <c r="E119" s="14" t="s">
        <v>197</v>
      </c>
      <c r="F119" s="13"/>
      <c r="G119" s="13" t="s">
        <v>429</v>
      </c>
      <c r="H119" s="13" t="s">
        <v>532</v>
      </c>
      <c r="I119" s="14"/>
      <c r="J119" s="14"/>
      <c r="K119" s="14"/>
      <c r="L119" s="16"/>
      <c r="M119" s="24">
        <f>IFERROR(VLOOKUP(tblRiskRegister322[[#This Row],[Asset Class]],tblVCDBIndex[],4,FALSE),"")</f>
        <v>2</v>
      </c>
      <c r="N119" s="24" t="str">
        <f>IFERROR(VLOOKUP(10*tblRiskRegister322[[#This Row],[Safeguard Maturity Score]]+tblRiskRegister322[[#This Row],[VCDB Index]],tblHITIndexWeightTable[],4,FALSE),"")</f>
        <v/>
      </c>
      <c r="O119" s="24">
        <f>VLOOKUP(tblRiskRegister322[[#This Row],[Asset Class]],tblInherentImpacts3046[],2,FALSE)</f>
        <v>3</v>
      </c>
      <c r="P119" s="24">
        <f>VLOOKUP(tblRiskRegister322[[#This Row],[Asset Class]],tblInherentImpacts3046[],3,FALSE)</f>
        <v>3</v>
      </c>
      <c r="Q119" s="24">
        <f>VLOOKUP(tblRiskRegister322[[#This Row],[Asset Class]],tblInherentImpacts3046[],4,FALSE)</f>
        <v>4</v>
      </c>
      <c r="R119" s="24">
        <f>VLOOKUP(tblRiskRegister322[[#This Row],[Asset Class]],tblInherentImpacts3046[],5,FALSE)</f>
        <v>3</v>
      </c>
      <c r="S119" s="24" t="str">
        <f>IFERROR(MAX(tblRiskRegister322[[#This Row],[Impact to Mission]:[Impact to Obligations]])*tblRiskRegister322[[#This Row],[Expectancy Score]],"")</f>
        <v/>
      </c>
      <c r="T119" s="24" t="str">
        <f>tblRiskRegister322[[#This Row],[Risk Score]]</f>
        <v/>
      </c>
      <c r="U119" s="13"/>
      <c r="V119" s="86">
        <v>15.3</v>
      </c>
      <c r="W119" s="15" t="s">
        <v>197</v>
      </c>
      <c r="X119" s="15" t="s">
        <v>413</v>
      </c>
      <c r="Y119" s="26"/>
      <c r="Z119" s="16"/>
      <c r="AA119" s="23" t="str">
        <f>IFERROR(VLOOKUP(10*tblRiskRegister322[[#This Row],[Risk Treatment Safeguard Maturity Score]]+tblRiskRegister322[[#This Row],[VCDB Index]],tblHITIndexWeightTable[],4,FALSE),"")</f>
        <v/>
      </c>
      <c r="AB119" s="108">
        <f>VLOOKUP(tblRiskRegister322[[#This Row],[Asset Class]],tblInherentImpacts3046[],2,FALSE)</f>
        <v>3</v>
      </c>
      <c r="AC119" s="108">
        <f>VLOOKUP(tblRiskRegister322[[#This Row],[Asset Class]],tblInherentImpacts3046[],3,FALSE)</f>
        <v>3</v>
      </c>
      <c r="AD119" s="108">
        <f>VLOOKUP(tblRiskRegister322[[#This Row],[Asset Class]],tblInherentImpacts3046[],4,FALSE)</f>
        <v>4</v>
      </c>
      <c r="AE119" s="108">
        <f>VLOOKUP(tblRiskRegister322[[#This Row],[Asset Class]],tblInherentImpacts3046[],5,FALSE)</f>
        <v>3</v>
      </c>
      <c r="AF119" s="23" t="str">
        <f>IFERROR(MAX(tblRiskRegister322[[#This Row],[Risk Treatment Safeguard Impact to Mission]:[Risk Treatment Safeguard Impact to Obligations]])*tblRiskRegister322[[#This Row],[Risk Treatment
Safeguard Expectancy Score]],"")</f>
        <v/>
      </c>
      <c r="AG119" s="23" t="str" cm="1">
        <f t="array" ref="AG119">IF(tblRiskRegister322[[#This Row],[Risk Score]]&gt;=AcceptableRisk1,IF(tblRiskRegister322[[#This Row],[Risk Treatment Safeguard Risk Score]]&lt;AcceptableRisk1, IF(tblRiskRegister322[[#This Row],[Risk Treatment Safeguard Risk Score]]&lt;tblRiskRegister322[[#This Row],[Risk Score]],"Yes","No"),"No"),"Yes")</f>
        <v>No</v>
      </c>
      <c r="AH119" s="17"/>
      <c r="AI119" s="17"/>
      <c r="AJ119" s="18"/>
    </row>
    <row r="120" spans="2:36" ht="84">
      <c r="B120" s="15" t="s">
        <v>528</v>
      </c>
      <c r="C120" s="15"/>
      <c r="D120" s="13">
        <v>15.4</v>
      </c>
      <c r="E120" s="14" t="s">
        <v>198</v>
      </c>
      <c r="F120" s="13"/>
      <c r="G120" s="13" t="s">
        <v>429</v>
      </c>
      <c r="H120" s="13" t="s">
        <v>532</v>
      </c>
      <c r="I120" s="14"/>
      <c r="J120" s="14"/>
      <c r="K120" s="14"/>
      <c r="L120" s="16"/>
      <c r="M120" s="24">
        <f>IFERROR(VLOOKUP(tblRiskRegister322[[#This Row],[Asset Class]],tblVCDBIndex[],4,FALSE),"")</f>
        <v>2</v>
      </c>
      <c r="N120" s="24" t="str">
        <f>IFERROR(VLOOKUP(10*tblRiskRegister322[[#This Row],[Safeguard Maturity Score]]+tblRiskRegister322[[#This Row],[VCDB Index]],tblHITIndexWeightTable[],4,FALSE),"")</f>
        <v/>
      </c>
      <c r="O120" s="24">
        <f>VLOOKUP(tblRiskRegister322[[#This Row],[Asset Class]],tblInherentImpacts3046[],2,FALSE)</f>
        <v>2</v>
      </c>
      <c r="P120" s="24">
        <f>VLOOKUP(tblRiskRegister322[[#This Row],[Asset Class]],tblInherentImpacts3046[],3,FALSE)</f>
        <v>3</v>
      </c>
      <c r="Q120" s="24">
        <f>VLOOKUP(tblRiskRegister322[[#This Row],[Asset Class]],tblInherentImpacts3046[],4,FALSE)</f>
        <v>2</v>
      </c>
      <c r="R120" s="24">
        <f>VLOOKUP(tblRiskRegister322[[#This Row],[Asset Class]],tblInherentImpacts3046[],5,FALSE)</f>
        <v>2</v>
      </c>
      <c r="S120" s="24" t="str">
        <f>IFERROR(MAX(tblRiskRegister322[[#This Row],[Impact to Mission]:[Impact to Obligations]])*tblRiskRegister322[[#This Row],[Expectancy Score]],"")</f>
        <v/>
      </c>
      <c r="T120" s="24" t="str">
        <f>tblRiskRegister322[[#This Row],[Risk Score]]</f>
        <v/>
      </c>
      <c r="U120" s="13"/>
      <c r="V120" s="86">
        <v>15.4</v>
      </c>
      <c r="W120" s="15" t="s">
        <v>198</v>
      </c>
      <c r="X120" s="15" t="s">
        <v>414</v>
      </c>
      <c r="Y120" s="26"/>
      <c r="Z120" s="16"/>
      <c r="AA120" s="23" t="str">
        <f>IFERROR(VLOOKUP(10*tblRiskRegister322[[#This Row],[Risk Treatment Safeguard Maturity Score]]+tblRiskRegister322[[#This Row],[VCDB Index]],tblHITIndexWeightTable[],4,FALSE),"")</f>
        <v/>
      </c>
      <c r="AB120" s="108">
        <f>VLOOKUP(tblRiskRegister322[[#This Row],[Asset Class]],tblInherentImpacts3046[],2,FALSE)</f>
        <v>2</v>
      </c>
      <c r="AC120" s="108">
        <f>VLOOKUP(tblRiskRegister322[[#This Row],[Asset Class]],tblInherentImpacts3046[],3,FALSE)</f>
        <v>3</v>
      </c>
      <c r="AD120" s="108">
        <f>VLOOKUP(tblRiskRegister322[[#This Row],[Asset Class]],tblInherentImpacts3046[],4,FALSE)</f>
        <v>2</v>
      </c>
      <c r="AE120" s="108">
        <f>VLOOKUP(tblRiskRegister322[[#This Row],[Asset Class]],tblInherentImpacts3046[],5,FALSE)</f>
        <v>2</v>
      </c>
      <c r="AF120" s="23" t="str">
        <f>IFERROR(MAX(tblRiskRegister322[[#This Row],[Risk Treatment Safeguard Impact to Mission]:[Risk Treatment Safeguard Impact to Obligations]])*tblRiskRegister322[[#This Row],[Risk Treatment
Safeguard Expectancy Score]],"")</f>
        <v/>
      </c>
      <c r="AG120" s="23" t="str" cm="1">
        <f t="array" ref="AG120">IF(tblRiskRegister322[[#This Row],[Risk Score]]&gt;=AcceptableRisk1,IF(tblRiskRegister322[[#This Row],[Risk Treatment Safeguard Risk Score]]&lt;AcceptableRisk1, IF(tblRiskRegister322[[#This Row],[Risk Treatment Safeguard Risk Score]]&lt;tblRiskRegister322[[#This Row],[Risk Score]],"Yes","No"),"No"),"Yes")</f>
        <v>No</v>
      </c>
      <c r="AH120" s="17"/>
      <c r="AI120" s="17"/>
      <c r="AJ120" s="18"/>
    </row>
    <row r="121" spans="2:36" ht="70">
      <c r="B121" s="15" t="s">
        <v>528</v>
      </c>
      <c r="C121" s="15"/>
      <c r="D121" s="13">
        <v>16.100000000000001</v>
      </c>
      <c r="E121" s="14" t="s">
        <v>165</v>
      </c>
      <c r="F121" s="13"/>
      <c r="G121" s="13" t="s">
        <v>429</v>
      </c>
      <c r="H121" s="13" t="s">
        <v>532</v>
      </c>
      <c r="I121" s="14"/>
      <c r="J121" s="14"/>
      <c r="K121" s="14"/>
      <c r="L121" s="16"/>
      <c r="M121" s="24">
        <f>IFERROR(VLOOKUP(tblRiskRegister322[[#This Row],[Asset Class]],tblVCDBIndex[],4,FALSE),"")</f>
        <v>2</v>
      </c>
      <c r="N121" s="24" t="str">
        <f>IFERROR(VLOOKUP(10*tblRiskRegister322[[#This Row],[Safeguard Maturity Score]]+tblRiskRegister322[[#This Row],[VCDB Index]],tblHITIndexWeightTable[],4,FALSE),"")</f>
        <v/>
      </c>
      <c r="O121" s="24">
        <f>VLOOKUP(tblRiskRegister322[[#This Row],[Asset Class]],tblInherentImpacts3046[],2,FALSE)</f>
        <v>2</v>
      </c>
      <c r="P121" s="24">
        <f>VLOOKUP(tblRiskRegister322[[#This Row],[Asset Class]],tblInherentImpacts3046[],3,FALSE)</f>
        <v>3</v>
      </c>
      <c r="Q121" s="24">
        <f>VLOOKUP(tblRiskRegister322[[#This Row],[Asset Class]],tblInherentImpacts3046[],4,FALSE)</f>
        <v>2</v>
      </c>
      <c r="R121" s="24">
        <f>VLOOKUP(tblRiskRegister322[[#This Row],[Asset Class]],tblInherentImpacts3046[],5,FALSE)</f>
        <v>2</v>
      </c>
      <c r="S121" s="24" t="str">
        <f>IFERROR(MAX(tblRiskRegister322[[#This Row],[Impact to Mission]:[Impact to Obligations]])*tblRiskRegister322[[#This Row],[Expectancy Score]],"")</f>
        <v/>
      </c>
      <c r="T121" s="24" t="str">
        <f>tblRiskRegister322[[#This Row],[Risk Score]]</f>
        <v/>
      </c>
      <c r="U121" s="13"/>
      <c r="V121" s="86">
        <v>16.100000000000001</v>
      </c>
      <c r="W121" s="15" t="s">
        <v>165</v>
      </c>
      <c r="X121" s="15" t="s">
        <v>415</v>
      </c>
      <c r="Y121" s="15"/>
      <c r="Z121" s="16"/>
      <c r="AA121" s="23" t="str">
        <f>IFERROR(VLOOKUP(10*tblRiskRegister322[[#This Row],[Risk Treatment Safeguard Maturity Score]]+tblRiskRegister322[[#This Row],[VCDB Index]],tblHITIndexWeightTable[],4,FALSE),"")</f>
        <v/>
      </c>
      <c r="AB121" s="108">
        <f>VLOOKUP(tblRiskRegister322[[#This Row],[Asset Class]],tblInherentImpacts3046[],2,FALSE)</f>
        <v>2</v>
      </c>
      <c r="AC121" s="108">
        <f>VLOOKUP(tblRiskRegister322[[#This Row],[Asset Class]],tblInherentImpacts3046[],3,FALSE)</f>
        <v>3</v>
      </c>
      <c r="AD121" s="108">
        <f>VLOOKUP(tblRiskRegister322[[#This Row],[Asset Class]],tblInherentImpacts3046[],4,FALSE)</f>
        <v>2</v>
      </c>
      <c r="AE121" s="108">
        <f>VLOOKUP(tblRiskRegister322[[#This Row],[Asset Class]],tblInherentImpacts3046[],5,FALSE)</f>
        <v>2</v>
      </c>
      <c r="AF121" s="23" t="str">
        <f>IFERROR(MAX(tblRiskRegister322[[#This Row],[Risk Treatment Safeguard Impact to Mission]:[Risk Treatment Safeguard Impact to Obligations]])*tblRiskRegister322[[#This Row],[Risk Treatment
Safeguard Expectancy Score]],"")</f>
        <v/>
      </c>
      <c r="AG121" s="23" t="str" cm="1">
        <f t="array" ref="AG121">IF(tblRiskRegister322[[#This Row],[Risk Score]]&gt;=AcceptableRisk1,IF(tblRiskRegister322[[#This Row],[Risk Treatment Safeguard Risk Score]]&lt;AcceptableRisk1, IF(tblRiskRegister322[[#This Row],[Risk Treatment Safeguard Risk Score]]&lt;tblRiskRegister322[[#This Row],[Risk Score]],"Yes","No"),"No"),"Yes")</f>
        <v>No</v>
      </c>
      <c r="AH121" s="17"/>
      <c r="AI121" s="17"/>
      <c r="AJ121" s="18"/>
    </row>
    <row r="122" spans="2:36" ht="154">
      <c r="B122" s="15" t="s">
        <v>528</v>
      </c>
      <c r="C122" s="15"/>
      <c r="D122" s="13">
        <v>16.2</v>
      </c>
      <c r="E122" s="14" t="s">
        <v>166</v>
      </c>
      <c r="F122" s="13"/>
      <c r="G122" s="13" t="s">
        <v>429</v>
      </c>
      <c r="H122" s="13" t="s">
        <v>532</v>
      </c>
      <c r="I122" s="14"/>
      <c r="J122" s="14"/>
      <c r="K122" s="14"/>
      <c r="L122" s="16"/>
      <c r="M122" s="24">
        <f>IFERROR(VLOOKUP(tblRiskRegister322[[#This Row],[Asset Class]],tblVCDBIndex[],4,FALSE),"")</f>
        <v>2</v>
      </c>
      <c r="N122" s="24" t="str">
        <f>IFERROR(VLOOKUP(10*tblRiskRegister322[[#This Row],[Safeguard Maturity Score]]+tblRiskRegister322[[#This Row],[VCDB Index]],tblHITIndexWeightTable[],4,FALSE),"")</f>
        <v/>
      </c>
      <c r="O122" s="24">
        <f>VLOOKUP(tblRiskRegister322[[#This Row],[Asset Class]],tblInherentImpacts3046[],2,FALSE)</f>
        <v>2</v>
      </c>
      <c r="P122" s="24">
        <f>VLOOKUP(tblRiskRegister322[[#This Row],[Asset Class]],tblInherentImpacts3046[],3,FALSE)</f>
        <v>3</v>
      </c>
      <c r="Q122" s="24">
        <f>VLOOKUP(tblRiskRegister322[[#This Row],[Asset Class]],tblInherentImpacts3046[],4,FALSE)</f>
        <v>2</v>
      </c>
      <c r="R122" s="24">
        <f>VLOOKUP(tblRiskRegister322[[#This Row],[Asset Class]],tblInherentImpacts3046[],5,FALSE)</f>
        <v>2</v>
      </c>
      <c r="S122" s="24" t="str">
        <f>IFERROR(MAX(tblRiskRegister322[[#This Row],[Impact to Mission]:[Impact to Obligations]])*tblRiskRegister322[[#This Row],[Expectancy Score]],"")</f>
        <v/>
      </c>
      <c r="T122" s="24" t="str">
        <f>tblRiskRegister322[[#This Row],[Risk Score]]</f>
        <v/>
      </c>
      <c r="U122" s="13"/>
      <c r="V122" s="86">
        <v>16.2</v>
      </c>
      <c r="W122" s="15" t="s">
        <v>166</v>
      </c>
      <c r="X122" s="15" t="s">
        <v>559</v>
      </c>
      <c r="Y122" s="15"/>
      <c r="Z122" s="16"/>
      <c r="AA122" s="23" t="str">
        <f>IFERROR(VLOOKUP(10*tblRiskRegister322[[#This Row],[Risk Treatment Safeguard Maturity Score]]+tblRiskRegister322[[#This Row],[VCDB Index]],tblHITIndexWeightTable[],4,FALSE),"")</f>
        <v/>
      </c>
      <c r="AB122" s="108">
        <f>VLOOKUP(tblRiskRegister322[[#This Row],[Asset Class]],tblInherentImpacts3046[],2,FALSE)</f>
        <v>2</v>
      </c>
      <c r="AC122" s="108">
        <f>VLOOKUP(tblRiskRegister322[[#This Row],[Asset Class]],tblInherentImpacts3046[],3,FALSE)</f>
        <v>3</v>
      </c>
      <c r="AD122" s="108">
        <f>VLOOKUP(tblRiskRegister322[[#This Row],[Asset Class]],tblInherentImpacts3046[],4,FALSE)</f>
        <v>2</v>
      </c>
      <c r="AE122" s="108">
        <f>VLOOKUP(tblRiskRegister322[[#This Row],[Asset Class]],tblInherentImpacts3046[],5,FALSE)</f>
        <v>2</v>
      </c>
      <c r="AF122" s="23" t="str">
        <f>IFERROR(MAX(tblRiskRegister322[[#This Row],[Risk Treatment Safeguard Impact to Mission]:[Risk Treatment Safeguard Impact to Obligations]])*tblRiskRegister322[[#This Row],[Risk Treatment
Safeguard Expectancy Score]],"")</f>
        <v/>
      </c>
      <c r="AG122" s="23" t="str" cm="1">
        <f t="array" ref="AG122">IF(tblRiskRegister322[[#This Row],[Risk Score]]&gt;=AcceptableRisk1,IF(tblRiskRegister322[[#This Row],[Risk Treatment Safeguard Risk Score]]&lt;AcceptableRisk1, IF(tblRiskRegister322[[#This Row],[Risk Treatment Safeguard Risk Score]]&lt;tblRiskRegister322[[#This Row],[Risk Score]],"Yes","No"),"No"),"Yes")</f>
        <v>No</v>
      </c>
      <c r="AH122" s="17"/>
      <c r="AI122" s="17"/>
      <c r="AJ122" s="18"/>
    </row>
    <row r="123" spans="2:36" ht="42">
      <c r="B123" s="15" t="s">
        <v>527</v>
      </c>
      <c r="C123" s="15"/>
      <c r="D123" s="13">
        <v>16.3</v>
      </c>
      <c r="E123" s="14" t="s">
        <v>167</v>
      </c>
      <c r="F123" s="13"/>
      <c r="G123" s="13" t="s">
        <v>429</v>
      </c>
      <c r="H123" s="13" t="s">
        <v>524</v>
      </c>
      <c r="I123" s="14"/>
      <c r="J123" s="14"/>
      <c r="K123" s="14"/>
      <c r="L123" s="16"/>
      <c r="M123" s="24">
        <f>IFERROR(VLOOKUP(tblRiskRegister322[[#This Row],[Asset Class]],tblVCDBIndex[],4,FALSE),"")</f>
        <v>2</v>
      </c>
      <c r="N123" s="24" t="str">
        <f>IFERROR(VLOOKUP(10*tblRiskRegister322[[#This Row],[Safeguard Maturity Score]]+tblRiskRegister322[[#This Row],[VCDB Index]],tblHITIndexWeightTable[],4,FALSE),"")</f>
        <v/>
      </c>
      <c r="O123" s="24">
        <f>VLOOKUP(tblRiskRegister322[[#This Row],[Asset Class]],tblInherentImpacts3046[],2,FALSE)</f>
        <v>4</v>
      </c>
      <c r="P123" s="24">
        <f>VLOOKUP(tblRiskRegister322[[#This Row],[Asset Class]],tblInherentImpacts3046[],3,FALSE)</f>
        <v>2</v>
      </c>
      <c r="Q123" s="24">
        <f>VLOOKUP(tblRiskRegister322[[#This Row],[Asset Class]],tblInherentImpacts3046[],4,FALSE)</f>
        <v>4</v>
      </c>
      <c r="R123" s="24">
        <f>VLOOKUP(tblRiskRegister322[[#This Row],[Asset Class]],tblInherentImpacts3046[],5,FALSE)</f>
        <v>4</v>
      </c>
      <c r="S123" s="24" t="str">
        <f>IFERROR(MAX(tblRiskRegister322[[#This Row],[Impact to Mission]:[Impact to Obligations]])*tblRiskRegister322[[#This Row],[Expectancy Score]],"")</f>
        <v/>
      </c>
      <c r="T123" s="24" t="str">
        <f>tblRiskRegister322[[#This Row],[Risk Score]]</f>
        <v/>
      </c>
      <c r="U123" s="13"/>
      <c r="V123" s="86">
        <v>16.3</v>
      </c>
      <c r="W123" s="15" t="s">
        <v>167</v>
      </c>
      <c r="X123" s="15" t="s">
        <v>416</v>
      </c>
      <c r="Y123" s="15"/>
      <c r="Z123" s="16"/>
      <c r="AA123" s="23" t="str">
        <f>IFERROR(VLOOKUP(10*tblRiskRegister322[[#This Row],[Risk Treatment Safeguard Maturity Score]]+tblRiskRegister322[[#This Row],[VCDB Index]],tblHITIndexWeightTable[],4,FALSE),"")</f>
        <v/>
      </c>
      <c r="AB123" s="108">
        <f>VLOOKUP(tblRiskRegister322[[#This Row],[Asset Class]],tblInherentImpacts3046[],2,FALSE)</f>
        <v>4</v>
      </c>
      <c r="AC123" s="108">
        <f>VLOOKUP(tblRiskRegister322[[#This Row],[Asset Class]],tblInherentImpacts3046[],3,FALSE)</f>
        <v>2</v>
      </c>
      <c r="AD123" s="108">
        <f>VLOOKUP(tblRiskRegister322[[#This Row],[Asset Class]],tblInherentImpacts3046[],4,FALSE)</f>
        <v>4</v>
      </c>
      <c r="AE123" s="108">
        <f>VLOOKUP(tblRiskRegister322[[#This Row],[Asset Class]],tblInherentImpacts3046[],5,FALSE)</f>
        <v>4</v>
      </c>
      <c r="AF123" s="23" t="str">
        <f>IFERROR(MAX(tblRiskRegister322[[#This Row],[Risk Treatment Safeguard Impact to Mission]:[Risk Treatment Safeguard Impact to Obligations]])*tblRiskRegister322[[#This Row],[Risk Treatment
Safeguard Expectancy Score]],"")</f>
        <v/>
      </c>
      <c r="AG123" s="23" t="str" cm="1">
        <f t="array" ref="AG123">IF(tblRiskRegister322[[#This Row],[Risk Score]]&gt;=AcceptableRisk1,IF(tblRiskRegister322[[#This Row],[Risk Treatment Safeguard Risk Score]]&lt;AcceptableRisk1, IF(tblRiskRegister322[[#This Row],[Risk Treatment Safeguard Risk Score]]&lt;tblRiskRegister322[[#This Row],[Risk Score]],"Yes","No"),"No"),"Yes")</f>
        <v>No</v>
      </c>
      <c r="AH123" s="17"/>
      <c r="AI123" s="17"/>
      <c r="AJ123" s="18"/>
    </row>
    <row r="124" spans="2:36" ht="70">
      <c r="B124" s="15" t="s">
        <v>527</v>
      </c>
      <c r="C124" s="15"/>
      <c r="D124" s="13">
        <v>16.399999999999999</v>
      </c>
      <c r="E124" s="14" t="s">
        <v>231</v>
      </c>
      <c r="F124" s="13"/>
      <c r="G124" s="13" t="s">
        <v>429</v>
      </c>
      <c r="H124" s="13" t="s">
        <v>521</v>
      </c>
      <c r="I124" s="14"/>
      <c r="J124" s="14"/>
      <c r="K124" s="14"/>
      <c r="L124" s="16"/>
      <c r="M124" s="24">
        <f>IFERROR(VLOOKUP(tblRiskRegister322[[#This Row],[Asset Class]],tblVCDBIndex[],4,FALSE),"")</f>
        <v>2</v>
      </c>
      <c r="N124" s="24" t="str">
        <f>IFERROR(VLOOKUP(10*tblRiskRegister322[[#This Row],[Safeguard Maturity Score]]+tblRiskRegister322[[#This Row],[VCDB Index]],tblHITIndexWeightTable[],4,FALSE),"")</f>
        <v/>
      </c>
      <c r="O124" s="24">
        <f>VLOOKUP(tblRiskRegister322[[#This Row],[Asset Class]],tblInherentImpacts3046[],2,FALSE)</f>
        <v>4</v>
      </c>
      <c r="P124" s="24">
        <f>VLOOKUP(tblRiskRegister322[[#This Row],[Asset Class]],tblInherentImpacts3046[],3,FALSE)</f>
        <v>2</v>
      </c>
      <c r="Q124" s="24">
        <f>VLOOKUP(tblRiskRegister322[[#This Row],[Asset Class]],tblInherentImpacts3046[],4,FALSE)</f>
        <v>4</v>
      </c>
      <c r="R124" s="24">
        <f>VLOOKUP(tblRiskRegister322[[#This Row],[Asset Class]],tblInherentImpacts3046[],5,FALSE)</f>
        <v>4</v>
      </c>
      <c r="S124" s="24" t="str">
        <f>IFERROR(MAX(tblRiskRegister322[[#This Row],[Impact to Mission]:[Impact to Obligations]])*tblRiskRegister322[[#This Row],[Expectancy Score]],"")</f>
        <v/>
      </c>
      <c r="T124" s="24" t="str">
        <f>tblRiskRegister322[[#This Row],[Risk Score]]</f>
        <v/>
      </c>
      <c r="U124" s="13"/>
      <c r="V124" s="86">
        <v>16.399999999999999</v>
      </c>
      <c r="W124" s="15" t="s">
        <v>231</v>
      </c>
      <c r="X124" s="15" t="s">
        <v>417</v>
      </c>
      <c r="Y124" s="15"/>
      <c r="Z124" s="16"/>
      <c r="AA124" s="23" t="str">
        <f>IFERROR(VLOOKUP(10*tblRiskRegister322[[#This Row],[Risk Treatment Safeguard Maturity Score]]+tblRiskRegister322[[#This Row],[VCDB Index]],tblHITIndexWeightTable[],4,FALSE),"")</f>
        <v/>
      </c>
      <c r="AB124" s="108">
        <f>VLOOKUP(tblRiskRegister322[[#This Row],[Asset Class]],tblInherentImpacts3046[],2,FALSE)</f>
        <v>4</v>
      </c>
      <c r="AC124" s="108">
        <f>VLOOKUP(tblRiskRegister322[[#This Row],[Asset Class]],tblInherentImpacts3046[],3,FALSE)</f>
        <v>2</v>
      </c>
      <c r="AD124" s="108">
        <f>VLOOKUP(tblRiskRegister322[[#This Row],[Asset Class]],tblInherentImpacts3046[],4,FALSE)</f>
        <v>4</v>
      </c>
      <c r="AE124" s="108">
        <f>VLOOKUP(tblRiskRegister322[[#This Row],[Asset Class]],tblInherentImpacts3046[],5,FALSE)</f>
        <v>4</v>
      </c>
      <c r="AF124" s="23" t="str">
        <f>IFERROR(MAX(tblRiskRegister322[[#This Row],[Risk Treatment Safeguard Impact to Mission]:[Risk Treatment Safeguard Impact to Obligations]])*tblRiskRegister322[[#This Row],[Risk Treatment
Safeguard Expectancy Score]],"")</f>
        <v/>
      </c>
      <c r="AG124" s="23" t="str" cm="1">
        <f t="array" ref="AG124">IF(tblRiskRegister322[[#This Row],[Risk Score]]&gt;=AcceptableRisk1,IF(tblRiskRegister322[[#This Row],[Risk Treatment Safeguard Risk Score]]&lt;AcceptableRisk1, IF(tblRiskRegister322[[#This Row],[Risk Treatment Safeguard Risk Score]]&lt;tblRiskRegister322[[#This Row],[Risk Score]],"Yes","No"),"No"),"Yes")</f>
        <v>No</v>
      </c>
      <c r="AH124" s="17"/>
      <c r="AI124" s="17"/>
      <c r="AJ124" s="18"/>
    </row>
    <row r="125" spans="2:36" ht="42">
      <c r="B125" s="15" t="s">
        <v>527</v>
      </c>
      <c r="C125" s="15"/>
      <c r="D125" s="13">
        <v>16.5</v>
      </c>
      <c r="E125" s="14" t="s">
        <v>168</v>
      </c>
      <c r="F125" s="13"/>
      <c r="G125" s="13" t="s">
        <v>429</v>
      </c>
      <c r="H125" s="13" t="s">
        <v>523</v>
      </c>
      <c r="I125" s="14"/>
      <c r="J125" s="14"/>
      <c r="K125" s="14"/>
      <c r="L125" s="16"/>
      <c r="M125" s="24">
        <f>IFERROR(VLOOKUP(tblRiskRegister322[[#This Row],[Asset Class]],tblVCDBIndex[],4,FALSE),"")</f>
        <v>2</v>
      </c>
      <c r="N125" s="24" t="str">
        <f>IFERROR(VLOOKUP(10*tblRiskRegister322[[#This Row],[Safeguard Maturity Score]]+tblRiskRegister322[[#This Row],[VCDB Index]],tblHITIndexWeightTable[],4,FALSE),"")</f>
        <v/>
      </c>
      <c r="O125" s="24">
        <f>VLOOKUP(tblRiskRegister322[[#This Row],[Asset Class]],tblInherentImpacts3046[],2,FALSE)</f>
        <v>4</v>
      </c>
      <c r="P125" s="24">
        <f>VLOOKUP(tblRiskRegister322[[#This Row],[Asset Class]],tblInherentImpacts3046[],3,FALSE)</f>
        <v>2</v>
      </c>
      <c r="Q125" s="24">
        <f>VLOOKUP(tblRiskRegister322[[#This Row],[Asset Class]],tblInherentImpacts3046[],4,FALSE)</f>
        <v>4</v>
      </c>
      <c r="R125" s="24">
        <f>VLOOKUP(tblRiskRegister322[[#This Row],[Asset Class]],tblInherentImpacts3046[],5,FALSE)</f>
        <v>4</v>
      </c>
      <c r="S125" s="24" t="str">
        <f>IFERROR(MAX(tblRiskRegister322[[#This Row],[Impact to Mission]:[Impact to Obligations]])*tblRiskRegister322[[#This Row],[Expectancy Score]],"")</f>
        <v/>
      </c>
      <c r="T125" s="24" t="str">
        <f>tblRiskRegister322[[#This Row],[Risk Score]]</f>
        <v/>
      </c>
      <c r="U125" s="13"/>
      <c r="V125" s="86">
        <v>16.5</v>
      </c>
      <c r="W125" s="15" t="s">
        <v>168</v>
      </c>
      <c r="X125" s="15" t="s">
        <v>418</v>
      </c>
      <c r="Y125" s="15"/>
      <c r="Z125" s="16"/>
      <c r="AA125" s="23" t="str">
        <f>IFERROR(VLOOKUP(10*tblRiskRegister322[[#This Row],[Risk Treatment Safeguard Maturity Score]]+tblRiskRegister322[[#This Row],[VCDB Index]],tblHITIndexWeightTable[],4,FALSE),"")</f>
        <v/>
      </c>
      <c r="AB125" s="108">
        <f>VLOOKUP(tblRiskRegister322[[#This Row],[Asset Class]],tblInherentImpacts3046[],2,FALSE)</f>
        <v>4</v>
      </c>
      <c r="AC125" s="108">
        <f>VLOOKUP(tblRiskRegister322[[#This Row],[Asset Class]],tblInherentImpacts3046[],3,FALSE)</f>
        <v>2</v>
      </c>
      <c r="AD125" s="108">
        <f>VLOOKUP(tblRiskRegister322[[#This Row],[Asset Class]],tblInherentImpacts3046[],4,FALSE)</f>
        <v>4</v>
      </c>
      <c r="AE125" s="108">
        <f>VLOOKUP(tblRiskRegister322[[#This Row],[Asset Class]],tblInherentImpacts3046[],5,FALSE)</f>
        <v>4</v>
      </c>
      <c r="AF125" s="23" t="str">
        <f>IFERROR(MAX(tblRiskRegister322[[#This Row],[Risk Treatment Safeguard Impact to Mission]:[Risk Treatment Safeguard Impact to Obligations]])*tblRiskRegister322[[#This Row],[Risk Treatment
Safeguard Expectancy Score]],"")</f>
        <v/>
      </c>
      <c r="AG125" s="23" t="str" cm="1">
        <f t="array" ref="AG125">IF(tblRiskRegister322[[#This Row],[Risk Score]]&gt;=AcceptableRisk1,IF(tblRiskRegister322[[#This Row],[Risk Treatment Safeguard Risk Score]]&lt;AcceptableRisk1, IF(tblRiskRegister322[[#This Row],[Risk Treatment Safeguard Risk Score]]&lt;tblRiskRegister322[[#This Row],[Risk Score]],"Yes","No"),"No"),"Yes")</f>
        <v>No</v>
      </c>
      <c r="AH125" s="17"/>
      <c r="AI125" s="17"/>
      <c r="AJ125" s="18"/>
    </row>
    <row r="126" spans="2:36" ht="84">
      <c r="B126" s="15" t="s">
        <v>528</v>
      </c>
      <c r="C126" s="15"/>
      <c r="D126" s="13">
        <v>16.600000000000001</v>
      </c>
      <c r="E126" s="14" t="s">
        <v>169</v>
      </c>
      <c r="F126" s="13"/>
      <c r="G126" s="13" t="s">
        <v>429</v>
      </c>
      <c r="H126" s="13" t="s">
        <v>532</v>
      </c>
      <c r="I126" s="14"/>
      <c r="J126" s="14"/>
      <c r="K126" s="14"/>
      <c r="L126" s="16"/>
      <c r="M126" s="24">
        <f>IFERROR(VLOOKUP(tblRiskRegister322[[#This Row],[Asset Class]],tblVCDBIndex[],4,FALSE),"")</f>
        <v>2</v>
      </c>
      <c r="N126" s="24" t="str">
        <f>IFERROR(VLOOKUP(10*tblRiskRegister322[[#This Row],[Safeguard Maturity Score]]+tblRiskRegister322[[#This Row],[VCDB Index]],tblHITIndexWeightTable[],4,FALSE),"")</f>
        <v/>
      </c>
      <c r="O126" s="24">
        <f>VLOOKUP(tblRiskRegister322[[#This Row],[Asset Class]],tblInherentImpacts3046[],2,FALSE)</f>
        <v>2</v>
      </c>
      <c r="P126" s="24">
        <f>VLOOKUP(tblRiskRegister322[[#This Row],[Asset Class]],tblInherentImpacts3046[],3,FALSE)</f>
        <v>3</v>
      </c>
      <c r="Q126" s="24">
        <f>VLOOKUP(tblRiskRegister322[[#This Row],[Asset Class]],tblInherentImpacts3046[],4,FALSE)</f>
        <v>2</v>
      </c>
      <c r="R126" s="24">
        <f>VLOOKUP(tblRiskRegister322[[#This Row],[Asset Class]],tblInherentImpacts3046[],5,FALSE)</f>
        <v>2</v>
      </c>
      <c r="S126" s="24" t="str">
        <f>IFERROR(MAX(tblRiskRegister322[[#This Row],[Impact to Mission]:[Impact to Obligations]])*tblRiskRegister322[[#This Row],[Expectancy Score]],"")</f>
        <v/>
      </c>
      <c r="T126" s="24" t="str">
        <f>tblRiskRegister322[[#This Row],[Risk Score]]</f>
        <v/>
      </c>
      <c r="U126" s="13"/>
      <c r="V126" s="86">
        <v>16.600000000000001</v>
      </c>
      <c r="W126" s="15" t="s">
        <v>169</v>
      </c>
      <c r="X126" s="15" t="s">
        <v>419</v>
      </c>
      <c r="Y126" s="15"/>
      <c r="Z126" s="16"/>
      <c r="AA126" s="23" t="str">
        <f>IFERROR(VLOOKUP(10*tblRiskRegister322[[#This Row],[Risk Treatment Safeguard Maturity Score]]+tblRiskRegister322[[#This Row],[VCDB Index]],tblHITIndexWeightTable[],4,FALSE),"")</f>
        <v/>
      </c>
      <c r="AB126" s="108">
        <f>VLOOKUP(tblRiskRegister322[[#This Row],[Asset Class]],tblInherentImpacts3046[],2,FALSE)</f>
        <v>2</v>
      </c>
      <c r="AC126" s="108">
        <f>VLOOKUP(tblRiskRegister322[[#This Row],[Asset Class]],tblInherentImpacts3046[],3,FALSE)</f>
        <v>3</v>
      </c>
      <c r="AD126" s="108">
        <f>VLOOKUP(tblRiskRegister322[[#This Row],[Asset Class]],tblInherentImpacts3046[],4,FALSE)</f>
        <v>2</v>
      </c>
      <c r="AE126" s="108">
        <f>VLOOKUP(tblRiskRegister322[[#This Row],[Asset Class]],tblInherentImpacts3046[],5,FALSE)</f>
        <v>2</v>
      </c>
      <c r="AF126" s="23" t="str">
        <f>IFERROR(MAX(tblRiskRegister322[[#This Row],[Risk Treatment Safeguard Impact to Mission]:[Risk Treatment Safeguard Impact to Obligations]])*tblRiskRegister322[[#This Row],[Risk Treatment
Safeguard Expectancy Score]],"")</f>
        <v/>
      </c>
      <c r="AG126" s="23" t="str" cm="1">
        <f t="array" ref="AG126">IF(tblRiskRegister322[[#This Row],[Risk Score]]&gt;=AcceptableRisk1,IF(tblRiskRegister322[[#This Row],[Risk Treatment Safeguard Risk Score]]&lt;AcceptableRisk1, IF(tblRiskRegister322[[#This Row],[Risk Treatment Safeguard Risk Score]]&lt;tblRiskRegister322[[#This Row],[Risk Score]],"Yes","No"),"No"),"Yes")</f>
        <v>No</v>
      </c>
      <c r="AH126" s="17"/>
      <c r="AI126" s="17"/>
      <c r="AJ126" s="18"/>
    </row>
    <row r="127" spans="2:36" ht="56">
      <c r="B127" s="15" t="s">
        <v>527</v>
      </c>
      <c r="C127" s="15"/>
      <c r="D127" s="13">
        <v>16.7</v>
      </c>
      <c r="E127" s="14" t="s">
        <v>170</v>
      </c>
      <c r="F127" s="13"/>
      <c r="G127" s="13" t="s">
        <v>429</v>
      </c>
      <c r="H127" s="13" t="s">
        <v>523</v>
      </c>
      <c r="I127" s="14"/>
      <c r="J127" s="14"/>
      <c r="K127" s="14"/>
      <c r="L127" s="16"/>
      <c r="M127" s="24">
        <f>IFERROR(VLOOKUP(tblRiskRegister322[[#This Row],[Asset Class]],tblVCDBIndex[],4,FALSE),"")</f>
        <v>2</v>
      </c>
      <c r="N127" s="24" t="str">
        <f>IFERROR(VLOOKUP(10*tblRiskRegister322[[#This Row],[Safeguard Maturity Score]]+tblRiskRegister322[[#This Row],[VCDB Index]],tblHITIndexWeightTable[],4,FALSE),"")</f>
        <v/>
      </c>
      <c r="O127" s="24">
        <f>VLOOKUP(tblRiskRegister322[[#This Row],[Asset Class]],tblInherentImpacts3046[],2,FALSE)</f>
        <v>4</v>
      </c>
      <c r="P127" s="24">
        <f>VLOOKUP(tblRiskRegister322[[#This Row],[Asset Class]],tblInherentImpacts3046[],3,FALSE)</f>
        <v>2</v>
      </c>
      <c r="Q127" s="24">
        <f>VLOOKUP(tblRiskRegister322[[#This Row],[Asset Class]],tblInherentImpacts3046[],4,FALSE)</f>
        <v>4</v>
      </c>
      <c r="R127" s="24">
        <f>VLOOKUP(tblRiskRegister322[[#This Row],[Asset Class]],tblInherentImpacts3046[],5,FALSE)</f>
        <v>4</v>
      </c>
      <c r="S127" s="24" t="str">
        <f>IFERROR(MAX(tblRiskRegister322[[#This Row],[Impact to Mission]:[Impact to Obligations]])*tblRiskRegister322[[#This Row],[Expectancy Score]],"")</f>
        <v/>
      </c>
      <c r="T127" s="24" t="str">
        <f>tblRiskRegister322[[#This Row],[Risk Score]]</f>
        <v/>
      </c>
      <c r="U127" s="13"/>
      <c r="V127" s="86">
        <v>16.7</v>
      </c>
      <c r="W127" s="15" t="s">
        <v>170</v>
      </c>
      <c r="X127" s="15" t="s">
        <v>420</v>
      </c>
      <c r="Y127" s="15"/>
      <c r="Z127" s="16"/>
      <c r="AA127" s="23" t="str">
        <f>IFERROR(VLOOKUP(10*tblRiskRegister322[[#This Row],[Risk Treatment Safeguard Maturity Score]]+tblRiskRegister322[[#This Row],[VCDB Index]],tblHITIndexWeightTable[],4,FALSE),"")</f>
        <v/>
      </c>
      <c r="AB127" s="108">
        <f>VLOOKUP(tblRiskRegister322[[#This Row],[Asset Class]],tblInherentImpacts3046[],2,FALSE)</f>
        <v>4</v>
      </c>
      <c r="AC127" s="108">
        <f>VLOOKUP(tblRiskRegister322[[#This Row],[Asset Class]],tblInherentImpacts3046[],3,FALSE)</f>
        <v>2</v>
      </c>
      <c r="AD127" s="108">
        <f>VLOOKUP(tblRiskRegister322[[#This Row],[Asset Class]],tblInherentImpacts3046[],4,FALSE)</f>
        <v>4</v>
      </c>
      <c r="AE127" s="108">
        <f>VLOOKUP(tblRiskRegister322[[#This Row],[Asset Class]],tblInherentImpacts3046[],5,FALSE)</f>
        <v>4</v>
      </c>
      <c r="AF127" s="23" t="str">
        <f>IFERROR(MAX(tblRiskRegister322[[#This Row],[Risk Treatment Safeguard Impact to Mission]:[Risk Treatment Safeguard Impact to Obligations]])*tblRiskRegister322[[#This Row],[Risk Treatment
Safeguard Expectancy Score]],"")</f>
        <v/>
      </c>
      <c r="AG127" s="23" t="str" cm="1">
        <f t="array" ref="AG127">IF(tblRiskRegister322[[#This Row],[Risk Score]]&gt;=AcceptableRisk1,IF(tblRiskRegister322[[#This Row],[Risk Treatment Safeguard Risk Score]]&lt;AcceptableRisk1, IF(tblRiskRegister322[[#This Row],[Risk Treatment Safeguard Risk Score]]&lt;tblRiskRegister322[[#This Row],[Risk Score]],"Yes","No"),"No"),"Yes")</f>
        <v>No</v>
      </c>
      <c r="AH127" s="17"/>
      <c r="AI127" s="17"/>
      <c r="AJ127" s="18"/>
    </row>
    <row r="128" spans="2:36" ht="28">
      <c r="B128" s="15" t="s">
        <v>92</v>
      </c>
      <c r="C128" s="15"/>
      <c r="D128" s="13">
        <v>16.8</v>
      </c>
      <c r="E128" s="14" t="s">
        <v>171</v>
      </c>
      <c r="F128" s="13"/>
      <c r="G128" s="13" t="s">
        <v>429</v>
      </c>
      <c r="H128" s="13" t="s">
        <v>523</v>
      </c>
      <c r="I128" s="14"/>
      <c r="J128" s="14"/>
      <c r="K128" s="14"/>
      <c r="L128" s="16"/>
      <c r="M128" s="24">
        <f>IFERROR(VLOOKUP(tblRiskRegister322[[#This Row],[Asset Class]],tblVCDBIndex[],4,FALSE),"")</f>
        <v>1</v>
      </c>
      <c r="N128" s="24" t="str">
        <f>IFERROR(VLOOKUP(10*tblRiskRegister322[[#This Row],[Safeguard Maturity Score]]+tblRiskRegister322[[#This Row],[VCDB Index]],tblHITIndexWeightTable[],4,FALSE),"")</f>
        <v/>
      </c>
      <c r="O128" s="24">
        <f>VLOOKUP(tblRiskRegister322[[#This Row],[Asset Class]],tblInherentImpacts3046[],2,FALSE)</f>
        <v>3</v>
      </c>
      <c r="P128" s="24">
        <f>VLOOKUP(tblRiskRegister322[[#This Row],[Asset Class]],tblInherentImpacts3046[],3,FALSE)</f>
        <v>4</v>
      </c>
      <c r="Q128" s="24">
        <f>VLOOKUP(tblRiskRegister322[[#This Row],[Asset Class]],tblInherentImpacts3046[],4,FALSE)</f>
        <v>3</v>
      </c>
      <c r="R128" s="24">
        <f>VLOOKUP(tblRiskRegister322[[#This Row],[Asset Class]],tblInherentImpacts3046[],5,FALSE)</f>
        <v>3</v>
      </c>
      <c r="S128" s="24" t="str">
        <f>IFERROR(MAX(tblRiskRegister322[[#This Row],[Impact to Mission]:[Impact to Obligations]])*tblRiskRegister322[[#This Row],[Expectancy Score]],"")</f>
        <v/>
      </c>
      <c r="T128" s="24" t="str">
        <f>tblRiskRegister322[[#This Row],[Risk Score]]</f>
        <v/>
      </c>
      <c r="U128" s="13"/>
      <c r="V128" s="86">
        <v>16.8</v>
      </c>
      <c r="W128" s="15" t="s">
        <v>171</v>
      </c>
      <c r="X128" s="15" t="s">
        <v>421</v>
      </c>
      <c r="Y128" s="15"/>
      <c r="Z128" s="16"/>
      <c r="AA128" s="23" t="str">
        <f>IFERROR(VLOOKUP(10*tblRiskRegister322[[#This Row],[Risk Treatment Safeguard Maturity Score]]+tblRiskRegister322[[#This Row],[VCDB Index]],tblHITIndexWeightTable[],4,FALSE),"")</f>
        <v/>
      </c>
      <c r="AB128" s="108">
        <f>VLOOKUP(tblRiskRegister322[[#This Row],[Asset Class]],tblInherentImpacts3046[],2,FALSE)</f>
        <v>3</v>
      </c>
      <c r="AC128" s="108">
        <f>VLOOKUP(tblRiskRegister322[[#This Row],[Asset Class]],tblInherentImpacts3046[],3,FALSE)</f>
        <v>4</v>
      </c>
      <c r="AD128" s="108">
        <f>VLOOKUP(tblRiskRegister322[[#This Row],[Asset Class]],tblInherentImpacts3046[],4,FALSE)</f>
        <v>3</v>
      </c>
      <c r="AE128" s="108">
        <f>VLOOKUP(tblRiskRegister322[[#This Row],[Asset Class]],tblInherentImpacts3046[],5,FALSE)</f>
        <v>3</v>
      </c>
      <c r="AF128" s="23" t="str">
        <f>IFERROR(MAX(tblRiskRegister322[[#This Row],[Risk Treatment Safeguard Impact to Mission]:[Risk Treatment Safeguard Impact to Obligations]])*tblRiskRegister322[[#This Row],[Risk Treatment
Safeguard Expectancy Score]],"")</f>
        <v/>
      </c>
      <c r="AG128" s="23" t="str" cm="1">
        <f t="array" ref="AG128">IF(tblRiskRegister322[[#This Row],[Risk Score]]&gt;=AcceptableRisk1,IF(tblRiskRegister322[[#This Row],[Risk Treatment Safeguard Risk Score]]&lt;AcceptableRisk1, IF(tblRiskRegister322[[#This Row],[Risk Treatment Safeguard Risk Score]]&lt;tblRiskRegister322[[#This Row],[Risk Score]],"Yes","No"),"No"),"Yes")</f>
        <v>No</v>
      </c>
      <c r="AH128" s="17"/>
      <c r="AI128" s="17"/>
      <c r="AJ128" s="18"/>
    </row>
    <row r="129" spans="2:36" ht="70">
      <c r="B129" s="15" t="s">
        <v>93</v>
      </c>
      <c r="C129" s="15"/>
      <c r="D129" s="13">
        <v>16.899999999999999</v>
      </c>
      <c r="E129" s="14" t="s">
        <v>172</v>
      </c>
      <c r="F129" s="13"/>
      <c r="G129" s="13" t="s">
        <v>429</v>
      </c>
      <c r="H129" s="13" t="s">
        <v>523</v>
      </c>
      <c r="I129" s="14"/>
      <c r="J129" s="14"/>
      <c r="K129" s="14"/>
      <c r="L129" s="16"/>
      <c r="M129" s="24">
        <f>IFERROR(VLOOKUP(tblRiskRegister322[[#This Row],[Asset Class]],tblVCDBIndex[],4,FALSE),"")</f>
        <v>2</v>
      </c>
      <c r="N129" s="24" t="str">
        <f>IFERROR(VLOOKUP(10*tblRiskRegister322[[#This Row],[Safeguard Maturity Score]]+tblRiskRegister322[[#This Row],[VCDB Index]],tblHITIndexWeightTable[],4,FALSE),"")</f>
        <v/>
      </c>
      <c r="O129" s="24">
        <f>VLOOKUP(tblRiskRegister322[[#This Row],[Asset Class]],tblInherentImpacts3046[],2,FALSE)</f>
        <v>3</v>
      </c>
      <c r="P129" s="24">
        <f>VLOOKUP(tblRiskRegister322[[#This Row],[Asset Class]],tblInherentImpacts3046[],3,FALSE)</f>
        <v>3</v>
      </c>
      <c r="Q129" s="24">
        <f>VLOOKUP(tblRiskRegister322[[#This Row],[Asset Class]],tblInherentImpacts3046[],4,FALSE)</f>
        <v>4</v>
      </c>
      <c r="R129" s="24">
        <f>VLOOKUP(tblRiskRegister322[[#This Row],[Asset Class]],tblInherentImpacts3046[],5,FALSE)</f>
        <v>3</v>
      </c>
      <c r="S129" s="24" t="str">
        <f>IFERROR(MAX(tblRiskRegister322[[#This Row],[Impact to Mission]:[Impact to Obligations]])*tblRiskRegister322[[#This Row],[Expectancy Score]],"")</f>
        <v/>
      </c>
      <c r="T129" s="24" t="str">
        <f>tblRiskRegister322[[#This Row],[Risk Score]]</f>
        <v/>
      </c>
      <c r="U129" s="13"/>
      <c r="V129" s="86">
        <v>16.899999999999999</v>
      </c>
      <c r="W129" s="15" t="s">
        <v>172</v>
      </c>
      <c r="X129" s="15" t="s">
        <v>422</v>
      </c>
      <c r="Y129" s="15"/>
      <c r="Z129" s="16"/>
      <c r="AA129" s="23" t="str">
        <f>IFERROR(VLOOKUP(10*tblRiskRegister322[[#This Row],[Risk Treatment Safeguard Maturity Score]]+tblRiskRegister322[[#This Row],[VCDB Index]],tblHITIndexWeightTable[],4,FALSE),"")</f>
        <v/>
      </c>
      <c r="AB129" s="108">
        <f>VLOOKUP(tblRiskRegister322[[#This Row],[Asset Class]],tblInherentImpacts3046[],2,FALSE)</f>
        <v>3</v>
      </c>
      <c r="AC129" s="108">
        <f>VLOOKUP(tblRiskRegister322[[#This Row],[Asset Class]],tblInherentImpacts3046[],3,FALSE)</f>
        <v>3</v>
      </c>
      <c r="AD129" s="108">
        <f>VLOOKUP(tblRiskRegister322[[#This Row],[Asset Class]],tblInherentImpacts3046[],4,FALSE)</f>
        <v>4</v>
      </c>
      <c r="AE129" s="108">
        <f>VLOOKUP(tblRiskRegister322[[#This Row],[Asset Class]],tblInherentImpacts3046[],5,FALSE)</f>
        <v>3</v>
      </c>
      <c r="AF129" s="23" t="str">
        <f>IFERROR(MAX(tblRiskRegister322[[#This Row],[Risk Treatment Safeguard Impact to Mission]:[Risk Treatment Safeguard Impact to Obligations]])*tblRiskRegister322[[#This Row],[Risk Treatment
Safeguard Expectancy Score]],"")</f>
        <v/>
      </c>
      <c r="AG129" s="23" t="str" cm="1">
        <f t="array" ref="AG129">IF(tblRiskRegister322[[#This Row],[Risk Score]]&gt;=AcceptableRisk1,IF(tblRiskRegister322[[#This Row],[Risk Treatment Safeguard Risk Score]]&lt;AcceptableRisk1, IF(tblRiskRegister322[[#This Row],[Risk Treatment Safeguard Risk Score]]&lt;tblRiskRegister322[[#This Row],[Risk Score]],"Yes","No"),"No"),"Yes")</f>
        <v>No</v>
      </c>
      <c r="AH129" s="17"/>
      <c r="AI129" s="17"/>
      <c r="AJ129" s="18"/>
    </row>
    <row r="130" spans="2:36" ht="98">
      <c r="B130" s="15" t="s">
        <v>527</v>
      </c>
      <c r="C130" s="15"/>
      <c r="D130" s="98">
        <v>16.100000000000001</v>
      </c>
      <c r="E130" s="14" t="s">
        <v>173</v>
      </c>
      <c r="F130" s="13"/>
      <c r="G130" s="13" t="s">
        <v>429</v>
      </c>
      <c r="H130" s="13" t="s">
        <v>523</v>
      </c>
      <c r="I130" s="14"/>
      <c r="J130" s="14"/>
      <c r="K130" s="14"/>
      <c r="L130" s="16"/>
      <c r="M130" s="24">
        <f>IFERROR(VLOOKUP(tblRiskRegister322[[#This Row],[Asset Class]],tblVCDBIndex[],4,FALSE),"")</f>
        <v>2</v>
      </c>
      <c r="N130" s="24" t="str">
        <f>IFERROR(VLOOKUP(10*tblRiskRegister322[[#This Row],[Safeguard Maturity Score]]+tblRiskRegister322[[#This Row],[VCDB Index]],tblHITIndexWeightTable[],4,FALSE),"")</f>
        <v/>
      </c>
      <c r="O130" s="24">
        <f>VLOOKUP(tblRiskRegister322[[#This Row],[Asset Class]],tblInherentImpacts3046[],2,FALSE)</f>
        <v>4</v>
      </c>
      <c r="P130" s="24">
        <f>VLOOKUP(tblRiskRegister322[[#This Row],[Asset Class]],tblInherentImpacts3046[],3,FALSE)</f>
        <v>2</v>
      </c>
      <c r="Q130" s="24">
        <f>VLOOKUP(tblRiskRegister322[[#This Row],[Asset Class]],tblInherentImpacts3046[],4,FALSE)</f>
        <v>4</v>
      </c>
      <c r="R130" s="24">
        <f>VLOOKUP(tblRiskRegister322[[#This Row],[Asset Class]],tblInherentImpacts3046[],5,FALSE)</f>
        <v>4</v>
      </c>
      <c r="S130" s="24" t="str">
        <f>IFERROR(MAX(tblRiskRegister322[[#This Row],[Impact to Mission]:[Impact to Obligations]])*tblRiskRegister322[[#This Row],[Expectancy Score]],"")</f>
        <v/>
      </c>
      <c r="T130" s="24" t="str">
        <f>tblRiskRegister322[[#This Row],[Risk Score]]</f>
        <v/>
      </c>
      <c r="U130" s="13"/>
      <c r="V130" s="219">
        <v>16.100000000000001</v>
      </c>
      <c r="W130" s="15" t="s">
        <v>173</v>
      </c>
      <c r="X130" s="15" t="s">
        <v>423</v>
      </c>
      <c r="Y130" s="15"/>
      <c r="Z130" s="16"/>
      <c r="AA130" s="23" t="str">
        <f>IFERROR(VLOOKUP(10*tblRiskRegister322[[#This Row],[Risk Treatment Safeguard Maturity Score]]+tblRiskRegister322[[#This Row],[VCDB Index]],tblHITIndexWeightTable[],4,FALSE),"")</f>
        <v/>
      </c>
      <c r="AB130" s="108">
        <f>VLOOKUP(tblRiskRegister322[[#This Row],[Asset Class]],tblInherentImpacts3046[],2,FALSE)</f>
        <v>4</v>
      </c>
      <c r="AC130" s="108">
        <f>VLOOKUP(tblRiskRegister322[[#This Row],[Asset Class]],tblInherentImpacts3046[],3,FALSE)</f>
        <v>2</v>
      </c>
      <c r="AD130" s="108">
        <f>VLOOKUP(tblRiskRegister322[[#This Row],[Asset Class]],tblInherentImpacts3046[],4,FALSE)</f>
        <v>4</v>
      </c>
      <c r="AE130" s="108">
        <f>VLOOKUP(tblRiskRegister322[[#This Row],[Asset Class]],tblInherentImpacts3046[],5,FALSE)</f>
        <v>4</v>
      </c>
      <c r="AF130" s="23" t="str">
        <f>IFERROR(MAX(tblRiskRegister322[[#This Row],[Risk Treatment Safeguard Impact to Mission]:[Risk Treatment Safeguard Impact to Obligations]])*tblRiskRegister322[[#This Row],[Risk Treatment
Safeguard Expectancy Score]],"")</f>
        <v/>
      </c>
      <c r="AG130" s="23" t="str" cm="1">
        <f t="array" ref="AG130">IF(tblRiskRegister322[[#This Row],[Risk Score]]&gt;=AcceptableRisk1,IF(tblRiskRegister322[[#This Row],[Risk Treatment Safeguard Risk Score]]&lt;AcceptableRisk1, IF(tblRiskRegister322[[#This Row],[Risk Treatment Safeguard Risk Score]]&lt;tblRiskRegister322[[#This Row],[Risk Score]],"Yes","No"),"No"),"Yes")</f>
        <v>No</v>
      </c>
      <c r="AH130" s="17"/>
      <c r="AI130" s="17"/>
      <c r="AJ130" s="18"/>
    </row>
    <row r="131" spans="2:36" ht="98">
      <c r="B131" s="15" t="s">
        <v>527</v>
      </c>
      <c r="C131" s="15"/>
      <c r="D131" s="13">
        <v>16.11</v>
      </c>
      <c r="E131" s="14" t="s">
        <v>174</v>
      </c>
      <c r="F131" s="13"/>
      <c r="G131" s="13" t="s">
        <v>429</v>
      </c>
      <c r="H131" s="13" t="s">
        <v>523</v>
      </c>
      <c r="I131" s="14"/>
      <c r="J131" s="14"/>
      <c r="K131" s="14"/>
      <c r="L131" s="16"/>
      <c r="M131" s="24">
        <f>IFERROR(VLOOKUP(tblRiskRegister322[[#This Row],[Asset Class]],tblVCDBIndex[],4,FALSE),"")</f>
        <v>2</v>
      </c>
      <c r="N131" s="24" t="str">
        <f>IFERROR(VLOOKUP(10*tblRiskRegister322[[#This Row],[Safeguard Maturity Score]]+tblRiskRegister322[[#This Row],[VCDB Index]],tblHITIndexWeightTable[],4,FALSE),"")</f>
        <v/>
      </c>
      <c r="O131" s="24">
        <f>VLOOKUP(tblRiskRegister322[[#This Row],[Asset Class]],tblInherentImpacts3046[],2,FALSE)</f>
        <v>4</v>
      </c>
      <c r="P131" s="24">
        <f>VLOOKUP(tblRiskRegister322[[#This Row],[Asset Class]],tblInherentImpacts3046[],3,FALSE)</f>
        <v>2</v>
      </c>
      <c r="Q131" s="24">
        <f>VLOOKUP(tblRiskRegister322[[#This Row],[Asset Class]],tblInherentImpacts3046[],4,FALSE)</f>
        <v>4</v>
      </c>
      <c r="R131" s="24">
        <f>VLOOKUP(tblRiskRegister322[[#This Row],[Asset Class]],tblInherentImpacts3046[],5,FALSE)</f>
        <v>4</v>
      </c>
      <c r="S131" s="24" t="str">
        <f>IFERROR(MAX(tblRiskRegister322[[#This Row],[Impact to Mission]:[Impact to Obligations]])*tblRiskRegister322[[#This Row],[Expectancy Score]],"")</f>
        <v/>
      </c>
      <c r="T131" s="24" t="str">
        <f>tblRiskRegister322[[#This Row],[Risk Score]]</f>
        <v/>
      </c>
      <c r="U131" s="13"/>
      <c r="V131" s="86">
        <v>16.11</v>
      </c>
      <c r="W131" s="15" t="s">
        <v>174</v>
      </c>
      <c r="X131" s="15" t="s">
        <v>560</v>
      </c>
      <c r="Y131" s="15"/>
      <c r="Z131" s="16"/>
      <c r="AA131" s="23" t="str">
        <f>IFERROR(VLOOKUP(10*tblRiskRegister322[[#This Row],[Risk Treatment Safeguard Maturity Score]]+tblRiskRegister322[[#This Row],[VCDB Index]],tblHITIndexWeightTable[],4,FALSE),"")</f>
        <v/>
      </c>
      <c r="AB131" s="108">
        <f>VLOOKUP(tblRiskRegister322[[#This Row],[Asset Class]],tblInherentImpacts3046[],2,FALSE)</f>
        <v>4</v>
      </c>
      <c r="AC131" s="108">
        <f>VLOOKUP(tblRiskRegister322[[#This Row],[Asset Class]],tblInherentImpacts3046[],3,FALSE)</f>
        <v>2</v>
      </c>
      <c r="AD131" s="108">
        <f>VLOOKUP(tblRiskRegister322[[#This Row],[Asset Class]],tblInherentImpacts3046[],4,FALSE)</f>
        <v>4</v>
      </c>
      <c r="AE131" s="108">
        <f>VLOOKUP(tblRiskRegister322[[#This Row],[Asset Class]],tblInherentImpacts3046[],5,FALSE)</f>
        <v>4</v>
      </c>
      <c r="AF131" s="23" t="str">
        <f>IFERROR(MAX(tblRiskRegister322[[#This Row],[Risk Treatment Safeguard Impact to Mission]:[Risk Treatment Safeguard Impact to Obligations]])*tblRiskRegister322[[#This Row],[Risk Treatment
Safeguard Expectancy Score]],"")</f>
        <v/>
      </c>
      <c r="AG131" s="23" t="str" cm="1">
        <f t="array" ref="AG131">IF(tblRiskRegister322[[#This Row],[Risk Score]]&gt;=AcceptableRisk1,IF(tblRiskRegister322[[#This Row],[Risk Treatment Safeguard Risk Score]]&lt;AcceptableRisk1, IF(tblRiskRegister322[[#This Row],[Risk Treatment Safeguard Risk Score]]&lt;tblRiskRegister322[[#This Row],[Risk Score]],"Yes","No"),"No"),"Yes")</f>
        <v>No</v>
      </c>
      <c r="AH131" s="17"/>
      <c r="AI131" s="17"/>
      <c r="AJ131" s="18"/>
    </row>
    <row r="132" spans="2:36" ht="84">
      <c r="B132" s="15" t="s">
        <v>93</v>
      </c>
      <c r="C132" s="15"/>
      <c r="D132" s="13">
        <v>17.100000000000001</v>
      </c>
      <c r="E132" s="14" t="s">
        <v>87</v>
      </c>
      <c r="F132" s="13" t="s">
        <v>429</v>
      </c>
      <c r="G132" s="13" t="s">
        <v>429</v>
      </c>
      <c r="H132" s="13" t="s">
        <v>522</v>
      </c>
      <c r="I132" s="14"/>
      <c r="J132" s="14"/>
      <c r="K132" s="14"/>
      <c r="L132" s="16"/>
      <c r="M132" s="24">
        <f>IFERROR(VLOOKUP(tblRiskRegister322[[#This Row],[Asset Class]],tblVCDBIndex[],4,FALSE),"")</f>
        <v>2</v>
      </c>
      <c r="N132" s="24" t="str">
        <f>IFERROR(VLOOKUP(10*tblRiskRegister322[[#This Row],[Safeguard Maturity Score]]+tblRiskRegister322[[#This Row],[VCDB Index]],tblHITIndexWeightTable[],4,FALSE),"")</f>
        <v/>
      </c>
      <c r="O132" s="24">
        <f>VLOOKUP(tblRiskRegister322[[#This Row],[Asset Class]],tblInherentImpacts3046[],2,FALSE)</f>
        <v>3</v>
      </c>
      <c r="P132" s="24">
        <f>VLOOKUP(tblRiskRegister322[[#This Row],[Asset Class]],tblInherentImpacts3046[],3,FALSE)</f>
        <v>3</v>
      </c>
      <c r="Q132" s="24">
        <f>VLOOKUP(tblRiskRegister322[[#This Row],[Asset Class]],tblInherentImpacts3046[],4,FALSE)</f>
        <v>4</v>
      </c>
      <c r="R132" s="24">
        <f>VLOOKUP(tblRiskRegister322[[#This Row],[Asset Class]],tblInherentImpacts3046[],5,FALSE)</f>
        <v>3</v>
      </c>
      <c r="S132" s="24" t="str">
        <f>IFERROR(MAX(tblRiskRegister322[[#This Row],[Impact to Mission]:[Impact to Obligations]])*tblRiskRegister322[[#This Row],[Expectancy Score]],"")</f>
        <v/>
      </c>
      <c r="T132" s="24" t="str">
        <f>tblRiskRegister322[[#This Row],[Risk Score]]</f>
        <v/>
      </c>
      <c r="U132" s="13"/>
      <c r="V132" s="86">
        <v>17.100000000000001</v>
      </c>
      <c r="W132" s="15" t="s">
        <v>87</v>
      </c>
      <c r="X132" s="15" t="s">
        <v>561</v>
      </c>
      <c r="Y132" s="26"/>
      <c r="Z132" s="16"/>
      <c r="AA132" s="23" t="str">
        <f>IFERROR(VLOOKUP(10*tblRiskRegister322[[#This Row],[Risk Treatment Safeguard Maturity Score]]+tblRiskRegister322[[#This Row],[VCDB Index]],tblHITIndexWeightTable[],4,FALSE),"")</f>
        <v/>
      </c>
      <c r="AB132" s="108">
        <f>VLOOKUP(tblRiskRegister322[[#This Row],[Asset Class]],tblInherentImpacts3046[],2,FALSE)</f>
        <v>3</v>
      </c>
      <c r="AC132" s="108">
        <f>VLOOKUP(tblRiskRegister322[[#This Row],[Asset Class]],tblInherentImpacts3046[],3,FALSE)</f>
        <v>3</v>
      </c>
      <c r="AD132" s="108">
        <f>VLOOKUP(tblRiskRegister322[[#This Row],[Asset Class]],tblInherentImpacts3046[],4,FALSE)</f>
        <v>4</v>
      </c>
      <c r="AE132" s="108">
        <f>VLOOKUP(tblRiskRegister322[[#This Row],[Asset Class]],tblInherentImpacts3046[],5,FALSE)</f>
        <v>3</v>
      </c>
      <c r="AF132" s="23" t="str">
        <f>IFERROR(MAX(tblRiskRegister322[[#This Row],[Risk Treatment Safeguard Impact to Mission]:[Risk Treatment Safeguard Impact to Obligations]])*tblRiskRegister322[[#This Row],[Risk Treatment
Safeguard Expectancy Score]],"")</f>
        <v/>
      </c>
      <c r="AG132" s="23" t="str" cm="1">
        <f t="array" ref="AG132">IF(tblRiskRegister322[[#This Row],[Risk Score]]&gt;=AcceptableRisk1,IF(tblRiskRegister322[[#This Row],[Risk Treatment Safeguard Risk Score]]&lt;AcceptableRisk1, IF(tblRiskRegister322[[#This Row],[Risk Treatment Safeguard Risk Score]]&lt;tblRiskRegister322[[#This Row],[Risk Score]],"Yes","No"),"No"),"Yes")</f>
        <v>No</v>
      </c>
      <c r="AH132" s="17"/>
      <c r="AI132" s="17"/>
      <c r="AJ132" s="18"/>
    </row>
    <row r="133" spans="2:36" ht="70">
      <c r="B133" s="15" t="s">
        <v>528</v>
      </c>
      <c r="C133" s="15"/>
      <c r="D133" s="13">
        <v>17.2</v>
      </c>
      <c r="E133" s="14" t="s">
        <v>88</v>
      </c>
      <c r="F133" s="13" t="s">
        <v>429</v>
      </c>
      <c r="G133" s="13" t="s">
        <v>429</v>
      </c>
      <c r="H133" s="13" t="s">
        <v>532</v>
      </c>
      <c r="I133" s="14"/>
      <c r="J133" s="14"/>
      <c r="K133" s="14"/>
      <c r="L133" s="16"/>
      <c r="M133" s="24">
        <f>IFERROR(VLOOKUP(tblRiskRegister322[[#This Row],[Asset Class]],tblVCDBIndex[],4,FALSE),"")</f>
        <v>2</v>
      </c>
      <c r="N133" s="24" t="str">
        <f>IFERROR(VLOOKUP(10*tblRiskRegister322[[#This Row],[Safeguard Maturity Score]]+tblRiskRegister322[[#This Row],[VCDB Index]],tblHITIndexWeightTable[],4,FALSE),"")</f>
        <v/>
      </c>
      <c r="O133" s="24">
        <f>VLOOKUP(tblRiskRegister322[[#This Row],[Asset Class]],tblInherentImpacts3046[],2,FALSE)</f>
        <v>2</v>
      </c>
      <c r="P133" s="24">
        <f>VLOOKUP(tblRiskRegister322[[#This Row],[Asset Class]],tblInherentImpacts3046[],3,FALSE)</f>
        <v>3</v>
      </c>
      <c r="Q133" s="24">
        <f>VLOOKUP(tblRiskRegister322[[#This Row],[Asset Class]],tblInherentImpacts3046[],4,FALSE)</f>
        <v>2</v>
      </c>
      <c r="R133" s="24">
        <f>VLOOKUP(tblRiskRegister322[[#This Row],[Asset Class]],tblInherentImpacts3046[],5,FALSE)</f>
        <v>2</v>
      </c>
      <c r="S133" s="24" t="str">
        <f>IFERROR(MAX(tblRiskRegister322[[#This Row],[Impact to Mission]:[Impact to Obligations]])*tblRiskRegister322[[#This Row],[Expectancy Score]],"")</f>
        <v/>
      </c>
      <c r="T133" s="24" t="str">
        <f>tblRiskRegister322[[#This Row],[Risk Score]]</f>
        <v/>
      </c>
      <c r="U133" s="13"/>
      <c r="V133" s="86">
        <v>17.2</v>
      </c>
      <c r="W133" s="15" t="s">
        <v>88</v>
      </c>
      <c r="X133" s="15" t="s">
        <v>562</v>
      </c>
      <c r="Y133" s="26"/>
      <c r="Z133" s="16"/>
      <c r="AA133" s="23" t="str">
        <f>IFERROR(VLOOKUP(10*tblRiskRegister322[[#This Row],[Risk Treatment Safeguard Maturity Score]]+tblRiskRegister322[[#This Row],[VCDB Index]],tblHITIndexWeightTable[],4,FALSE),"")</f>
        <v/>
      </c>
      <c r="AB133" s="108">
        <f>VLOOKUP(tblRiskRegister322[[#This Row],[Asset Class]],tblInherentImpacts3046[],2,FALSE)</f>
        <v>2</v>
      </c>
      <c r="AC133" s="108">
        <f>VLOOKUP(tblRiskRegister322[[#This Row],[Asset Class]],tblInherentImpacts3046[],3,FALSE)</f>
        <v>3</v>
      </c>
      <c r="AD133" s="108">
        <f>VLOOKUP(tblRiskRegister322[[#This Row],[Asset Class]],tblInherentImpacts3046[],4,FALSE)</f>
        <v>2</v>
      </c>
      <c r="AE133" s="108">
        <f>VLOOKUP(tblRiskRegister322[[#This Row],[Asset Class]],tblInherentImpacts3046[],5,FALSE)</f>
        <v>2</v>
      </c>
      <c r="AF133" s="23" t="str">
        <f>IFERROR(MAX(tblRiskRegister322[[#This Row],[Risk Treatment Safeguard Impact to Mission]:[Risk Treatment Safeguard Impact to Obligations]])*tblRiskRegister322[[#This Row],[Risk Treatment
Safeguard Expectancy Score]],"")</f>
        <v/>
      </c>
      <c r="AG133" s="23" t="str" cm="1">
        <f t="array" ref="AG133">IF(tblRiskRegister322[[#This Row],[Risk Score]]&gt;=AcceptableRisk1,IF(tblRiskRegister322[[#This Row],[Risk Treatment Safeguard Risk Score]]&lt;AcceptableRisk1, IF(tblRiskRegister322[[#This Row],[Risk Treatment Safeguard Risk Score]]&lt;tblRiskRegister322[[#This Row],[Risk Score]],"Yes","No"),"No"),"Yes")</f>
        <v>No</v>
      </c>
      <c r="AH133" s="17"/>
      <c r="AI133" s="17"/>
      <c r="AJ133" s="18"/>
    </row>
    <row r="134" spans="2:36" ht="70">
      <c r="B134" s="15" t="s">
        <v>528</v>
      </c>
      <c r="C134" s="15"/>
      <c r="D134" s="13">
        <v>17.3</v>
      </c>
      <c r="E134" s="14" t="s">
        <v>89</v>
      </c>
      <c r="F134" s="13" t="s">
        <v>429</v>
      </c>
      <c r="G134" s="13" t="s">
        <v>429</v>
      </c>
      <c r="H134" s="13" t="s">
        <v>532</v>
      </c>
      <c r="I134" s="14"/>
      <c r="J134" s="14"/>
      <c r="K134" s="14"/>
      <c r="L134" s="16"/>
      <c r="M134" s="24">
        <f>IFERROR(VLOOKUP(tblRiskRegister322[[#This Row],[Asset Class]],tblVCDBIndex[],4,FALSE),"")</f>
        <v>2</v>
      </c>
      <c r="N134" s="24" t="str">
        <f>IFERROR(VLOOKUP(10*tblRiskRegister322[[#This Row],[Safeguard Maturity Score]]+tblRiskRegister322[[#This Row],[VCDB Index]],tblHITIndexWeightTable[],4,FALSE),"")</f>
        <v/>
      </c>
      <c r="O134" s="24">
        <f>VLOOKUP(tblRiskRegister322[[#This Row],[Asset Class]],tblInherentImpacts3046[],2,FALSE)</f>
        <v>2</v>
      </c>
      <c r="P134" s="24">
        <f>VLOOKUP(tblRiskRegister322[[#This Row],[Asset Class]],tblInherentImpacts3046[],3,FALSE)</f>
        <v>3</v>
      </c>
      <c r="Q134" s="24">
        <f>VLOOKUP(tblRiskRegister322[[#This Row],[Asset Class]],tblInherentImpacts3046[],4,FALSE)</f>
        <v>2</v>
      </c>
      <c r="R134" s="24">
        <f>VLOOKUP(tblRiskRegister322[[#This Row],[Asset Class]],tblInherentImpacts3046[],5,FALSE)</f>
        <v>2</v>
      </c>
      <c r="S134" s="24" t="str">
        <f>IFERROR(MAX(tblRiskRegister322[[#This Row],[Impact to Mission]:[Impact to Obligations]])*tblRiskRegister322[[#This Row],[Expectancy Score]],"")</f>
        <v/>
      </c>
      <c r="T134" s="24" t="str">
        <f>tblRiskRegister322[[#This Row],[Risk Score]]</f>
        <v/>
      </c>
      <c r="U134" s="13"/>
      <c r="V134" s="86">
        <v>17.3</v>
      </c>
      <c r="W134" s="15" t="s">
        <v>89</v>
      </c>
      <c r="X134" s="15" t="s">
        <v>563</v>
      </c>
      <c r="Y134" s="26"/>
      <c r="Z134" s="16"/>
      <c r="AA134" s="23" t="str">
        <f>IFERROR(VLOOKUP(10*tblRiskRegister322[[#This Row],[Risk Treatment Safeguard Maturity Score]]+tblRiskRegister322[[#This Row],[VCDB Index]],tblHITIndexWeightTable[],4,FALSE),"")</f>
        <v/>
      </c>
      <c r="AB134" s="108">
        <f>VLOOKUP(tblRiskRegister322[[#This Row],[Asset Class]],tblInherentImpacts3046[],2,FALSE)</f>
        <v>2</v>
      </c>
      <c r="AC134" s="108">
        <f>VLOOKUP(tblRiskRegister322[[#This Row],[Asset Class]],tblInherentImpacts3046[],3,FALSE)</f>
        <v>3</v>
      </c>
      <c r="AD134" s="108">
        <f>VLOOKUP(tblRiskRegister322[[#This Row],[Asset Class]],tblInherentImpacts3046[],4,FALSE)</f>
        <v>2</v>
      </c>
      <c r="AE134" s="108">
        <f>VLOOKUP(tblRiskRegister322[[#This Row],[Asset Class]],tblInherentImpacts3046[],5,FALSE)</f>
        <v>2</v>
      </c>
      <c r="AF134" s="23" t="str">
        <f>IFERROR(MAX(tblRiskRegister322[[#This Row],[Risk Treatment Safeguard Impact to Mission]:[Risk Treatment Safeguard Impact to Obligations]])*tblRiskRegister322[[#This Row],[Risk Treatment
Safeguard Expectancy Score]],"")</f>
        <v/>
      </c>
      <c r="AG134" s="23" t="str" cm="1">
        <f t="array" ref="AG134">IF(tblRiskRegister322[[#This Row],[Risk Score]]&gt;=AcceptableRisk1,IF(tblRiskRegister322[[#This Row],[Risk Treatment Safeguard Risk Score]]&lt;AcceptableRisk1, IF(tblRiskRegister322[[#This Row],[Risk Treatment Safeguard Risk Score]]&lt;tblRiskRegister322[[#This Row],[Risk Score]],"Yes","No"),"No"),"Yes")</f>
        <v>No</v>
      </c>
      <c r="AH134" s="17"/>
      <c r="AI134" s="17"/>
      <c r="AJ134" s="18"/>
    </row>
    <row r="135" spans="2:36" ht="42">
      <c r="B135" s="15" t="s">
        <v>528</v>
      </c>
      <c r="C135" s="15"/>
      <c r="D135" s="13">
        <v>17.399999999999999</v>
      </c>
      <c r="E135" s="14" t="s">
        <v>199</v>
      </c>
      <c r="F135" s="13"/>
      <c r="G135" s="13" t="s">
        <v>429</v>
      </c>
      <c r="H135" s="13" t="s">
        <v>532</v>
      </c>
      <c r="I135" s="14"/>
      <c r="J135" s="14"/>
      <c r="K135" s="14"/>
      <c r="L135" s="16"/>
      <c r="M135" s="24">
        <f>IFERROR(VLOOKUP(tblRiskRegister322[[#This Row],[Asset Class]],tblVCDBIndex[],4,FALSE),"")</f>
        <v>2</v>
      </c>
      <c r="N135" s="24" t="str">
        <f>IFERROR(VLOOKUP(10*tblRiskRegister322[[#This Row],[Safeguard Maturity Score]]+tblRiskRegister322[[#This Row],[VCDB Index]],tblHITIndexWeightTable[],4,FALSE),"")</f>
        <v/>
      </c>
      <c r="O135" s="24">
        <f>VLOOKUP(tblRiskRegister322[[#This Row],[Asset Class]],tblInherentImpacts3046[],2,FALSE)</f>
        <v>2</v>
      </c>
      <c r="P135" s="24">
        <f>VLOOKUP(tblRiskRegister322[[#This Row],[Asset Class]],tblInherentImpacts3046[],3,FALSE)</f>
        <v>3</v>
      </c>
      <c r="Q135" s="24">
        <f>VLOOKUP(tblRiskRegister322[[#This Row],[Asset Class]],tblInherentImpacts3046[],4,FALSE)</f>
        <v>2</v>
      </c>
      <c r="R135" s="24">
        <f>VLOOKUP(tblRiskRegister322[[#This Row],[Asset Class]],tblInherentImpacts3046[],5,FALSE)</f>
        <v>2</v>
      </c>
      <c r="S135" s="24" t="str">
        <f>IFERROR(MAX(tblRiskRegister322[[#This Row],[Impact to Mission]:[Impact to Obligations]])*tblRiskRegister322[[#This Row],[Expectancy Score]],"")</f>
        <v/>
      </c>
      <c r="T135" s="24" t="str">
        <f>tblRiskRegister322[[#This Row],[Risk Score]]</f>
        <v/>
      </c>
      <c r="U135" s="13"/>
      <c r="V135" s="86">
        <v>17.399999999999999</v>
      </c>
      <c r="W135" s="15" t="s">
        <v>199</v>
      </c>
      <c r="X135" s="15" t="s">
        <v>564</v>
      </c>
      <c r="Y135" s="26"/>
      <c r="Z135" s="16"/>
      <c r="AA135" s="23" t="str">
        <f>IFERROR(VLOOKUP(10*tblRiskRegister322[[#This Row],[Risk Treatment Safeguard Maturity Score]]+tblRiskRegister322[[#This Row],[VCDB Index]],tblHITIndexWeightTable[],4,FALSE),"")</f>
        <v/>
      </c>
      <c r="AB135" s="108">
        <f>VLOOKUP(tblRiskRegister322[[#This Row],[Asset Class]],tblInherentImpacts3046[],2,FALSE)</f>
        <v>2</v>
      </c>
      <c r="AC135" s="108">
        <f>VLOOKUP(tblRiskRegister322[[#This Row],[Asset Class]],tblInherentImpacts3046[],3,FALSE)</f>
        <v>3</v>
      </c>
      <c r="AD135" s="108">
        <f>VLOOKUP(tblRiskRegister322[[#This Row],[Asset Class]],tblInherentImpacts3046[],4,FALSE)</f>
        <v>2</v>
      </c>
      <c r="AE135" s="108">
        <f>VLOOKUP(tblRiskRegister322[[#This Row],[Asset Class]],tblInherentImpacts3046[],5,FALSE)</f>
        <v>2</v>
      </c>
      <c r="AF135" s="23" t="str">
        <f>IFERROR(MAX(tblRiskRegister322[[#This Row],[Risk Treatment Safeguard Impact to Mission]:[Risk Treatment Safeguard Impact to Obligations]])*tblRiskRegister322[[#This Row],[Risk Treatment
Safeguard Expectancy Score]],"")</f>
        <v/>
      </c>
      <c r="AG135" s="23" t="str" cm="1">
        <f t="array" ref="AG135">IF(tblRiskRegister322[[#This Row],[Risk Score]]&gt;=AcceptableRisk1,IF(tblRiskRegister322[[#This Row],[Risk Treatment Safeguard Risk Score]]&lt;AcceptableRisk1, IF(tblRiskRegister322[[#This Row],[Risk Treatment Safeguard Risk Score]]&lt;tblRiskRegister322[[#This Row],[Risk Score]],"Yes","No"),"No"),"Yes")</f>
        <v>No</v>
      </c>
      <c r="AH135" s="17"/>
      <c r="AI135" s="17"/>
      <c r="AJ135" s="18"/>
    </row>
    <row r="136" spans="2:36" ht="56">
      <c r="B136" s="15" t="s">
        <v>93</v>
      </c>
      <c r="C136" s="15"/>
      <c r="D136" s="13">
        <v>17.5</v>
      </c>
      <c r="E136" s="14" t="s">
        <v>200</v>
      </c>
      <c r="F136" s="13"/>
      <c r="G136" s="13" t="s">
        <v>429</v>
      </c>
      <c r="H136" s="13" t="s">
        <v>522</v>
      </c>
      <c r="I136" s="14"/>
      <c r="J136" s="14"/>
      <c r="K136" s="14"/>
      <c r="L136" s="16"/>
      <c r="M136" s="24">
        <f>IFERROR(VLOOKUP(tblRiskRegister322[[#This Row],[Asset Class]],tblVCDBIndex[],4,FALSE),"")</f>
        <v>2</v>
      </c>
      <c r="N136" s="24" t="str">
        <f>IFERROR(VLOOKUP(10*tblRiskRegister322[[#This Row],[Safeguard Maturity Score]]+tblRiskRegister322[[#This Row],[VCDB Index]],tblHITIndexWeightTable[],4,FALSE),"")</f>
        <v/>
      </c>
      <c r="O136" s="24">
        <f>VLOOKUP(tblRiskRegister322[[#This Row],[Asset Class]],tblInherentImpacts3046[],2,FALSE)</f>
        <v>3</v>
      </c>
      <c r="P136" s="24">
        <f>VLOOKUP(tblRiskRegister322[[#This Row],[Asset Class]],tblInherentImpacts3046[],3,FALSE)</f>
        <v>3</v>
      </c>
      <c r="Q136" s="24">
        <f>VLOOKUP(tblRiskRegister322[[#This Row],[Asset Class]],tblInherentImpacts3046[],4,FALSE)</f>
        <v>4</v>
      </c>
      <c r="R136" s="24">
        <f>VLOOKUP(tblRiskRegister322[[#This Row],[Asset Class]],tblInherentImpacts3046[],5,FALSE)</f>
        <v>3</v>
      </c>
      <c r="S136" s="24" t="str">
        <f>IFERROR(MAX(tblRiskRegister322[[#This Row],[Impact to Mission]:[Impact to Obligations]])*tblRiskRegister322[[#This Row],[Expectancy Score]],"")</f>
        <v/>
      </c>
      <c r="T136" s="24" t="str">
        <f>tblRiskRegister322[[#This Row],[Risk Score]]</f>
        <v/>
      </c>
      <c r="U136" s="13"/>
      <c r="V136" s="86">
        <v>17.5</v>
      </c>
      <c r="W136" s="15" t="s">
        <v>200</v>
      </c>
      <c r="X136" s="15" t="s">
        <v>565</v>
      </c>
      <c r="Y136" s="26"/>
      <c r="Z136" s="16"/>
      <c r="AA136" s="23" t="str">
        <f>IFERROR(VLOOKUP(10*tblRiskRegister322[[#This Row],[Risk Treatment Safeguard Maturity Score]]+tblRiskRegister322[[#This Row],[VCDB Index]],tblHITIndexWeightTable[],4,FALSE),"")</f>
        <v/>
      </c>
      <c r="AB136" s="108">
        <f>VLOOKUP(tblRiskRegister322[[#This Row],[Asset Class]],tblInherentImpacts3046[],2,FALSE)</f>
        <v>3</v>
      </c>
      <c r="AC136" s="108">
        <f>VLOOKUP(tblRiskRegister322[[#This Row],[Asset Class]],tblInherentImpacts3046[],3,FALSE)</f>
        <v>3</v>
      </c>
      <c r="AD136" s="108">
        <f>VLOOKUP(tblRiskRegister322[[#This Row],[Asset Class]],tblInherentImpacts3046[],4,FALSE)</f>
        <v>4</v>
      </c>
      <c r="AE136" s="108">
        <f>VLOOKUP(tblRiskRegister322[[#This Row],[Asset Class]],tblInherentImpacts3046[],5,FALSE)</f>
        <v>3</v>
      </c>
      <c r="AF136" s="23" t="str">
        <f>IFERROR(MAX(tblRiskRegister322[[#This Row],[Risk Treatment Safeguard Impact to Mission]:[Risk Treatment Safeguard Impact to Obligations]])*tblRiskRegister322[[#This Row],[Risk Treatment
Safeguard Expectancy Score]],"")</f>
        <v/>
      </c>
      <c r="AG136" s="23" t="str" cm="1">
        <f t="array" ref="AG136">IF(tblRiskRegister322[[#This Row],[Risk Score]]&gt;=AcceptableRisk1,IF(tblRiskRegister322[[#This Row],[Risk Treatment Safeguard Risk Score]]&lt;AcceptableRisk1, IF(tblRiskRegister322[[#This Row],[Risk Treatment Safeguard Risk Score]]&lt;tblRiskRegister322[[#This Row],[Risk Score]],"Yes","No"),"No"),"Yes")</f>
        <v>No</v>
      </c>
      <c r="AH136" s="17"/>
      <c r="AI136" s="17"/>
      <c r="AJ136" s="18"/>
    </row>
    <row r="137" spans="2:36" ht="70">
      <c r="B137" s="15" t="s">
        <v>93</v>
      </c>
      <c r="C137" s="15"/>
      <c r="D137" s="13">
        <v>17.600000000000001</v>
      </c>
      <c r="E137" s="14" t="s">
        <v>201</v>
      </c>
      <c r="F137" s="13"/>
      <c r="G137" s="13" t="s">
        <v>429</v>
      </c>
      <c r="H137" s="13" t="s">
        <v>522</v>
      </c>
      <c r="I137" s="14"/>
      <c r="J137" s="14"/>
      <c r="K137" s="14"/>
      <c r="L137" s="16"/>
      <c r="M137" s="24">
        <f>IFERROR(VLOOKUP(tblRiskRegister322[[#This Row],[Asset Class]],tblVCDBIndex[],4,FALSE),"")</f>
        <v>2</v>
      </c>
      <c r="N137" s="24" t="str">
        <f>IFERROR(VLOOKUP(10*tblRiskRegister322[[#This Row],[Safeguard Maturity Score]]+tblRiskRegister322[[#This Row],[VCDB Index]],tblHITIndexWeightTable[],4,FALSE),"")</f>
        <v/>
      </c>
      <c r="O137" s="24">
        <f>VLOOKUP(tblRiskRegister322[[#This Row],[Asset Class]],tblInherentImpacts3046[],2,FALSE)</f>
        <v>3</v>
      </c>
      <c r="P137" s="24">
        <f>VLOOKUP(tblRiskRegister322[[#This Row],[Asset Class]],tblInherentImpacts3046[],3,FALSE)</f>
        <v>3</v>
      </c>
      <c r="Q137" s="24">
        <f>VLOOKUP(tblRiskRegister322[[#This Row],[Asset Class]],tblInherentImpacts3046[],4,FALSE)</f>
        <v>4</v>
      </c>
      <c r="R137" s="24">
        <f>VLOOKUP(tblRiskRegister322[[#This Row],[Asset Class]],tblInherentImpacts3046[],5,FALSE)</f>
        <v>3</v>
      </c>
      <c r="S137" s="24" t="str">
        <f>IFERROR(MAX(tblRiskRegister322[[#This Row],[Impact to Mission]:[Impact to Obligations]])*tblRiskRegister322[[#This Row],[Expectancy Score]],"")</f>
        <v/>
      </c>
      <c r="T137" s="24" t="str">
        <f>tblRiskRegister322[[#This Row],[Risk Score]]</f>
        <v/>
      </c>
      <c r="U137" s="13"/>
      <c r="V137" s="86">
        <v>17.600000000000001</v>
      </c>
      <c r="W137" s="15" t="s">
        <v>201</v>
      </c>
      <c r="X137" s="15" t="s">
        <v>566</v>
      </c>
      <c r="Y137" s="26"/>
      <c r="Z137" s="16"/>
      <c r="AA137" s="23" t="str">
        <f>IFERROR(VLOOKUP(10*tblRiskRegister322[[#This Row],[Risk Treatment Safeguard Maturity Score]]+tblRiskRegister322[[#This Row],[VCDB Index]],tblHITIndexWeightTable[],4,FALSE),"")</f>
        <v/>
      </c>
      <c r="AB137" s="108">
        <f>VLOOKUP(tblRiskRegister322[[#This Row],[Asset Class]],tblInherentImpacts3046[],2,FALSE)</f>
        <v>3</v>
      </c>
      <c r="AC137" s="108">
        <f>VLOOKUP(tblRiskRegister322[[#This Row],[Asset Class]],tblInherentImpacts3046[],3,FALSE)</f>
        <v>3</v>
      </c>
      <c r="AD137" s="108">
        <f>VLOOKUP(tblRiskRegister322[[#This Row],[Asset Class]],tblInherentImpacts3046[],4,FALSE)</f>
        <v>4</v>
      </c>
      <c r="AE137" s="108">
        <f>VLOOKUP(tblRiskRegister322[[#This Row],[Asset Class]],tblInherentImpacts3046[],5,FALSE)</f>
        <v>3</v>
      </c>
      <c r="AF137" s="23" t="str">
        <f>IFERROR(MAX(tblRiskRegister322[[#This Row],[Risk Treatment Safeguard Impact to Mission]:[Risk Treatment Safeguard Impact to Obligations]])*tblRiskRegister322[[#This Row],[Risk Treatment
Safeguard Expectancy Score]],"")</f>
        <v/>
      </c>
      <c r="AG137" s="23" t="str" cm="1">
        <f t="array" ref="AG137">IF(tblRiskRegister322[[#This Row],[Risk Score]]&gt;=AcceptableRisk1,IF(tblRiskRegister322[[#This Row],[Risk Treatment Safeguard Risk Score]]&lt;AcceptableRisk1, IF(tblRiskRegister322[[#This Row],[Risk Treatment Safeguard Risk Score]]&lt;tblRiskRegister322[[#This Row],[Risk Score]],"Yes","No"),"No"),"Yes")</f>
        <v>No</v>
      </c>
      <c r="AH137" s="17"/>
      <c r="AI137" s="17"/>
      <c r="AJ137" s="18"/>
    </row>
    <row r="138" spans="2:36" ht="56">
      <c r="B138" s="15" t="s">
        <v>93</v>
      </c>
      <c r="C138" s="15"/>
      <c r="D138" s="13">
        <v>17.7</v>
      </c>
      <c r="E138" s="14" t="s">
        <v>202</v>
      </c>
      <c r="F138" s="13"/>
      <c r="G138" s="13" t="s">
        <v>429</v>
      </c>
      <c r="H138" s="13" t="s">
        <v>525</v>
      </c>
      <c r="I138" s="14"/>
      <c r="J138" s="14"/>
      <c r="K138" s="14"/>
      <c r="L138" s="16"/>
      <c r="M138" s="24">
        <f>IFERROR(VLOOKUP(tblRiskRegister322[[#This Row],[Asset Class]],tblVCDBIndex[],4,FALSE),"")</f>
        <v>2</v>
      </c>
      <c r="N138" s="24" t="str">
        <f>IFERROR(VLOOKUP(10*tblRiskRegister322[[#This Row],[Safeguard Maturity Score]]+tblRiskRegister322[[#This Row],[VCDB Index]],tblHITIndexWeightTable[],4,FALSE),"")</f>
        <v/>
      </c>
      <c r="O138" s="24">
        <f>VLOOKUP(tblRiskRegister322[[#This Row],[Asset Class]],tblInherentImpacts3046[],2,FALSE)</f>
        <v>3</v>
      </c>
      <c r="P138" s="24">
        <f>VLOOKUP(tblRiskRegister322[[#This Row],[Asset Class]],tblInherentImpacts3046[],3,FALSE)</f>
        <v>3</v>
      </c>
      <c r="Q138" s="24">
        <f>VLOOKUP(tblRiskRegister322[[#This Row],[Asset Class]],tblInherentImpacts3046[],4,FALSE)</f>
        <v>4</v>
      </c>
      <c r="R138" s="24">
        <f>VLOOKUP(tblRiskRegister322[[#This Row],[Asset Class]],tblInherentImpacts3046[],5,FALSE)</f>
        <v>3</v>
      </c>
      <c r="S138" s="24" t="str">
        <f>IFERROR(MAX(tblRiskRegister322[[#This Row],[Impact to Mission]:[Impact to Obligations]])*tblRiskRegister322[[#This Row],[Expectancy Score]],"")</f>
        <v/>
      </c>
      <c r="T138" s="24" t="str">
        <f>tblRiskRegister322[[#This Row],[Risk Score]]</f>
        <v/>
      </c>
      <c r="U138" s="13"/>
      <c r="V138" s="86">
        <v>17.7</v>
      </c>
      <c r="W138" s="15" t="s">
        <v>202</v>
      </c>
      <c r="X138" s="15" t="s">
        <v>424</v>
      </c>
      <c r="Y138" s="26"/>
      <c r="Z138" s="16"/>
      <c r="AA138" s="23" t="str">
        <f>IFERROR(VLOOKUP(10*tblRiskRegister322[[#This Row],[Risk Treatment Safeguard Maturity Score]]+tblRiskRegister322[[#This Row],[VCDB Index]],tblHITIndexWeightTable[],4,FALSE),"")</f>
        <v/>
      </c>
      <c r="AB138" s="108">
        <f>VLOOKUP(tblRiskRegister322[[#This Row],[Asset Class]],tblInherentImpacts3046[],2,FALSE)</f>
        <v>3</v>
      </c>
      <c r="AC138" s="108">
        <f>VLOOKUP(tblRiskRegister322[[#This Row],[Asset Class]],tblInherentImpacts3046[],3,FALSE)</f>
        <v>3</v>
      </c>
      <c r="AD138" s="108">
        <f>VLOOKUP(tblRiskRegister322[[#This Row],[Asset Class]],tblInherentImpacts3046[],4,FALSE)</f>
        <v>4</v>
      </c>
      <c r="AE138" s="108">
        <f>VLOOKUP(tblRiskRegister322[[#This Row],[Asset Class]],tblInherentImpacts3046[],5,FALSE)</f>
        <v>3</v>
      </c>
      <c r="AF138" s="23" t="str">
        <f>IFERROR(MAX(tblRiskRegister322[[#This Row],[Risk Treatment Safeguard Impact to Mission]:[Risk Treatment Safeguard Impact to Obligations]])*tblRiskRegister322[[#This Row],[Risk Treatment
Safeguard Expectancy Score]],"")</f>
        <v/>
      </c>
      <c r="AG138" s="23" t="str" cm="1">
        <f t="array" ref="AG138">IF(tblRiskRegister322[[#This Row],[Risk Score]]&gt;=AcceptableRisk1,IF(tblRiskRegister322[[#This Row],[Risk Treatment Safeguard Risk Score]]&lt;AcceptableRisk1, IF(tblRiskRegister322[[#This Row],[Risk Treatment Safeguard Risk Score]]&lt;tblRiskRegister322[[#This Row],[Risk Score]],"Yes","No"),"No"),"Yes")</f>
        <v>No</v>
      </c>
      <c r="AH138" s="17"/>
      <c r="AI138" s="17"/>
      <c r="AJ138" s="18"/>
    </row>
    <row r="139" spans="2:36" ht="28">
      <c r="B139" s="15" t="s">
        <v>93</v>
      </c>
      <c r="C139" s="15"/>
      <c r="D139" s="13">
        <v>17.8</v>
      </c>
      <c r="E139" s="14" t="s">
        <v>203</v>
      </c>
      <c r="F139" s="13"/>
      <c r="G139" s="13" t="s">
        <v>429</v>
      </c>
      <c r="H139" s="13" t="s">
        <v>525</v>
      </c>
      <c r="I139" s="14"/>
      <c r="J139" s="14"/>
      <c r="K139" s="14"/>
      <c r="L139" s="16"/>
      <c r="M139" s="24">
        <f>IFERROR(VLOOKUP(tblRiskRegister322[[#This Row],[Asset Class]],tblVCDBIndex[],4,FALSE),"")</f>
        <v>2</v>
      </c>
      <c r="N139" s="24" t="str">
        <f>IFERROR(VLOOKUP(10*tblRiskRegister322[[#This Row],[Safeguard Maturity Score]]+tblRiskRegister322[[#This Row],[VCDB Index]],tblHITIndexWeightTable[],4,FALSE),"")</f>
        <v/>
      </c>
      <c r="O139" s="24">
        <f>VLOOKUP(tblRiskRegister322[[#This Row],[Asset Class]],tblInherentImpacts3046[],2,FALSE)</f>
        <v>3</v>
      </c>
      <c r="P139" s="24">
        <f>VLOOKUP(tblRiskRegister322[[#This Row],[Asset Class]],tblInherentImpacts3046[],3,FALSE)</f>
        <v>3</v>
      </c>
      <c r="Q139" s="24">
        <f>VLOOKUP(tblRiskRegister322[[#This Row],[Asset Class]],tblInherentImpacts3046[],4,FALSE)</f>
        <v>4</v>
      </c>
      <c r="R139" s="24">
        <f>VLOOKUP(tblRiskRegister322[[#This Row],[Asset Class]],tblInherentImpacts3046[],5,FALSE)</f>
        <v>3</v>
      </c>
      <c r="S139" s="24" t="str">
        <f>IFERROR(MAX(tblRiskRegister322[[#This Row],[Impact to Mission]:[Impact to Obligations]])*tblRiskRegister322[[#This Row],[Expectancy Score]],"")</f>
        <v/>
      </c>
      <c r="T139" s="24" t="str">
        <f>tblRiskRegister322[[#This Row],[Risk Score]]</f>
        <v/>
      </c>
      <c r="U139" s="13"/>
      <c r="V139" s="86">
        <v>17.8</v>
      </c>
      <c r="W139" s="15" t="s">
        <v>203</v>
      </c>
      <c r="X139" s="15" t="s">
        <v>425</v>
      </c>
      <c r="Y139" s="26"/>
      <c r="Z139" s="16"/>
      <c r="AA139" s="23" t="str">
        <f>IFERROR(VLOOKUP(10*tblRiskRegister322[[#This Row],[Risk Treatment Safeguard Maturity Score]]+tblRiskRegister322[[#This Row],[VCDB Index]],tblHITIndexWeightTable[],4,FALSE),"")</f>
        <v/>
      </c>
      <c r="AB139" s="108">
        <f>VLOOKUP(tblRiskRegister322[[#This Row],[Asset Class]],tblInherentImpacts3046[],2,FALSE)</f>
        <v>3</v>
      </c>
      <c r="AC139" s="108">
        <f>VLOOKUP(tblRiskRegister322[[#This Row],[Asset Class]],tblInherentImpacts3046[],3,FALSE)</f>
        <v>3</v>
      </c>
      <c r="AD139" s="108">
        <f>VLOOKUP(tblRiskRegister322[[#This Row],[Asset Class]],tblInherentImpacts3046[],4,FALSE)</f>
        <v>4</v>
      </c>
      <c r="AE139" s="108">
        <f>VLOOKUP(tblRiskRegister322[[#This Row],[Asset Class]],tblInherentImpacts3046[],5,FALSE)</f>
        <v>3</v>
      </c>
      <c r="AF139" s="23" t="str">
        <f>IFERROR(MAX(tblRiskRegister322[[#This Row],[Risk Treatment Safeguard Impact to Mission]:[Risk Treatment Safeguard Impact to Obligations]])*tblRiskRegister322[[#This Row],[Risk Treatment
Safeguard Expectancy Score]],"")</f>
        <v/>
      </c>
      <c r="AG139" s="23" t="str" cm="1">
        <f t="array" ref="AG139">IF(tblRiskRegister322[[#This Row],[Risk Score]]&gt;=AcceptableRisk1,IF(tblRiskRegister322[[#This Row],[Risk Treatment Safeguard Risk Score]]&lt;AcceptableRisk1, IF(tblRiskRegister322[[#This Row],[Risk Treatment Safeguard Risk Score]]&lt;tblRiskRegister322[[#This Row],[Risk Score]],"Yes","No"),"No"),"Yes")</f>
        <v>No</v>
      </c>
      <c r="AH139" s="17"/>
      <c r="AI139" s="17"/>
      <c r="AJ139" s="18"/>
    </row>
    <row r="140" spans="2:36" ht="84">
      <c r="B140" s="15" t="s">
        <v>528</v>
      </c>
      <c r="C140" s="15"/>
      <c r="D140" s="13">
        <v>18.100000000000001</v>
      </c>
      <c r="E140" s="14" t="s">
        <v>204</v>
      </c>
      <c r="F140" s="13"/>
      <c r="G140" s="13" t="s">
        <v>429</v>
      </c>
      <c r="H140" s="13" t="s">
        <v>532</v>
      </c>
      <c r="I140" s="14"/>
      <c r="J140" s="14"/>
      <c r="K140" s="14"/>
      <c r="L140" s="16"/>
      <c r="M140" s="24">
        <f>IFERROR(VLOOKUP(tblRiskRegister322[[#This Row],[Asset Class]],tblVCDBIndex[],4,FALSE),"")</f>
        <v>2</v>
      </c>
      <c r="N140" s="24" t="str">
        <f>IFERROR(VLOOKUP(10*tblRiskRegister322[[#This Row],[Safeguard Maturity Score]]+tblRiskRegister322[[#This Row],[VCDB Index]],tblHITIndexWeightTable[],4,FALSE),"")</f>
        <v/>
      </c>
      <c r="O140" s="24">
        <f>VLOOKUP(tblRiskRegister322[[#This Row],[Asset Class]],tblInherentImpacts3046[],2,FALSE)</f>
        <v>2</v>
      </c>
      <c r="P140" s="24">
        <f>VLOOKUP(tblRiskRegister322[[#This Row],[Asset Class]],tblInherentImpacts3046[],3,FALSE)</f>
        <v>3</v>
      </c>
      <c r="Q140" s="24">
        <f>VLOOKUP(tblRiskRegister322[[#This Row],[Asset Class]],tblInherentImpacts3046[],4,FALSE)</f>
        <v>2</v>
      </c>
      <c r="R140" s="24">
        <f>VLOOKUP(tblRiskRegister322[[#This Row],[Asset Class]],tblInherentImpacts3046[],5,FALSE)</f>
        <v>2</v>
      </c>
      <c r="S140" s="24" t="str">
        <f>IFERROR(MAX(tblRiskRegister322[[#This Row],[Impact to Mission]:[Impact to Obligations]])*tblRiskRegister322[[#This Row],[Expectancy Score]],"")</f>
        <v/>
      </c>
      <c r="T140" s="24" t="str">
        <f>tblRiskRegister322[[#This Row],[Risk Score]]</f>
        <v/>
      </c>
      <c r="U140" s="13"/>
      <c r="V140" s="86">
        <v>18.100000000000001</v>
      </c>
      <c r="W140" s="15" t="s">
        <v>204</v>
      </c>
      <c r="X140" s="15" t="s">
        <v>567</v>
      </c>
      <c r="Y140" s="26"/>
      <c r="Z140" s="16"/>
      <c r="AA140" s="23" t="str">
        <f>IFERROR(VLOOKUP(10*tblRiskRegister322[[#This Row],[Risk Treatment Safeguard Maturity Score]]+tblRiskRegister322[[#This Row],[VCDB Index]],tblHITIndexWeightTable[],4,FALSE),"")</f>
        <v/>
      </c>
      <c r="AB140" s="108">
        <f>VLOOKUP(tblRiskRegister322[[#This Row],[Asset Class]],tblInherentImpacts3046[],2,FALSE)</f>
        <v>2</v>
      </c>
      <c r="AC140" s="108">
        <f>VLOOKUP(tblRiskRegister322[[#This Row],[Asset Class]],tblInherentImpacts3046[],3,FALSE)</f>
        <v>3</v>
      </c>
      <c r="AD140" s="108">
        <f>VLOOKUP(tblRiskRegister322[[#This Row],[Asset Class]],tblInherentImpacts3046[],4,FALSE)</f>
        <v>2</v>
      </c>
      <c r="AE140" s="108">
        <f>VLOOKUP(tblRiskRegister322[[#This Row],[Asset Class]],tblInherentImpacts3046[],5,FALSE)</f>
        <v>2</v>
      </c>
      <c r="AF140" s="23" t="str">
        <f>IFERROR(MAX(tblRiskRegister322[[#This Row],[Risk Treatment Safeguard Impact to Mission]:[Risk Treatment Safeguard Impact to Obligations]])*tblRiskRegister322[[#This Row],[Risk Treatment
Safeguard Expectancy Score]],"")</f>
        <v/>
      </c>
      <c r="AG140" s="23" t="str" cm="1">
        <f t="array" ref="AG140">IF(tblRiskRegister322[[#This Row],[Risk Score]]&gt;=AcceptableRisk1,IF(tblRiskRegister322[[#This Row],[Risk Treatment Safeguard Risk Score]]&lt;AcceptableRisk1, IF(tblRiskRegister322[[#This Row],[Risk Treatment Safeguard Risk Score]]&lt;tblRiskRegister322[[#This Row],[Risk Score]],"Yes","No"),"No"),"Yes")</f>
        <v>No</v>
      </c>
      <c r="AH140" s="17"/>
      <c r="AI140" s="17"/>
      <c r="AJ140" s="18"/>
    </row>
    <row r="141" spans="2:36" ht="70">
      <c r="B141" s="15" t="s">
        <v>92</v>
      </c>
      <c r="C141" s="15"/>
      <c r="D141" s="13">
        <v>18.2</v>
      </c>
      <c r="E141" s="14" t="s">
        <v>225</v>
      </c>
      <c r="F141" s="13"/>
      <c r="G141" s="13" t="s">
        <v>429</v>
      </c>
      <c r="H141" s="13" t="s">
        <v>524</v>
      </c>
      <c r="I141" s="14"/>
      <c r="J141" s="14"/>
      <c r="K141" s="14"/>
      <c r="L141" s="16"/>
      <c r="M141" s="24">
        <f>IFERROR(VLOOKUP(tblRiskRegister322[[#This Row],[Asset Class]],tblVCDBIndex[],4,FALSE),"")</f>
        <v>1</v>
      </c>
      <c r="N141" s="24" t="str">
        <f>IFERROR(VLOOKUP(10*tblRiskRegister322[[#This Row],[Safeguard Maturity Score]]+tblRiskRegister322[[#This Row],[VCDB Index]],tblHITIndexWeightTable[],4,FALSE),"")</f>
        <v/>
      </c>
      <c r="O141" s="24">
        <f>VLOOKUP(tblRiskRegister322[[#This Row],[Asset Class]],tblInherentImpacts3046[],2,FALSE)</f>
        <v>3</v>
      </c>
      <c r="P141" s="24">
        <f>VLOOKUP(tblRiskRegister322[[#This Row],[Asset Class]],tblInherentImpacts3046[],3,FALSE)</f>
        <v>4</v>
      </c>
      <c r="Q141" s="24">
        <f>VLOOKUP(tblRiskRegister322[[#This Row],[Asset Class]],tblInherentImpacts3046[],4,FALSE)</f>
        <v>3</v>
      </c>
      <c r="R141" s="24">
        <f>VLOOKUP(tblRiskRegister322[[#This Row],[Asset Class]],tblInherentImpacts3046[],5,FALSE)</f>
        <v>3</v>
      </c>
      <c r="S141" s="24" t="str">
        <f>IFERROR(MAX(tblRiskRegister322[[#This Row],[Impact to Mission]:[Impact to Obligations]])*tblRiskRegister322[[#This Row],[Expectancy Score]],"")</f>
        <v/>
      </c>
      <c r="T141" s="24" t="str">
        <f>tblRiskRegister322[[#This Row],[Risk Score]]</f>
        <v/>
      </c>
      <c r="U141" s="13"/>
      <c r="V141" s="86">
        <v>18.2</v>
      </c>
      <c r="W141" s="15" t="s">
        <v>225</v>
      </c>
      <c r="X141" s="15" t="s">
        <v>426</v>
      </c>
      <c r="Y141" s="26"/>
      <c r="Z141" s="16"/>
      <c r="AA141" s="23" t="str">
        <f>IFERROR(VLOOKUP(10*tblRiskRegister322[[#This Row],[Risk Treatment Safeguard Maturity Score]]+tblRiskRegister322[[#This Row],[VCDB Index]],tblHITIndexWeightTable[],4,FALSE),"")</f>
        <v/>
      </c>
      <c r="AB141" s="108">
        <f>VLOOKUP(tblRiskRegister322[[#This Row],[Asset Class]],tblInherentImpacts3046[],2,FALSE)</f>
        <v>3</v>
      </c>
      <c r="AC141" s="108">
        <f>VLOOKUP(tblRiskRegister322[[#This Row],[Asset Class]],tblInherentImpacts3046[],3,FALSE)</f>
        <v>4</v>
      </c>
      <c r="AD141" s="108">
        <f>VLOOKUP(tblRiskRegister322[[#This Row],[Asset Class]],tblInherentImpacts3046[],4,FALSE)</f>
        <v>3</v>
      </c>
      <c r="AE141" s="108">
        <f>VLOOKUP(tblRiskRegister322[[#This Row],[Asset Class]],tblInherentImpacts3046[],5,FALSE)</f>
        <v>3</v>
      </c>
      <c r="AF141" s="23" t="str">
        <f>IFERROR(MAX(tblRiskRegister322[[#This Row],[Risk Treatment Safeguard Impact to Mission]:[Risk Treatment Safeguard Impact to Obligations]])*tblRiskRegister322[[#This Row],[Risk Treatment
Safeguard Expectancy Score]],"")</f>
        <v/>
      </c>
      <c r="AG141" s="23" t="str" cm="1">
        <f t="array" ref="AG141">IF(tblRiskRegister322[[#This Row],[Risk Score]]&gt;=AcceptableRisk1,IF(tblRiskRegister322[[#This Row],[Risk Treatment Safeguard Risk Score]]&lt;AcceptableRisk1, IF(tblRiskRegister322[[#This Row],[Risk Treatment Safeguard Risk Score]]&lt;tblRiskRegister322[[#This Row],[Risk Score]],"Yes","No"),"No"),"Yes")</f>
        <v>No</v>
      </c>
      <c r="AH141" s="17"/>
      <c r="AI141" s="17"/>
      <c r="AJ141" s="18"/>
    </row>
    <row r="142" spans="2:36" ht="42">
      <c r="B142" s="15" t="s">
        <v>92</v>
      </c>
      <c r="C142" s="15"/>
      <c r="D142" s="13">
        <v>18.3</v>
      </c>
      <c r="E142" s="14" t="s">
        <v>226</v>
      </c>
      <c r="F142" s="13"/>
      <c r="G142" s="13" t="s">
        <v>429</v>
      </c>
      <c r="H142" s="13" t="s">
        <v>523</v>
      </c>
      <c r="I142" s="14"/>
      <c r="J142" s="14"/>
      <c r="K142" s="14"/>
      <c r="L142" s="16"/>
      <c r="M142" s="24">
        <f>IFERROR(VLOOKUP(tblRiskRegister322[[#This Row],[Asset Class]],tblVCDBIndex[],4,FALSE),"")</f>
        <v>1</v>
      </c>
      <c r="N142" s="24" t="str">
        <f>IFERROR(VLOOKUP(10*tblRiskRegister322[[#This Row],[Safeguard Maturity Score]]+tblRiskRegister322[[#This Row],[VCDB Index]],tblHITIndexWeightTable[],4,FALSE),"")</f>
        <v/>
      </c>
      <c r="O142" s="24">
        <f>VLOOKUP(tblRiskRegister322[[#This Row],[Asset Class]],tblInherentImpacts3046[],2,FALSE)</f>
        <v>3</v>
      </c>
      <c r="P142" s="24">
        <f>VLOOKUP(tblRiskRegister322[[#This Row],[Asset Class]],tblInherentImpacts3046[],3,FALSE)</f>
        <v>4</v>
      </c>
      <c r="Q142" s="24">
        <f>VLOOKUP(tblRiskRegister322[[#This Row],[Asset Class]],tblInherentImpacts3046[],4,FALSE)</f>
        <v>3</v>
      </c>
      <c r="R142" s="24">
        <f>VLOOKUP(tblRiskRegister322[[#This Row],[Asset Class]],tblInherentImpacts3046[],5,FALSE)</f>
        <v>3</v>
      </c>
      <c r="S142" s="24" t="str">
        <f>IFERROR(MAX(tblRiskRegister322[[#This Row],[Impact to Mission]:[Impact to Obligations]])*tblRiskRegister322[[#This Row],[Expectancy Score]],"")</f>
        <v/>
      </c>
      <c r="T142" s="24" t="str">
        <f>tblRiskRegister322[[#This Row],[Risk Score]]</f>
        <v/>
      </c>
      <c r="U142" s="13"/>
      <c r="V142" s="86">
        <v>18.3</v>
      </c>
      <c r="W142" s="15" t="s">
        <v>226</v>
      </c>
      <c r="X142" s="15" t="s">
        <v>568</v>
      </c>
      <c r="Y142" s="26"/>
      <c r="Z142" s="16"/>
      <c r="AA142" s="23" t="str">
        <f>IFERROR(VLOOKUP(10*tblRiskRegister322[[#This Row],[Risk Treatment Safeguard Maturity Score]]+tblRiskRegister322[[#This Row],[VCDB Index]],tblHITIndexWeightTable[],4,FALSE),"")</f>
        <v/>
      </c>
      <c r="AB142" s="108">
        <f>VLOOKUP(tblRiskRegister322[[#This Row],[Asset Class]],tblInherentImpacts3046[],2,FALSE)</f>
        <v>3</v>
      </c>
      <c r="AC142" s="108">
        <f>VLOOKUP(tblRiskRegister322[[#This Row],[Asset Class]],tblInherentImpacts3046[],3,FALSE)</f>
        <v>4</v>
      </c>
      <c r="AD142" s="108">
        <f>VLOOKUP(tblRiskRegister322[[#This Row],[Asset Class]],tblInherentImpacts3046[],4,FALSE)</f>
        <v>3</v>
      </c>
      <c r="AE142" s="108">
        <f>VLOOKUP(tblRiskRegister322[[#This Row],[Asset Class]],tblInherentImpacts3046[],5,FALSE)</f>
        <v>3</v>
      </c>
      <c r="AF142" s="23" t="str">
        <f>IFERROR(MAX(tblRiskRegister322[[#This Row],[Risk Treatment Safeguard Impact to Mission]:[Risk Treatment Safeguard Impact to Obligations]])*tblRiskRegister322[[#This Row],[Risk Treatment
Safeguard Expectancy Score]],"")</f>
        <v/>
      </c>
      <c r="AG142" s="23" t="str" cm="1">
        <f t="array" ref="AG142">IF(tblRiskRegister322[[#This Row],[Risk Score]]&gt;=AcceptableRisk1,IF(tblRiskRegister322[[#This Row],[Risk Treatment Safeguard Risk Score]]&lt;AcceptableRisk1, IF(tblRiskRegister322[[#This Row],[Risk Treatment Safeguard Risk Score]]&lt;tblRiskRegister322[[#This Row],[Risk Score]],"Yes","No"),"No"),"Yes")</f>
        <v>No</v>
      </c>
      <c r="AH142" s="17"/>
      <c r="AI142" s="17"/>
      <c r="AJ142" s="18"/>
    </row>
  </sheetData>
  <sheetProtection sheet="1" formatCells="0" formatColumns="0" formatRows="0" insertRows="0" sort="0" autoFilter="0" pivotTables="0"/>
  <mergeCells count="8">
    <mergeCell ref="C8:S8"/>
    <mergeCell ref="AL8:AN8"/>
    <mergeCell ref="U8:AJ8"/>
    <mergeCell ref="G2:Q4"/>
    <mergeCell ref="B2:B4"/>
    <mergeCell ref="D2:E2"/>
    <mergeCell ref="D3:E3"/>
    <mergeCell ref="D4:E4"/>
  </mergeCells>
  <phoneticPr fontId="30" type="noConversion"/>
  <dataValidations count="5">
    <dataValidation type="list" allowBlank="1" showInputMessage="1" showErrorMessage="1" sqref="Z11:Z142 L11:L142" xr:uid="{463B40CC-B80A-4404-8048-57AC420A15A7}">
      <formula1>Maturity_Score</formula1>
    </dataValidation>
    <dataValidation type="list" allowBlank="1" showInputMessage="1" showErrorMessage="1" sqref="AJ11:AJ142" xr:uid="{7E714C81-27D2-4066-A252-38816336793D}">
      <formula1>"2021,2022,2023,2024,2025,2026,2027,2028,2029,2030,2031"</formula1>
    </dataValidation>
    <dataValidation type="list" allowBlank="1" showInputMessage="1" showErrorMessage="1" sqref="B11:B142" xr:uid="{8A7B9C93-F011-4A2A-A693-C6D9F6345717}">
      <formula1>Asset_Class</formula1>
    </dataValidation>
    <dataValidation type="list" allowBlank="1" showInputMessage="1" showErrorMessage="1" sqref="AI11:AI142" xr:uid="{03B1CEFF-8EAA-4668-8814-340B63152624}">
      <formula1>"Q1, Q2, Q3, Q4"</formula1>
    </dataValidation>
    <dataValidation type="list" allowBlank="1" showInputMessage="1" showErrorMessage="1" sqref="U11:U142" xr:uid="{FA175817-382B-420C-8759-213C7D78422B}">
      <formula1>"Accept,Reduce"</formula1>
    </dataValidation>
  </dataValidations>
  <pageMargins left="0.7" right="0.7" top="0.75" bottom="0.75" header="0.3" footer="0.3"/>
  <pageSetup orientation="portrait" r:id="rId1"/>
  <legacy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069DB-6FA6-4534-AD31-764B2792500F}">
  <sheetPr>
    <tabColor rgb="FFFF0000"/>
  </sheetPr>
  <dimension ref="B1:O146"/>
  <sheetViews>
    <sheetView showGridLines="0" workbookViewId="0">
      <selection activeCell="B1" sqref="B1:E1"/>
    </sheetView>
  </sheetViews>
  <sheetFormatPr baseColWidth="10" defaultColWidth="9.1640625" defaultRowHeight="13"/>
  <cols>
    <col min="1" max="1" width="5.33203125" style="42" customWidth="1"/>
    <col min="2" max="2" width="15.5" style="46" customWidth="1"/>
    <col min="3" max="3" width="17.6640625" style="46" customWidth="1"/>
    <col min="4" max="4" width="20" style="46" customWidth="1"/>
    <col min="5" max="5" width="5.83203125" style="42" customWidth="1"/>
    <col min="6" max="7" width="9.1640625" style="42"/>
    <col min="8" max="8" width="17.1640625" style="42" customWidth="1"/>
    <col min="9" max="9" width="72.5" style="42" customWidth="1"/>
    <col min="10" max="16384" width="9.1640625" style="42"/>
  </cols>
  <sheetData>
    <row r="1" spans="2:15" ht="57" customHeight="1" thickBot="1">
      <c r="B1" s="294" t="s">
        <v>278</v>
      </c>
      <c r="C1" s="295"/>
      <c r="D1" s="295"/>
      <c r="E1" s="296"/>
      <c r="G1" s="44"/>
      <c r="H1" s="326" t="s">
        <v>485</v>
      </c>
      <c r="I1" s="326"/>
      <c r="J1" s="236"/>
      <c r="K1" s="236"/>
      <c r="L1" s="236"/>
      <c r="M1" s="236"/>
      <c r="N1" s="236"/>
      <c r="O1" s="44"/>
    </row>
    <row r="2" spans="2:15" ht="13.5" customHeight="1" thickBot="1">
      <c r="H2" s="326"/>
      <c r="I2" s="326"/>
      <c r="J2" s="236"/>
      <c r="K2" s="236"/>
      <c r="L2" s="236"/>
      <c r="M2" s="236"/>
      <c r="N2" s="236"/>
    </row>
    <row r="3" spans="2:15" ht="26.25" customHeight="1" thickBot="1">
      <c r="B3" s="291" t="s">
        <v>578</v>
      </c>
      <c r="C3" s="292"/>
      <c r="D3" s="292"/>
      <c r="E3" s="293"/>
      <c r="F3" s="236"/>
      <c r="G3" s="236"/>
      <c r="H3" s="326"/>
      <c r="I3" s="326"/>
      <c r="J3" s="236"/>
      <c r="K3" s="237"/>
      <c r="L3" s="237"/>
      <c r="M3" s="237"/>
      <c r="N3" s="237"/>
    </row>
    <row r="4" spans="2:15" ht="25.5" customHeight="1" thickTop="1" thickBot="1">
      <c r="B4" s="49" t="s">
        <v>579</v>
      </c>
      <c r="C4" s="50" t="s">
        <v>281</v>
      </c>
      <c r="D4" s="50" t="s">
        <v>282</v>
      </c>
      <c r="E4" s="51" t="s">
        <v>283</v>
      </c>
      <c r="F4" s="236"/>
      <c r="G4" s="236"/>
      <c r="H4" s="326"/>
      <c r="I4" s="326"/>
      <c r="J4" s="236"/>
      <c r="K4" s="45"/>
    </row>
    <row r="5" spans="2:15" s="52" customFormat="1" ht="13.5" customHeight="1" thickTop="1">
      <c r="B5" s="55">
        <v>1.1000000000000001</v>
      </c>
      <c r="C5" s="55" t="s">
        <v>324</v>
      </c>
      <c r="D5" s="55" t="str">
        <f>LEFT($C5, 1)</f>
        <v>5</v>
      </c>
      <c r="E5" s="87" t="str">
        <f>D5</f>
        <v>5</v>
      </c>
      <c r="F5" s="236"/>
      <c r="G5" s="236"/>
      <c r="H5" s="326"/>
      <c r="I5" s="326"/>
      <c r="J5" s="236"/>
      <c r="K5" s="45"/>
    </row>
    <row r="6" spans="2:15" ht="12.75" customHeight="1">
      <c r="B6" s="58">
        <v>1.2</v>
      </c>
      <c r="C6" s="58" t="s">
        <v>325</v>
      </c>
      <c r="D6" s="58" t="str">
        <f t="shared" ref="D6:D69" si="0">LEFT($C6, 1)</f>
        <v>3</v>
      </c>
      <c r="E6" s="88" t="str">
        <f t="shared" ref="E6:E69" si="1">D6</f>
        <v>3</v>
      </c>
      <c r="F6" s="236"/>
      <c r="G6" s="236"/>
      <c r="H6" s="236"/>
      <c r="I6" s="236"/>
      <c r="J6" s="236"/>
      <c r="K6" s="45"/>
    </row>
    <row r="7" spans="2:15" ht="12.75" customHeight="1">
      <c r="B7" s="55">
        <v>1.3</v>
      </c>
      <c r="C7" s="55" t="s">
        <v>326</v>
      </c>
      <c r="D7" s="55" t="str">
        <f t="shared" si="0"/>
        <v>4</v>
      </c>
      <c r="E7" s="89" t="str">
        <f t="shared" si="1"/>
        <v>4</v>
      </c>
      <c r="F7" s="236"/>
      <c r="G7" s="236"/>
      <c r="H7" s="236"/>
      <c r="I7" s="236"/>
      <c r="J7" s="236"/>
      <c r="K7" s="45"/>
    </row>
    <row r="8" spans="2:15" ht="14">
      <c r="B8" s="58">
        <v>1.4</v>
      </c>
      <c r="C8" s="58" t="s">
        <v>325</v>
      </c>
      <c r="D8" s="58" t="str">
        <f t="shared" si="0"/>
        <v>3</v>
      </c>
      <c r="E8" s="88" t="str">
        <f t="shared" si="1"/>
        <v>3</v>
      </c>
      <c r="F8" s="45"/>
      <c r="G8" s="45"/>
      <c r="H8" s="45"/>
      <c r="I8" s="45"/>
      <c r="J8" s="45"/>
      <c r="K8" s="45"/>
    </row>
    <row r="9" spans="2:15" ht="14">
      <c r="B9" s="55">
        <v>2.1</v>
      </c>
      <c r="C9" s="55" t="s">
        <v>327</v>
      </c>
      <c r="D9" s="55" t="str">
        <f t="shared" si="0"/>
        <v>2</v>
      </c>
      <c r="E9" s="89" t="str">
        <f t="shared" si="1"/>
        <v>2</v>
      </c>
      <c r="F9" s="45"/>
      <c r="G9" s="45"/>
      <c r="H9" s="45"/>
      <c r="I9" s="45"/>
      <c r="J9" s="45"/>
      <c r="K9" s="45"/>
    </row>
    <row r="10" spans="2:15" ht="14">
      <c r="B10" s="58">
        <v>2.2000000000000002</v>
      </c>
      <c r="C10" s="58" t="s">
        <v>326</v>
      </c>
      <c r="D10" s="58" t="str">
        <f t="shared" si="0"/>
        <v>4</v>
      </c>
      <c r="E10" s="88" t="str">
        <f t="shared" si="1"/>
        <v>4</v>
      </c>
      <c r="F10" s="45"/>
      <c r="G10" s="45"/>
      <c r="H10" s="45"/>
      <c r="I10" s="45"/>
      <c r="J10" s="45"/>
      <c r="K10" s="45"/>
    </row>
    <row r="11" spans="2:15" ht="14">
      <c r="B11" s="55">
        <v>2.2999999999999998</v>
      </c>
      <c r="C11" s="55" t="s">
        <v>326</v>
      </c>
      <c r="D11" s="55" t="str">
        <f t="shared" si="0"/>
        <v>4</v>
      </c>
      <c r="E11" s="89" t="str">
        <f t="shared" si="1"/>
        <v>4</v>
      </c>
      <c r="F11" s="45"/>
      <c r="G11" s="45"/>
      <c r="H11" s="45"/>
      <c r="I11" s="45"/>
      <c r="J11" s="45"/>
      <c r="K11" s="45"/>
    </row>
    <row r="12" spans="2:15" ht="14">
      <c r="B12" s="58">
        <v>2.4</v>
      </c>
      <c r="C12" s="58" t="s">
        <v>327</v>
      </c>
      <c r="D12" s="58" t="str">
        <f t="shared" si="0"/>
        <v>2</v>
      </c>
      <c r="E12" s="88" t="str">
        <f t="shared" si="1"/>
        <v>2</v>
      </c>
      <c r="F12" s="45"/>
      <c r="G12" s="45"/>
      <c r="H12" s="45"/>
      <c r="I12" s="45"/>
      <c r="J12" s="45"/>
      <c r="K12" s="45"/>
    </row>
    <row r="13" spans="2:15" ht="14">
      <c r="B13" s="55">
        <v>2.5</v>
      </c>
      <c r="C13" s="55" t="s">
        <v>327</v>
      </c>
      <c r="D13" s="55" t="str">
        <f t="shared" si="0"/>
        <v>2</v>
      </c>
      <c r="E13" s="89" t="str">
        <f t="shared" si="1"/>
        <v>2</v>
      </c>
      <c r="F13" s="45"/>
      <c r="G13" s="45"/>
      <c r="H13" s="45"/>
      <c r="I13" s="45"/>
      <c r="J13" s="45"/>
      <c r="K13" s="45"/>
    </row>
    <row r="14" spans="2:15" ht="14">
      <c r="B14" s="58">
        <v>2.6</v>
      </c>
      <c r="C14" s="58" t="s">
        <v>324</v>
      </c>
      <c r="D14" s="58" t="str">
        <f t="shared" si="0"/>
        <v>5</v>
      </c>
      <c r="E14" s="88" t="str">
        <f t="shared" si="1"/>
        <v>5</v>
      </c>
      <c r="F14" s="45"/>
      <c r="G14" s="45"/>
      <c r="H14" s="45"/>
      <c r="I14" s="45"/>
      <c r="J14" s="45"/>
      <c r="K14" s="45"/>
    </row>
    <row r="15" spans="2:15" ht="14">
      <c r="B15" s="55">
        <v>3.1</v>
      </c>
      <c r="C15" s="55" t="s">
        <v>327</v>
      </c>
      <c r="D15" s="55" t="str">
        <f t="shared" si="0"/>
        <v>2</v>
      </c>
      <c r="E15" s="89" t="str">
        <f t="shared" si="1"/>
        <v>2</v>
      </c>
      <c r="F15" s="45"/>
      <c r="G15" s="45"/>
      <c r="H15" s="45"/>
      <c r="I15" s="45"/>
      <c r="J15" s="45"/>
      <c r="K15" s="45"/>
    </row>
    <row r="16" spans="2:15" ht="14">
      <c r="B16" s="58">
        <v>3.2</v>
      </c>
      <c r="C16" s="58"/>
      <c r="D16" s="58" t="str">
        <f t="shared" si="0"/>
        <v/>
      </c>
      <c r="E16" s="88" t="str">
        <f t="shared" si="1"/>
        <v/>
      </c>
      <c r="F16" s="45"/>
      <c r="G16" s="45"/>
      <c r="H16" s="45"/>
      <c r="I16" s="45"/>
      <c r="J16" s="45"/>
      <c r="K16" s="45"/>
    </row>
    <row r="17" spans="2:11" ht="14">
      <c r="B17" s="55">
        <v>3.3</v>
      </c>
      <c r="C17" s="55" t="s">
        <v>315</v>
      </c>
      <c r="D17" s="55" t="str">
        <f t="shared" si="0"/>
        <v>N</v>
      </c>
      <c r="E17" s="89" t="str">
        <f t="shared" si="1"/>
        <v>N</v>
      </c>
      <c r="F17" s="45"/>
      <c r="G17" s="45"/>
      <c r="H17" s="45"/>
      <c r="I17" s="45"/>
      <c r="J17" s="45"/>
      <c r="K17" s="45"/>
    </row>
    <row r="18" spans="2:11" ht="14">
      <c r="B18" s="58">
        <v>3.4</v>
      </c>
      <c r="C18" s="58"/>
      <c r="D18" s="58" t="str">
        <f t="shared" si="0"/>
        <v/>
      </c>
      <c r="E18" s="88" t="str">
        <f t="shared" si="1"/>
        <v/>
      </c>
      <c r="F18" s="45"/>
      <c r="G18" s="45"/>
      <c r="H18" s="45"/>
      <c r="I18" s="45"/>
      <c r="J18" s="45"/>
      <c r="K18" s="45"/>
    </row>
    <row r="19" spans="2:11" ht="14">
      <c r="B19" s="55">
        <v>3.5</v>
      </c>
      <c r="C19" s="55" t="s">
        <v>328</v>
      </c>
      <c r="D19" s="55" t="str">
        <f t="shared" si="0"/>
        <v>N</v>
      </c>
      <c r="E19" s="89" t="str">
        <f t="shared" si="1"/>
        <v>N</v>
      </c>
      <c r="F19" s="45"/>
      <c r="G19" s="45"/>
      <c r="H19" s="45"/>
      <c r="I19" s="45"/>
      <c r="J19" s="45"/>
      <c r="K19" s="45"/>
    </row>
    <row r="20" spans="2:11" ht="14">
      <c r="B20" s="58">
        <v>3.6</v>
      </c>
      <c r="C20" s="58"/>
      <c r="D20" s="58" t="str">
        <f t="shared" si="0"/>
        <v/>
      </c>
      <c r="E20" s="88" t="str">
        <f t="shared" si="1"/>
        <v/>
      </c>
      <c r="F20" s="45"/>
      <c r="G20" s="45"/>
      <c r="H20" s="45"/>
      <c r="I20" s="45"/>
      <c r="J20" s="45"/>
      <c r="K20" s="45"/>
    </row>
    <row r="21" spans="2:11" ht="14">
      <c r="B21" s="55">
        <v>3.7</v>
      </c>
      <c r="C21" s="55"/>
      <c r="D21" s="55" t="str">
        <f t="shared" si="0"/>
        <v/>
      </c>
      <c r="E21" s="89" t="str">
        <f t="shared" si="1"/>
        <v/>
      </c>
    </row>
    <row r="22" spans="2:11" ht="14">
      <c r="B22" s="58">
        <v>3.8</v>
      </c>
      <c r="C22" s="58"/>
      <c r="D22" s="58" t="str">
        <f t="shared" si="0"/>
        <v/>
      </c>
      <c r="E22" s="88" t="str">
        <f t="shared" si="1"/>
        <v/>
      </c>
    </row>
    <row r="23" spans="2:11" ht="14">
      <c r="B23" s="55">
        <v>3.9</v>
      </c>
      <c r="C23" s="55"/>
      <c r="D23" s="55" t="str">
        <f t="shared" si="0"/>
        <v/>
      </c>
      <c r="E23" s="89" t="str">
        <f t="shared" si="1"/>
        <v/>
      </c>
    </row>
    <row r="24" spans="2:11" ht="14">
      <c r="B24" s="90">
        <v>3.1</v>
      </c>
      <c r="C24" s="58"/>
      <c r="D24" s="58" t="str">
        <f t="shared" si="0"/>
        <v/>
      </c>
      <c r="E24" s="88" t="str">
        <f t="shared" si="1"/>
        <v/>
      </c>
    </row>
    <row r="25" spans="2:11" ht="14">
      <c r="B25" s="55">
        <v>3.11</v>
      </c>
      <c r="C25" s="55"/>
      <c r="D25" s="55" t="str">
        <f t="shared" si="0"/>
        <v/>
      </c>
      <c r="E25" s="89" t="str">
        <f t="shared" si="1"/>
        <v/>
      </c>
    </row>
    <row r="26" spans="2:11" ht="14">
      <c r="B26" s="58">
        <v>3.12</v>
      </c>
      <c r="C26" s="58"/>
      <c r="D26" s="58" t="str">
        <f t="shared" si="0"/>
        <v/>
      </c>
      <c r="E26" s="88" t="str">
        <f t="shared" si="1"/>
        <v/>
      </c>
    </row>
    <row r="27" spans="2:11" ht="14">
      <c r="B27" s="55">
        <v>4.0999999999999996</v>
      </c>
      <c r="C27" s="55"/>
      <c r="D27" s="55" t="str">
        <f t="shared" si="0"/>
        <v/>
      </c>
      <c r="E27" s="89" t="str">
        <f t="shared" si="1"/>
        <v/>
      </c>
    </row>
    <row r="28" spans="2:11" ht="14">
      <c r="B28" s="58">
        <v>4.2</v>
      </c>
      <c r="C28" s="58"/>
      <c r="D28" s="58" t="str">
        <f t="shared" si="0"/>
        <v/>
      </c>
      <c r="E28" s="88" t="str">
        <f t="shared" si="1"/>
        <v/>
      </c>
    </row>
    <row r="29" spans="2:11" ht="14">
      <c r="B29" s="55">
        <v>4.3</v>
      </c>
      <c r="C29" s="55"/>
      <c r="D29" s="55" t="str">
        <f t="shared" si="0"/>
        <v/>
      </c>
      <c r="E29" s="89" t="str">
        <f t="shared" si="1"/>
        <v/>
      </c>
    </row>
    <row r="30" spans="2:11" ht="14">
      <c r="B30" s="58">
        <v>4.4000000000000004</v>
      </c>
      <c r="C30" s="58"/>
      <c r="D30" s="58" t="str">
        <f t="shared" si="0"/>
        <v/>
      </c>
      <c r="E30" s="88" t="str">
        <f t="shared" si="1"/>
        <v/>
      </c>
    </row>
    <row r="31" spans="2:11" ht="14">
      <c r="B31" s="55">
        <v>4.5</v>
      </c>
      <c r="C31" s="55"/>
      <c r="D31" s="55" t="str">
        <f t="shared" si="0"/>
        <v/>
      </c>
      <c r="E31" s="89" t="str">
        <f t="shared" si="1"/>
        <v/>
      </c>
    </row>
    <row r="32" spans="2:11" ht="14">
      <c r="B32" s="58">
        <v>4.5999999999999996</v>
      </c>
      <c r="C32" s="58"/>
      <c r="D32" s="58" t="str">
        <f t="shared" si="0"/>
        <v/>
      </c>
      <c r="E32" s="88" t="str">
        <f t="shared" si="1"/>
        <v/>
      </c>
    </row>
    <row r="33" spans="2:5" ht="14">
      <c r="B33" s="55">
        <v>4.7</v>
      </c>
      <c r="C33" s="55"/>
      <c r="D33" s="55" t="str">
        <f t="shared" si="0"/>
        <v/>
      </c>
      <c r="E33" s="89" t="str">
        <f t="shared" si="1"/>
        <v/>
      </c>
    </row>
    <row r="34" spans="2:5" ht="14">
      <c r="B34" s="58">
        <v>4.8</v>
      </c>
      <c r="C34" s="58"/>
      <c r="D34" s="58" t="str">
        <f t="shared" si="0"/>
        <v/>
      </c>
      <c r="E34" s="88" t="str">
        <f t="shared" si="1"/>
        <v/>
      </c>
    </row>
    <row r="35" spans="2:5" ht="14">
      <c r="B35" s="55">
        <v>4.9000000000000004</v>
      </c>
      <c r="C35" s="55"/>
      <c r="D35" s="55" t="str">
        <f t="shared" si="0"/>
        <v/>
      </c>
      <c r="E35" s="89" t="str">
        <f t="shared" si="1"/>
        <v/>
      </c>
    </row>
    <row r="36" spans="2:5" ht="14">
      <c r="B36" s="90">
        <v>4.0999999999999996</v>
      </c>
      <c r="C36" s="58"/>
      <c r="D36" s="58" t="str">
        <f t="shared" si="0"/>
        <v/>
      </c>
      <c r="E36" s="88" t="str">
        <f t="shared" si="1"/>
        <v/>
      </c>
    </row>
    <row r="37" spans="2:5" ht="14">
      <c r="B37" s="55">
        <v>4.1100000000000003</v>
      </c>
      <c r="C37" s="55"/>
      <c r="D37" s="55" t="str">
        <f t="shared" si="0"/>
        <v/>
      </c>
      <c r="E37" s="89" t="str">
        <f t="shared" si="1"/>
        <v/>
      </c>
    </row>
    <row r="38" spans="2:5" ht="14">
      <c r="B38" s="58">
        <v>5.0999999999999996</v>
      </c>
      <c r="C38" s="58"/>
      <c r="D38" s="58" t="str">
        <f t="shared" si="0"/>
        <v/>
      </c>
      <c r="E38" s="88" t="str">
        <f t="shared" si="1"/>
        <v/>
      </c>
    </row>
    <row r="39" spans="2:5" ht="14">
      <c r="B39" s="55">
        <v>5.2</v>
      </c>
      <c r="C39" s="55" t="s">
        <v>324</v>
      </c>
      <c r="D39" s="55" t="str">
        <f t="shared" si="0"/>
        <v>5</v>
      </c>
      <c r="E39" s="89" t="str">
        <f t="shared" si="1"/>
        <v>5</v>
      </c>
    </row>
    <row r="40" spans="2:5" ht="14">
      <c r="B40" s="58">
        <v>5.3</v>
      </c>
      <c r="C40" s="58"/>
      <c r="D40" s="58" t="str">
        <f t="shared" si="0"/>
        <v/>
      </c>
      <c r="E40" s="88" t="str">
        <f t="shared" si="1"/>
        <v/>
      </c>
    </row>
    <row r="41" spans="2:5" ht="14">
      <c r="B41" s="55">
        <v>5.4</v>
      </c>
      <c r="C41" s="55"/>
      <c r="D41" s="55" t="str">
        <f t="shared" si="0"/>
        <v/>
      </c>
      <c r="E41" s="89" t="str">
        <f t="shared" si="1"/>
        <v/>
      </c>
    </row>
    <row r="42" spans="2:5" ht="14">
      <c r="B42" s="58">
        <v>5.5</v>
      </c>
      <c r="C42" s="58"/>
      <c r="D42" s="58" t="str">
        <f t="shared" si="0"/>
        <v/>
      </c>
      <c r="E42" s="88" t="str">
        <f t="shared" si="1"/>
        <v/>
      </c>
    </row>
    <row r="43" spans="2:5" ht="14">
      <c r="B43" s="55">
        <v>5.6</v>
      </c>
      <c r="C43" s="55"/>
      <c r="D43" s="55" t="str">
        <f t="shared" si="0"/>
        <v/>
      </c>
      <c r="E43" s="89" t="str">
        <f t="shared" si="1"/>
        <v/>
      </c>
    </row>
    <row r="44" spans="2:5" ht="14">
      <c r="B44" s="58">
        <v>6.1</v>
      </c>
      <c r="C44" s="58" t="s">
        <v>324</v>
      </c>
      <c r="D44" s="58" t="str">
        <f t="shared" si="0"/>
        <v>5</v>
      </c>
      <c r="E44" s="88" t="str">
        <f t="shared" si="1"/>
        <v>5</v>
      </c>
    </row>
    <row r="45" spans="2:5" ht="14">
      <c r="B45" s="55">
        <v>6.2</v>
      </c>
      <c r="C45" s="55"/>
      <c r="D45" s="55" t="str">
        <f t="shared" si="0"/>
        <v/>
      </c>
      <c r="E45" s="89" t="str">
        <f t="shared" si="1"/>
        <v/>
      </c>
    </row>
    <row r="46" spans="2:5" ht="14">
      <c r="B46" s="58">
        <v>6.3</v>
      </c>
      <c r="C46" s="58" t="s">
        <v>325</v>
      </c>
      <c r="D46" s="58" t="str">
        <f t="shared" si="0"/>
        <v>3</v>
      </c>
      <c r="E46" s="88" t="str">
        <f t="shared" si="1"/>
        <v>3</v>
      </c>
    </row>
    <row r="47" spans="2:5" ht="14">
      <c r="B47" s="55">
        <v>6.4</v>
      </c>
      <c r="C47" s="58" t="s">
        <v>325</v>
      </c>
      <c r="D47" s="55" t="str">
        <f t="shared" si="0"/>
        <v>3</v>
      </c>
      <c r="E47" s="89" t="str">
        <f t="shared" si="1"/>
        <v>3</v>
      </c>
    </row>
    <row r="48" spans="2:5" ht="14">
      <c r="B48" s="58">
        <v>6.5</v>
      </c>
      <c r="C48" s="55" t="s">
        <v>327</v>
      </c>
      <c r="D48" s="58" t="str">
        <f t="shared" si="0"/>
        <v>2</v>
      </c>
      <c r="E48" s="88" t="str">
        <f t="shared" si="1"/>
        <v>2</v>
      </c>
    </row>
    <row r="49" spans="2:5" ht="14">
      <c r="B49" s="55">
        <v>6.6</v>
      </c>
      <c r="C49" s="58" t="s">
        <v>326</v>
      </c>
      <c r="D49" s="55" t="str">
        <f t="shared" si="0"/>
        <v>4</v>
      </c>
      <c r="E49" s="89" t="str">
        <f t="shared" si="1"/>
        <v>4</v>
      </c>
    </row>
    <row r="50" spans="2:5" ht="14">
      <c r="B50" s="58">
        <v>6.7</v>
      </c>
      <c r="C50" s="55" t="s">
        <v>326</v>
      </c>
      <c r="D50" s="58" t="str">
        <f t="shared" si="0"/>
        <v>4</v>
      </c>
      <c r="E50" s="88" t="str">
        <f t="shared" si="1"/>
        <v>4</v>
      </c>
    </row>
    <row r="51" spans="2:5" ht="14">
      <c r="B51" s="55">
        <v>7.1</v>
      </c>
      <c r="C51" s="58" t="s">
        <v>327</v>
      </c>
      <c r="D51" s="55" t="str">
        <f t="shared" si="0"/>
        <v>2</v>
      </c>
      <c r="E51" s="89" t="str">
        <f t="shared" si="1"/>
        <v>2</v>
      </c>
    </row>
    <row r="52" spans="2:5" ht="14">
      <c r="B52" s="58">
        <v>7.2</v>
      </c>
      <c r="C52" s="55" t="s">
        <v>327</v>
      </c>
      <c r="D52" s="58" t="str">
        <f t="shared" si="0"/>
        <v>2</v>
      </c>
      <c r="E52" s="88" t="str">
        <f t="shared" si="1"/>
        <v>2</v>
      </c>
    </row>
    <row r="53" spans="2:5" ht="14">
      <c r="B53" s="55">
        <v>7.3</v>
      </c>
      <c r="C53" s="58" t="s">
        <v>324</v>
      </c>
      <c r="D53" s="55" t="str">
        <f t="shared" si="0"/>
        <v>5</v>
      </c>
      <c r="E53" s="89" t="str">
        <f t="shared" si="1"/>
        <v>5</v>
      </c>
    </row>
    <row r="54" spans="2:5" ht="14">
      <c r="B54" s="58">
        <v>7.4</v>
      </c>
      <c r="C54" s="55" t="s">
        <v>326</v>
      </c>
      <c r="D54" s="58" t="str">
        <f t="shared" si="0"/>
        <v>4</v>
      </c>
      <c r="E54" s="88" t="str">
        <f t="shared" si="1"/>
        <v>4</v>
      </c>
    </row>
    <row r="55" spans="2:5" ht="14">
      <c r="B55" s="55">
        <v>7.5</v>
      </c>
      <c r="C55" s="58" t="s">
        <v>327</v>
      </c>
      <c r="D55" s="55" t="str">
        <f t="shared" si="0"/>
        <v>2</v>
      </c>
      <c r="E55" s="89" t="str">
        <f t="shared" si="1"/>
        <v>2</v>
      </c>
    </row>
    <row r="56" spans="2:5" ht="14">
      <c r="B56" s="58">
        <v>7.6</v>
      </c>
      <c r="C56" s="55" t="s">
        <v>327</v>
      </c>
      <c r="D56" s="58" t="str">
        <f t="shared" si="0"/>
        <v>2</v>
      </c>
      <c r="E56" s="88" t="str">
        <f t="shared" si="1"/>
        <v>2</v>
      </c>
    </row>
    <row r="57" spans="2:5" ht="14">
      <c r="B57" s="55">
        <v>7.7</v>
      </c>
      <c r="C57" s="58" t="s">
        <v>324</v>
      </c>
      <c r="D57" s="55" t="str">
        <f t="shared" si="0"/>
        <v>5</v>
      </c>
      <c r="E57" s="89" t="str">
        <f t="shared" si="1"/>
        <v>5</v>
      </c>
    </row>
    <row r="58" spans="2:5" ht="14">
      <c r="B58" s="58">
        <v>8.1</v>
      </c>
      <c r="C58" s="57"/>
      <c r="D58" s="58" t="str">
        <f t="shared" si="0"/>
        <v/>
      </c>
      <c r="E58" s="59" t="str">
        <f t="shared" si="1"/>
        <v/>
      </c>
    </row>
    <row r="59" spans="2:5" ht="14">
      <c r="B59" s="55">
        <v>8.1999999999999993</v>
      </c>
      <c r="C59" s="54"/>
      <c r="D59" s="55" t="str">
        <f t="shared" si="0"/>
        <v/>
      </c>
      <c r="E59" s="60" t="str">
        <f t="shared" si="1"/>
        <v/>
      </c>
    </row>
    <row r="60" spans="2:5" ht="14">
      <c r="B60" s="58">
        <v>8.3000000000000007</v>
      </c>
      <c r="C60" s="57"/>
      <c r="D60" s="58" t="str">
        <f t="shared" si="0"/>
        <v/>
      </c>
      <c r="E60" s="59" t="str">
        <f t="shared" si="1"/>
        <v/>
      </c>
    </row>
    <row r="61" spans="2:5" ht="14">
      <c r="B61" s="55">
        <v>8.4</v>
      </c>
      <c r="C61" s="54"/>
      <c r="D61" s="55" t="str">
        <f t="shared" si="0"/>
        <v/>
      </c>
      <c r="E61" s="60" t="str">
        <f t="shared" si="1"/>
        <v/>
      </c>
    </row>
    <row r="62" spans="2:5" ht="14">
      <c r="B62" s="58">
        <v>8.5</v>
      </c>
      <c r="C62" s="57"/>
      <c r="D62" s="58" t="str">
        <f t="shared" si="0"/>
        <v/>
      </c>
      <c r="E62" s="59" t="str">
        <f t="shared" si="1"/>
        <v/>
      </c>
    </row>
    <row r="63" spans="2:5" ht="14">
      <c r="B63" s="55">
        <v>8.6</v>
      </c>
      <c r="C63" s="54"/>
      <c r="D63" s="55" t="str">
        <f t="shared" si="0"/>
        <v/>
      </c>
      <c r="E63" s="60" t="str">
        <f t="shared" si="1"/>
        <v/>
      </c>
    </row>
    <row r="64" spans="2:5" ht="14">
      <c r="B64" s="58">
        <v>8.6999999999999993</v>
      </c>
      <c r="C64" s="57"/>
      <c r="D64" s="58" t="str">
        <f t="shared" si="0"/>
        <v/>
      </c>
      <c r="E64" s="59" t="str">
        <f t="shared" si="1"/>
        <v/>
      </c>
    </row>
    <row r="65" spans="2:5" ht="14">
      <c r="B65" s="55">
        <v>8.8000000000000007</v>
      </c>
      <c r="C65" s="54"/>
      <c r="D65" s="55" t="str">
        <f t="shared" si="0"/>
        <v/>
      </c>
      <c r="E65" s="60" t="str">
        <f t="shared" si="1"/>
        <v/>
      </c>
    </row>
    <row r="66" spans="2:5" ht="14">
      <c r="B66" s="58">
        <v>8.9</v>
      </c>
      <c r="C66" s="57"/>
      <c r="D66" s="58" t="str">
        <f t="shared" si="0"/>
        <v/>
      </c>
      <c r="E66" s="59" t="str">
        <f t="shared" si="1"/>
        <v/>
      </c>
    </row>
    <row r="67" spans="2:5" ht="14">
      <c r="B67" s="99">
        <v>8.1</v>
      </c>
      <c r="C67" s="54"/>
      <c r="D67" s="55" t="str">
        <f t="shared" si="0"/>
        <v/>
      </c>
      <c r="E67" s="60" t="str">
        <f t="shared" si="1"/>
        <v/>
      </c>
    </row>
    <row r="68" spans="2:5" ht="14">
      <c r="B68" s="58">
        <v>8.11</v>
      </c>
      <c r="C68" s="57"/>
      <c r="D68" s="58" t="str">
        <f t="shared" si="0"/>
        <v/>
      </c>
      <c r="E68" s="59" t="str">
        <f t="shared" si="1"/>
        <v/>
      </c>
    </row>
    <row r="69" spans="2:5" ht="14">
      <c r="B69" s="55">
        <v>9.1</v>
      </c>
      <c r="C69" s="54"/>
      <c r="D69" s="55" t="str">
        <f t="shared" si="0"/>
        <v/>
      </c>
      <c r="E69" s="60" t="str">
        <f t="shared" si="1"/>
        <v/>
      </c>
    </row>
    <row r="70" spans="2:5" ht="14">
      <c r="B70" s="58">
        <v>9.1999999999999993</v>
      </c>
      <c r="C70" s="57"/>
      <c r="D70" s="58" t="str">
        <f t="shared" ref="D70:D133" si="2">LEFT($C70, 1)</f>
        <v/>
      </c>
      <c r="E70" s="59" t="str">
        <f t="shared" ref="E70:E133" si="3">D70</f>
        <v/>
      </c>
    </row>
    <row r="71" spans="2:5" ht="14">
      <c r="B71" s="55">
        <v>9.3000000000000007</v>
      </c>
      <c r="C71" s="54"/>
      <c r="D71" s="55" t="str">
        <f>LEFT($C71, 1)</f>
        <v/>
      </c>
      <c r="E71" s="60" t="str">
        <f t="shared" si="3"/>
        <v/>
      </c>
    </row>
    <row r="72" spans="2:5" ht="14">
      <c r="B72" s="58">
        <v>9.4</v>
      </c>
      <c r="C72" s="57"/>
      <c r="D72" s="58" t="str">
        <f t="shared" si="2"/>
        <v/>
      </c>
      <c r="E72" s="59" t="str">
        <f t="shared" si="3"/>
        <v/>
      </c>
    </row>
    <row r="73" spans="2:5" ht="14">
      <c r="B73" s="55">
        <v>9.5</v>
      </c>
      <c r="C73" s="54"/>
      <c r="D73" s="55" t="str">
        <f t="shared" si="2"/>
        <v/>
      </c>
      <c r="E73" s="60" t="str">
        <f t="shared" si="3"/>
        <v/>
      </c>
    </row>
    <row r="74" spans="2:5" ht="14">
      <c r="B74" s="58">
        <v>9.6</v>
      </c>
      <c r="C74" s="57"/>
      <c r="D74" s="58" t="str">
        <f t="shared" si="2"/>
        <v/>
      </c>
      <c r="E74" s="59" t="str">
        <f t="shared" si="3"/>
        <v/>
      </c>
    </row>
    <row r="75" spans="2:5" ht="14">
      <c r="B75" s="55">
        <v>10.1</v>
      </c>
      <c r="C75" s="54"/>
      <c r="D75" s="55" t="str">
        <f t="shared" si="2"/>
        <v/>
      </c>
      <c r="E75" s="60" t="str">
        <f t="shared" si="3"/>
        <v/>
      </c>
    </row>
    <row r="76" spans="2:5" ht="14">
      <c r="B76" s="58">
        <v>10.199999999999999</v>
      </c>
      <c r="C76" s="57"/>
      <c r="D76" s="58" t="str">
        <f t="shared" si="2"/>
        <v/>
      </c>
      <c r="E76" s="59" t="str">
        <f t="shared" si="3"/>
        <v/>
      </c>
    </row>
    <row r="77" spans="2:5" ht="14">
      <c r="B77" s="55">
        <v>10.3</v>
      </c>
      <c r="C77" s="54"/>
      <c r="D77" s="55" t="str">
        <f t="shared" si="2"/>
        <v/>
      </c>
      <c r="E77" s="60" t="str">
        <f t="shared" si="3"/>
        <v/>
      </c>
    </row>
    <row r="78" spans="2:5" ht="14">
      <c r="B78" s="58">
        <v>10.4</v>
      </c>
      <c r="C78" s="57"/>
      <c r="D78" s="58" t="str">
        <f t="shared" si="2"/>
        <v/>
      </c>
      <c r="E78" s="59" t="str">
        <f t="shared" si="3"/>
        <v/>
      </c>
    </row>
    <row r="79" spans="2:5" ht="14">
      <c r="B79" s="55">
        <v>10.5</v>
      </c>
      <c r="C79" s="54"/>
      <c r="D79" s="55" t="str">
        <f t="shared" si="2"/>
        <v/>
      </c>
      <c r="E79" s="60" t="str">
        <f t="shared" si="3"/>
        <v/>
      </c>
    </row>
    <row r="80" spans="2:5" ht="14">
      <c r="B80" s="58">
        <v>10.6</v>
      </c>
      <c r="C80" s="57"/>
      <c r="D80" s="58" t="str">
        <f t="shared" si="2"/>
        <v/>
      </c>
      <c r="E80" s="59" t="str">
        <f t="shared" si="3"/>
        <v/>
      </c>
    </row>
    <row r="81" spans="2:5" ht="14">
      <c r="B81" s="55">
        <v>10.7</v>
      </c>
      <c r="C81" s="54"/>
      <c r="D81" s="55" t="str">
        <f t="shared" si="2"/>
        <v/>
      </c>
      <c r="E81" s="60" t="str">
        <f t="shared" si="3"/>
        <v/>
      </c>
    </row>
    <row r="82" spans="2:5" ht="14">
      <c r="B82" s="58">
        <v>11.1</v>
      </c>
      <c r="C82" s="57"/>
      <c r="D82" s="58" t="str">
        <f t="shared" si="2"/>
        <v/>
      </c>
      <c r="E82" s="59" t="str">
        <f t="shared" si="3"/>
        <v/>
      </c>
    </row>
    <row r="83" spans="2:5" ht="14">
      <c r="B83" s="55">
        <v>11.2</v>
      </c>
      <c r="C83" s="54"/>
      <c r="D83" s="55" t="str">
        <f t="shared" si="2"/>
        <v/>
      </c>
      <c r="E83" s="60" t="str">
        <f t="shared" si="3"/>
        <v/>
      </c>
    </row>
    <row r="84" spans="2:5" ht="14">
      <c r="B84" s="58">
        <v>11.3</v>
      </c>
      <c r="C84" s="57"/>
      <c r="D84" s="58" t="str">
        <f t="shared" si="2"/>
        <v/>
      </c>
      <c r="E84" s="59" t="str">
        <f t="shared" si="3"/>
        <v/>
      </c>
    </row>
    <row r="85" spans="2:5" ht="14">
      <c r="B85" s="55">
        <v>11.4</v>
      </c>
      <c r="C85" s="54"/>
      <c r="D85" s="55" t="str">
        <f t="shared" si="2"/>
        <v/>
      </c>
      <c r="E85" s="60" t="str">
        <f t="shared" si="3"/>
        <v/>
      </c>
    </row>
    <row r="86" spans="2:5" ht="14">
      <c r="B86" s="58">
        <v>11.5</v>
      </c>
      <c r="C86" s="57"/>
      <c r="D86" s="58" t="str">
        <f t="shared" si="2"/>
        <v/>
      </c>
      <c r="E86" s="59" t="str">
        <f t="shared" si="3"/>
        <v/>
      </c>
    </row>
    <row r="87" spans="2:5" ht="14">
      <c r="B87" s="55">
        <v>12.1</v>
      </c>
      <c r="C87" s="54"/>
      <c r="D87" s="55" t="str">
        <f t="shared" si="2"/>
        <v/>
      </c>
      <c r="E87" s="60" t="str">
        <f t="shared" si="3"/>
        <v/>
      </c>
    </row>
    <row r="88" spans="2:5" ht="14">
      <c r="B88" s="58">
        <v>12.2</v>
      </c>
      <c r="C88" s="57"/>
      <c r="D88" s="58" t="str">
        <f t="shared" si="2"/>
        <v/>
      </c>
      <c r="E88" s="59" t="str">
        <f t="shared" si="3"/>
        <v/>
      </c>
    </row>
    <row r="89" spans="2:5" ht="14">
      <c r="B89" s="55">
        <v>12.3</v>
      </c>
      <c r="C89" s="54"/>
      <c r="D89" s="55" t="str">
        <f t="shared" si="2"/>
        <v/>
      </c>
      <c r="E89" s="60" t="str">
        <f t="shared" si="3"/>
        <v/>
      </c>
    </row>
    <row r="90" spans="2:5" ht="14">
      <c r="B90" s="58">
        <v>12.4</v>
      </c>
      <c r="C90" s="57"/>
      <c r="D90" s="58" t="str">
        <f t="shared" si="2"/>
        <v/>
      </c>
      <c r="E90" s="59" t="str">
        <f t="shared" si="3"/>
        <v/>
      </c>
    </row>
    <row r="91" spans="2:5" ht="14">
      <c r="B91" s="55">
        <v>12.5</v>
      </c>
      <c r="C91" s="54"/>
      <c r="D91" s="55" t="str">
        <f t="shared" si="2"/>
        <v/>
      </c>
      <c r="E91" s="60" t="str">
        <f t="shared" si="3"/>
        <v/>
      </c>
    </row>
    <row r="92" spans="2:5" ht="14">
      <c r="B92" s="58">
        <v>12.6</v>
      </c>
      <c r="C92" s="57"/>
      <c r="D92" s="58" t="str">
        <f t="shared" si="2"/>
        <v/>
      </c>
      <c r="E92" s="59" t="str">
        <f t="shared" si="3"/>
        <v/>
      </c>
    </row>
    <row r="93" spans="2:5" ht="14">
      <c r="B93" s="55">
        <v>12.7</v>
      </c>
      <c r="C93" s="54"/>
      <c r="D93" s="55" t="str">
        <f t="shared" si="2"/>
        <v/>
      </c>
      <c r="E93" s="60" t="str">
        <f t="shared" si="3"/>
        <v/>
      </c>
    </row>
    <row r="94" spans="2:5" ht="14">
      <c r="B94" s="58">
        <v>13.1</v>
      </c>
      <c r="C94" s="57"/>
      <c r="D94" s="58" t="str">
        <f t="shared" si="2"/>
        <v/>
      </c>
      <c r="E94" s="59" t="str">
        <f t="shared" si="3"/>
        <v/>
      </c>
    </row>
    <row r="95" spans="2:5" ht="14">
      <c r="B95" s="55">
        <v>13.2</v>
      </c>
      <c r="C95" s="54"/>
      <c r="D95" s="55" t="str">
        <f t="shared" si="2"/>
        <v/>
      </c>
      <c r="E95" s="60" t="str">
        <f t="shared" si="3"/>
        <v/>
      </c>
    </row>
    <row r="96" spans="2:5" ht="14">
      <c r="B96" s="58">
        <v>13.3</v>
      </c>
      <c r="C96" s="57"/>
      <c r="D96" s="58" t="str">
        <f t="shared" si="2"/>
        <v/>
      </c>
      <c r="E96" s="59" t="str">
        <f t="shared" si="3"/>
        <v/>
      </c>
    </row>
    <row r="97" spans="2:5" ht="14">
      <c r="B97" s="55">
        <v>13.4</v>
      </c>
      <c r="C97" s="54"/>
      <c r="D97" s="55" t="str">
        <f t="shared" si="2"/>
        <v/>
      </c>
      <c r="E97" s="60" t="str">
        <f t="shared" si="3"/>
        <v/>
      </c>
    </row>
    <row r="98" spans="2:5" ht="14">
      <c r="B98" s="58">
        <v>13.5</v>
      </c>
      <c r="C98" s="57"/>
      <c r="D98" s="58" t="str">
        <f t="shared" si="2"/>
        <v/>
      </c>
      <c r="E98" s="59" t="str">
        <f t="shared" si="3"/>
        <v/>
      </c>
    </row>
    <row r="99" spans="2:5" ht="14">
      <c r="B99" s="55">
        <v>13.6</v>
      </c>
      <c r="C99" s="54"/>
      <c r="D99" s="55" t="str">
        <f t="shared" si="2"/>
        <v/>
      </c>
      <c r="E99" s="60" t="str">
        <f t="shared" si="3"/>
        <v/>
      </c>
    </row>
    <row r="100" spans="2:5" ht="14">
      <c r="B100" s="58">
        <v>14.1</v>
      </c>
      <c r="C100" s="57"/>
      <c r="D100" s="58" t="str">
        <f t="shared" si="2"/>
        <v/>
      </c>
      <c r="E100" s="59" t="str">
        <f t="shared" si="3"/>
        <v/>
      </c>
    </row>
    <row r="101" spans="2:5" ht="14">
      <c r="B101" s="55">
        <v>14.2</v>
      </c>
      <c r="C101" s="54"/>
      <c r="D101" s="55" t="str">
        <f t="shared" si="2"/>
        <v/>
      </c>
      <c r="E101" s="60" t="str">
        <f t="shared" si="3"/>
        <v/>
      </c>
    </row>
    <row r="102" spans="2:5" ht="14">
      <c r="B102" s="58">
        <v>14.3</v>
      </c>
      <c r="C102" s="57"/>
      <c r="D102" s="58" t="str">
        <f t="shared" si="2"/>
        <v/>
      </c>
      <c r="E102" s="59" t="str">
        <f t="shared" si="3"/>
        <v/>
      </c>
    </row>
    <row r="103" spans="2:5" ht="14">
      <c r="B103" s="55">
        <v>14.4</v>
      </c>
      <c r="C103" s="54"/>
      <c r="D103" s="55" t="str">
        <f t="shared" si="2"/>
        <v/>
      </c>
      <c r="E103" s="60" t="str">
        <f t="shared" si="3"/>
        <v/>
      </c>
    </row>
    <row r="104" spans="2:5" ht="14">
      <c r="B104" s="58">
        <v>14.5</v>
      </c>
      <c r="C104" s="57"/>
      <c r="D104" s="58" t="str">
        <f t="shared" si="2"/>
        <v/>
      </c>
      <c r="E104" s="59" t="str">
        <f t="shared" si="3"/>
        <v/>
      </c>
    </row>
    <row r="105" spans="2:5" ht="14">
      <c r="B105" s="55">
        <v>14.6</v>
      </c>
      <c r="C105" s="54"/>
      <c r="D105" s="55" t="str">
        <f t="shared" si="2"/>
        <v/>
      </c>
      <c r="E105" s="60" t="str">
        <f t="shared" si="3"/>
        <v/>
      </c>
    </row>
    <row r="106" spans="2:5" ht="14">
      <c r="B106" s="58">
        <v>14.7</v>
      </c>
      <c r="C106" s="57"/>
      <c r="D106" s="58" t="str">
        <f t="shared" si="2"/>
        <v/>
      </c>
      <c r="E106" s="59" t="str">
        <f t="shared" si="3"/>
        <v/>
      </c>
    </row>
    <row r="107" spans="2:5" ht="14">
      <c r="B107" s="55">
        <v>14.8</v>
      </c>
      <c r="C107" s="54"/>
      <c r="D107" s="55" t="str">
        <f t="shared" si="2"/>
        <v/>
      </c>
      <c r="E107" s="60" t="str">
        <f t="shared" si="3"/>
        <v/>
      </c>
    </row>
    <row r="108" spans="2:5" ht="14">
      <c r="B108" s="58">
        <v>14.9</v>
      </c>
      <c r="C108" s="57"/>
      <c r="D108" s="58" t="str">
        <f t="shared" si="2"/>
        <v/>
      </c>
      <c r="E108" s="59" t="str">
        <f t="shared" si="3"/>
        <v/>
      </c>
    </row>
    <row r="109" spans="2:5" ht="14">
      <c r="B109" s="55">
        <v>15.1</v>
      </c>
      <c r="C109" s="54"/>
      <c r="D109" s="55" t="str">
        <f t="shared" si="2"/>
        <v/>
      </c>
      <c r="E109" s="60" t="str">
        <f t="shared" si="3"/>
        <v/>
      </c>
    </row>
    <row r="110" spans="2:5" ht="14">
      <c r="B110" s="58">
        <v>15.2</v>
      </c>
      <c r="C110" s="57"/>
      <c r="D110" s="58" t="str">
        <f t="shared" si="2"/>
        <v/>
      </c>
      <c r="E110" s="59" t="str">
        <f t="shared" si="3"/>
        <v/>
      </c>
    </row>
    <row r="111" spans="2:5" ht="14">
      <c r="B111" s="55">
        <v>15.3</v>
      </c>
      <c r="C111" s="54"/>
      <c r="D111" s="55" t="str">
        <f t="shared" si="2"/>
        <v/>
      </c>
      <c r="E111" s="60" t="str">
        <f t="shared" si="3"/>
        <v/>
      </c>
    </row>
    <row r="112" spans="2:5" ht="14">
      <c r="B112" s="58">
        <v>15.4</v>
      </c>
      <c r="C112" s="57"/>
      <c r="D112" s="58" t="str">
        <f t="shared" si="2"/>
        <v/>
      </c>
      <c r="E112" s="59" t="str">
        <f t="shared" si="3"/>
        <v/>
      </c>
    </row>
    <row r="113" spans="2:5" ht="14">
      <c r="B113" s="55">
        <v>16.100000000000001</v>
      </c>
      <c r="C113" s="54"/>
      <c r="D113" s="55" t="str">
        <f t="shared" si="2"/>
        <v/>
      </c>
      <c r="E113" s="60" t="str">
        <f t="shared" si="3"/>
        <v/>
      </c>
    </row>
    <row r="114" spans="2:5" ht="14">
      <c r="B114" s="58">
        <v>16.2</v>
      </c>
      <c r="C114" s="57"/>
      <c r="D114" s="58" t="str">
        <f t="shared" si="2"/>
        <v/>
      </c>
      <c r="E114" s="59" t="str">
        <f t="shared" si="3"/>
        <v/>
      </c>
    </row>
    <row r="115" spans="2:5" ht="14">
      <c r="B115" s="55">
        <v>16.3</v>
      </c>
      <c r="C115" s="54"/>
      <c r="D115" s="55" t="str">
        <f t="shared" si="2"/>
        <v/>
      </c>
      <c r="E115" s="60" t="str">
        <f t="shared" si="3"/>
        <v/>
      </c>
    </row>
    <row r="116" spans="2:5" ht="14">
      <c r="B116" s="58">
        <v>16.399999999999999</v>
      </c>
      <c r="C116" s="57"/>
      <c r="D116" s="58" t="str">
        <f t="shared" si="2"/>
        <v/>
      </c>
      <c r="E116" s="59" t="str">
        <f t="shared" si="3"/>
        <v/>
      </c>
    </row>
    <row r="117" spans="2:5" ht="14">
      <c r="B117" s="55">
        <v>16.5</v>
      </c>
      <c r="C117" s="54"/>
      <c r="D117" s="55" t="str">
        <f t="shared" si="2"/>
        <v/>
      </c>
      <c r="E117" s="60" t="str">
        <f t="shared" si="3"/>
        <v/>
      </c>
    </row>
    <row r="118" spans="2:5" ht="14">
      <c r="B118" s="58">
        <v>16.600000000000001</v>
      </c>
      <c r="C118" s="57"/>
      <c r="D118" s="58" t="str">
        <f t="shared" si="2"/>
        <v/>
      </c>
      <c r="E118" s="59" t="str">
        <f t="shared" si="3"/>
        <v/>
      </c>
    </row>
    <row r="119" spans="2:5" ht="14">
      <c r="B119" s="55">
        <v>16.7</v>
      </c>
      <c r="C119" s="54"/>
      <c r="D119" s="55" t="str">
        <f t="shared" si="2"/>
        <v/>
      </c>
      <c r="E119" s="60" t="str">
        <f t="shared" si="3"/>
        <v/>
      </c>
    </row>
    <row r="120" spans="2:5" ht="14">
      <c r="B120" s="58">
        <v>16.8</v>
      </c>
      <c r="C120" s="57"/>
      <c r="D120" s="58" t="str">
        <f t="shared" si="2"/>
        <v/>
      </c>
      <c r="E120" s="59" t="str">
        <f t="shared" si="3"/>
        <v/>
      </c>
    </row>
    <row r="121" spans="2:5" ht="14">
      <c r="B121" s="55">
        <v>16.899999999999999</v>
      </c>
      <c r="C121" s="54"/>
      <c r="D121" s="55" t="str">
        <f t="shared" si="2"/>
        <v/>
      </c>
      <c r="E121" s="60" t="str">
        <f t="shared" si="3"/>
        <v/>
      </c>
    </row>
    <row r="122" spans="2:5" ht="14">
      <c r="B122" s="90">
        <v>16.100000000000001</v>
      </c>
      <c r="C122" s="57"/>
      <c r="D122" s="58" t="str">
        <f t="shared" si="2"/>
        <v/>
      </c>
      <c r="E122" s="59" t="str">
        <f t="shared" si="3"/>
        <v/>
      </c>
    </row>
    <row r="123" spans="2:5" ht="14">
      <c r="B123" s="55">
        <v>16.11</v>
      </c>
      <c r="C123" s="54"/>
      <c r="D123" s="55" t="str">
        <f t="shared" si="2"/>
        <v/>
      </c>
      <c r="E123" s="60" t="str">
        <f t="shared" si="3"/>
        <v/>
      </c>
    </row>
    <row r="124" spans="2:5" ht="14">
      <c r="B124" s="58">
        <v>17.100000000000001</v>
      </c>
      <c r="C124" s="57"/>
      <c r="D124" s="58" t="str">
        <f t="shared" si="2"/>
        <v/>
      </c>
      <c r="E124" s="59" t="str">
        <f t="shared" si="3"/>
        <v/>
      </c>
    </row>
    <row r="125" spans="2:5" ht="14">
      <c r="B125" s="55">
        <v>17.2</v>
      </c>
      <c r="C125" s="54"/>
      <c r="D125" s="55" t="str">
        <f t="shared" si="2"/>
        <v/>
      </c>
      <c r="E125" s="60" t="str">
        <f t="shared" si="3"/>
        <v/>
      </c>
    </row>
    <row r="126" spans="2:5" ht="14">
      <c r="B126" s="58">
        <v>17.3</v>
      </c>
      <c r="C126" s="57"/>
      <c r="D126" s="58" t="str">
        <f t="shared" si="2"/>
        <v/>
      </c>
      <c r="E126" s="59" t="str">
        <f t="shared" si="3"/>
        <v/>
      </c>
    </row>
    <row r="127" spans="2:5" ht="14">
      <c r="B127" s="55">
        <v>17.399999999999999</v>
      </c>
      <c r="C127" s="54"/>
      <c r="D127" s="55" t="str">
        <f t="shared" si="2"/>
        <v/>
      </c>
      <c r="E127" s="60" t="str">
        <f t="shared" si="3"/>
        <v/>
      </c>
    </row>
    <row r="128" spans="2:5" ht="14">
      <c r="B128" s="58">
        <v>17.5</v>
      </c>
      <c r="C128" s="57"/>
      <c r="D128" s="58" t="str">
        <f t="shared" si="2"/>
        <v/>
      </c>
      <c r="E128" s="59" t="str">
        <f t="shared" si="3"/>
        <v/>
      </c>
    </row>
    <row r="129" spans="2:5" ht="14">
      <c r="B129" s="55">
        <v>17.600000000000001</v>
      </c>
      <c r="C129" s="54"/>
      <c r="D129" s="55" t="str">
        <f t="shared" si="2"/>
        <v/>
      </c>
      <c r="E129" s="60" t="str">
        <f t="shared" si="3"/>
        <v/>
      </c>
    </row>
    <row r="130" spans="2:5" ht="14">
      <c r="B130" s="58">
        <v>17.7</v>
      </c>
      <c r="C130" s="57"/>
      <c r="D130" s="58" t="str">
        <f t="shared" si="2"/>
        <v/>
      </c>
      <c r="E130" s="59" t="str">
        <f t="shared" si="3"/>
        <v/>
      </c>
    </row>
    <row r="131" spans="2:5" ht="14">
      <c r="B131" s="55">
        <v>17.8</v>
      </c>
      <c r="C131" s="54"/>
      <c r="D131" s="55" t="str">
        <f t="shared" si="2"/>
        <v/>
      </c>
      <c r="E131" s="60" t="str">
        <f t="shared" si="3"/>
        <v/>
      </c>
    </row>
    <row r="132" spans="2:5" ht="14">
      <c r="B132" s="58">
        <v>18.100000000000001</v>
      </c>
      <c r="C132" s="57"/>
      <c r="D132" s="58" t="str">
        <f t="shared" si="2"/>
        <v/>
      </c>
      <c r="E132" s="59" t="str">
        <f t="shared" si="3"/>
        <v/>
      </c>
    </row>
    <row r="133" spans="2:5" ht="14">
      <c r="B133" s="55">
        <v>18.2</v>
      </c>
      <c r="C133" s="54"/>
      <c r="D133" s="55" t="str">
        <f t="shared" si="2"/>
        <v/>
      </c>
      <c r="E133" s="60" t="str">
        <f t="shared" si="3"/>
        <v/>
      </c>
    </row>
    <row r="134" spans="2:5" ht="15" thickBot="1">
      <c r="B134" s="63">
        <v>18.3</v>
      </c>
      <c r="C134" s="62"/>
      <c r="D134" s="63" t="str">
        <f t="shared" ref="D134" si="4">LEFT($C134, 1)</f>
        <v/>
      </c>
      <c r="E134" s="64" t="str">
        <f t="shared" ref="E134" si="5">D134</f>
        <v/>
      </c>
    </row>
    <row r="135" spans="2:5">
      <c r="B135" s="47"/>
      <c r="E135" s="46"/>
    </row>
    <row r="136" spans="2:5">
      <c r="B136" s="47"/>
      <c r="E136" s="46"/>
    </row>
    <row r="137" spans="2:5">
      <c r="B137" s="47"/>
      <c r="E137" s="46"/>
    </row>
    <row r="138" spans="2:5">
      <c r="B138" s="47"/>
      <c r="E138" s="46"/>
    </row>
    <row r="139" spans="2:5">
      <c r="B139" s="47"/>
      <c r="E139" s="46"/>
    </row>
    <row r="140" spans="2:5">
      <c r="B140" s="47"/>
      <c r="E140" s="46"/>
    </row>
    <row r="141" spans="2:5">
      <c r="B141" s="47"/>
      <c r="E141" s="46"/>
    </row>
    <row r="142" spans="2:5">
      <c r="B142" s="47"/>
      <c r="E142" s="46"/>
    </row>
    <row r="143" spans="2:5">
      <c r="B143" s="47"/>
      <c r="E143" s="46"/>
    </row>
    <row r="144" spans="2:5">
      <c r="B144" s="47"/>
      <c r="E144" s="46"/>
    </row>
    <row r="145" spans="2:5">
      <c r="B145" s="47"/>
      <c r="E145" s="46"/>
    </row>
    <row r="146" spans="2:5">
      <c r="B146" s="47"/>
      <c r="E146" s="46"/>
    </row>
  </sheetData>
  <sheetProtection sheet="1" objects="1" scenarios="1"/>
  <mergeCells count="3">
    <mergeCell ref="B3:E3"/>
    <mergeCell ref="H1:I5"/>
    <mergeCell ref="B1:E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E48F3-FE2A-4E40-B58F-2B8C8C076662}">
  <sheetPr>
    <tabColor rgb="FFFF0000"/>
  </sheetPr>
  <dimension ref="B1:AB155"/>
  <sheetViews>
    <sheetView showGridLines="0" workbookViewId="0">
      <selection activeCell="B14" sqref="B14"/>
    </sheetView>
  </sheetViews>
  <sheetFormatPr baseColWidth="10" defaultColWidth="9.1640625" defaultRowHeight="13"/>
  <cols>
    <col min="1" max="1" width="9.1640625" style="42"/>
    <col min="2" max="2" width="19" style="45" customWidth="1"/>
    <col min="3" max="3" width="21.1640625" style="42" bestFit="1" customWidth="1"/>
    <col min="4" max="4" width="28.1640625" style="42" bestFit="1" customWidth="1"/>
    <col min="5" max="5" width="26.5" style="42" customWidth="1"/>
    <col min="6" max="6" width="24.83203125" style="42" bestFit="1" customWidth="1"/>
    <col min="7" max="7" width="18.1640625" style="42" customWidth="1"/>
    <col min="8" max="8" width="20.5" style="42" bestFit="1" customWidth="1"/>
    <col min="9" max="9" width="18.33203125" style="42" bestFit="1" customWidth="1"/>
    <col min="10" max="10" width="16.5" style="42" bestFit="1" customWidth="1"/>
    <col min="11" max="11" width="22" style="42" bestFit="1" customWidth="1"/>
    <col min="12" max="12" width="22" style="42" customWidth="1"/>
    <col min="13" max="13" width="9.1640625" style="42"/>
    <col min="14" max="14" width="25" style="46" customWidth="1"/>
    <col min="15" max="15" width="23.1640625" style="42" bestFit="1" customWidth="1"/>
    <col min="16" max="16" width="29.6640625" style="42" bestFit="1" customWidth="1"/>
    <col min="17" max="17" width="27.5" style="42" bestFit="1" customWidth="1"/>
    <col min="18" max="18" width="25.6640625" style="42" bestFit="1" customWidth="1"/>
    <col min="19" max="19" width="14" style="42" bestFit="1" customWidth="1"/>
    <col min="20" max="20" width="20.5" style="42" bestFit="1" customWidth="1"/>
    <col min="21" max="21" width="18.33203125" style="42" bestFit="1" customWidth="1"/>
    <col min="22" max="22" width="16.5" style="42" bestFit="1" customWidth="1"/>
    <col min="23" max="24" width="16.83203125" style="42" bestFit="1" customWidth="1"/>
    <col min="25" max="26" width="9.1640625" style="42"/>
    <col min="27" max="27" width="19.6640625" style="42" bestFit="1" customWidth="1"/>
    <col min="28" max="28" width="88.6640625" style="42" customWidth="1"/>
    <col min="29" max="16384" width="9.1640625" style="42"/>
  </cols>
  <sheetData>
    <row r="1" spans="2:28" ht="67.5" customHeight="1" thickBot="1">
      <c r="B1" s="310" t="s">
        <v>284</v>
      </c>
      <c r="C1" s="311"/>
      <c r="D1" s="311"/>
      <c r="E1" s="311"/>
      <c r="F1" s="311"/>
      <c r="G1" s="311"/>
      <c r="H1" s="311"/>
      <c r="I1" s="311"/>
      <c r="J1" s="311"/>
      <c r="K1" s="311"/>
      <c r="L1" s="312"/>
      <c r="N1" s="42"/>
    </row>
    <row r="2" spans="2:28" ht="14" thickBot="1">
      <c r="AA2" s="48"/>
      <c r="AB2" s="48"/>
    </row>
    <row r="3" spans="2:28" ht="30" thickTop="1" thickBot="1">
      <c r="B3" s="65" t="s">
        <v>287</v>
      </c>
      <c r="C3" s="66" t="s">
        <v>288</v>
      </c>
      <c r="D3" s="66" t="s">
        <v>289</v>
      </c>
      <c r="E3" s="66" t="s">
        <v>290</v>
      </c>
      <c r="F3" s="67" t="s">
        <v>291</v>
      </c>
      <c r="G3" s="68" t="s">
        <v>287</v>
      </c>
      <c r="I3" s="327" t="s">
        <v>485</v>
      </c>
      <c r="J3" s="327"/>
      <c r="K3" s="327"/>
      <c r="L3" s="327"/>
      <c r="M3" s="327"/>
      <c r="N3" s="327"/>
      <c r="O3" s="327"/>
      <c r="AA3" s="48"/>
      <c r="AB3" s="53"/>
    </row>
    <row r="4" spans="2:28" ht="12.75" customHeight="1">
      <c r="B4" s="69">
        <v>1</v>
      </c>
      <c r="C4" s="70" t="s">
        <v>292</v>
      </c>
      <c r="D4" s="70" t="s">
        <v>293</v>
      </c>
      <c r="E4" s="70" t="s">
        <v>294</v>
      </c>
      <c r="F4" s="71" t="s">
        <v>295</v>
      </c>
      <c r="G4" s="72">
        <v>1</v>
      </c>
      <c r="I4" s="327"/>
      <c r="J4" s="327"/>
      <c r="K4" s="327"/>
      <c r="L4" s="327"/>
      <c r="M4" s="327"/>
      <c r="N4" s="327"/>
      <c r="O4" s="327"/>
      <c r="AA4" s="48"/>
      <c r="AB4" s="53"/>
    </row>
    <row r="5" spans="2:28" ht="12.75" customHeight="1">
      <c r="B5" s="73">
        <v>2</v>
      </c>
      <c r="C5" s="34" t="s">
        <v>296</v>
      </c>
      <c r="D5" s="34" t="s">
        <v>297</v>
      </c>
      <c r="E5" s="34" t="s">
        <v>298</v>
      </c>
      <c r="F5" s="74" t="s">
        <v>299</v>
      </c>
      <c r="G5" s="75">
        <v>2</v>
      </c>
      <c r="I5" s="327"/>
      <c r="J5" s="327"/>
      <c r="K5" s="327"/>
      <c r="L5" s="327"/>
      <c r="M5" s="327"/>
      <c r="N5" s="327"/>
      <c r="O5" s="327"/>
      <c r="AA5" s="48"/>
      <c r="AB5" s="53"/>
    </row>
    <row r="6" spans="2:28" ht="12.75" customHeight="1">
      <c r="B6" s="73">
        <v>3</v>
      </c>
      <c r="C6" s="34" t="s">
        <v>300</v>
      </c>
      <c r="D6" s="34" t="s">
        <v>301</v>
      </c>
      <c r="E6" s="34" t="s">
        <v>302</v>
      </c>
      <c r="F6" s="74" t="s">
        <v>303</v>
      </c>
      <c r="G6" s="75">
        <v>3</v>
      </c>
      <c r="I6" s="327"/>
      <c r="J6" s="327"/>
      <c r="K6" s="327"/>
      <c r="L6" s="327"/>
      <c r="M6" s="327"/>
      <c r="N6" s="327"/>
      <c r="O6" s="327"/>
      <c r="AA6" s="48"/>
      <c r="AB6" s="53"/>
    </row>
    <row r="7" spans="2:28" ht="12.75" customHeight="1">
      <c r="B7" s="73">
        <v>4</v>
      </c>
      <c r="C7" s="34" t="s">
        <v>304</v>
      </c>
      <c r="D7" s="34" t="s">
        <v>305</v>
      </c>
      <c r="E7" s="34" t="s">
        <v>306</v>
      </c>
      <c r="F7" s="74" t="s">
        <v>307</v>
      </c>
      <c r="G7" s="75">
        <v>4</v>
      </c>
      <c r="I7" s="327"/>
      <c r="J7" s="327"/>
      <c r="K7" s="327"/>
      <c r="L7" s="327"/>
      <c r="M7" s="327"/>
      <c r="N7" s="327"/>
      <c r="O7" s="327"/>
      <c r="AA7" s="48"/>
      <c r="AB7" s="53"/>
    </row>
    <row r="8" spans="2:28" ht="12.75" customHeight="1">
      <c r="B8" s="73">
        <v>5</v>
      </c>
      <c r="C8" s="34" t="s">
        <v>308</v>
      </c>
      <c r="D8" s="34" t="s">
        <v>309</v>
      </c>
      <c r="E8" s="34" t="s">
        <v>310</v>
      </c>
      <c r="F8" s="74" t="s">
        <v>311</v>
      </c>
      <c r="G8" s="75">
        <v>5</v>
      </c>
      <c r="I8" s="327"/>
      <c r="J8" s="327"/>
      <c r="K8" s="327"/>
      <c r="L8" s="327"/>
      <c r="M8" s="327"/>
      <c r="N8" s="327"/>
      <c r="O8" s="327"/>
    </row>
    <row r="9" spans="2:28" ht="25.5" customHeight="1">
      <c r="B9" s="73" t="s">
        <v>312</v>
      </c>
      <c r="C9" s="34" t="s">
        <v>313</v>
      </c>
      <c r="D9" s="34" t="s">
        <v>313</v>
      </c>
      <c r="E9" s="34" t="s">
        <v>313</v>
      </c>
      <c r="F9" s="74" t="s">
        <v>313</v>
      </c>
      <c r="G9" s="75" t="s">
        <v>312</v>
      </c>
      <c r="I9" s="327"/>
      <c r="J9" s="327"/>
      <c r="K9" s="327"/>
      <c r="L9" s="327"/>
      <c r="M9" s="327"/>
      <c r="N9" s="327"/>
      <c r="O9" s="327"/>
    </row>
    <row r="10" spans="2:28" ht="13.5" customHeight="1" thickBot="1">
      <c r="B10" s="76" t="s">
        <v>314</v>
      </c>
      <c r="C10" s="77" t="s">
        <v>315</v>
      </c>
      <c r="D10" s="77" t="s">
        <v>315</v>
      </c>
      <c r="E10" s="77" t="s">
        <v>315</v>
      </c>
      <c r="F10" s="78" t="s">
        <v>315</v>
      </c>
      <c r="G10" s="79" t="s">
        <v>314</v>
      </c>
    </row>
    <row r="11" spans="2:28" ht="15" thickTop="1" thickBot="1"/>
    <row r="12" spans="2:28" s="80" customFormat="1" ht="39" customHeight="1" thickBot="1">
      <c r="B12" s="119" t="s">
        <v>580</v>
      </c>
      <c r="C12" s="304" t="s">
        <v>316</v>
      </c>
      <c r="D12" s="292"/>
      <c r="E12" s="292"/>
      <c r="F12" s="293"/>
      <c r="G12" s="291" t="s">
        <v>317</v>
      </c>
      <c r="H12" s="292"/>
      <c r="I12" s="292"/>
      <c r="J12" s="305"/>
      <c r="K12" s="306" t="s">
        <v>318</v>
      </c>
      <c r="L12" s="308" t="s">
        <v>283</v>
      </c>
    </row>
    <row r="13" spans="2:28" s="52" customFormat="1" ht="16" thickTop="1" thickBot="1">
      <c r="B13" s="120" t="s">
        <v>579</v>
      </c>
      <c r="C13" s="81" t="s">
        <v>288</v>
      </c>
      <c r="D13" s="49" t="s">
        <v>289</v>
      </c>
      <c r="E13" s="49" t="s">
        <v>290</v>
      </c>
      <c r="F13" s="49" t="s">
        <v>291</v>
      </c>
      <c r="G13" s="49" t="s">
        <v>288</v>
      </c>
      <c r="H13" s="49" t="s">
        <v>289</v>
      </c>
      <c r="I13" s="49" t="s">
        <v>290</v>
      </c>
      <c r="J13" s="82" t="s">
        <v>291</v>
      </c>
      <c r="K13" s="307"/>
      <c r="L13" s="309"/>
    </row>
    <row r="14" spans="2:28" ht="15" thickTop="1">
      <c r="B14" s="55">
        <v>1.1000000000000001</v>
      </c>
      <c r="C14" s="83" t="s">
        <v>308</v>
      </c>
      <c r="D14" s="83" t="s">
        <v>305</v>
      </c>
      <c r="E14" s="83" t="s">
        <v>310</v>
      </c>
      <c r="F14" s="83" t="s">
        <v>303</v>
      </c>
      <c r="G14" s="84">
        <f>VLOOKUP(C14,$C$4:$G$10,5,FALSE)</f>
        <v>5</v>
      </c>
      <c r="H14" s="84">
        <f>VLOOKUP(D14,$D$4:$G$10,4,FALSE)</f>
        <v>4</v>
      </c>
      <c r="I14" s="84">
        <f>VLOOKUP(E14,$E$4:$G$10,3,FALSE)</f>
        <v>5</v>
      </c>
      <c r="J14" s="84">
        <f>VLOOKUP(F14,$F$4:$G$10,2,FALSE)</f>
        <v>3</v>
      </c>
      <c r="K14" s="84">
        <f>ROUND(AVERAGE(G14:J14),0)</f>
        <v>4</v>
      </c>
      <c r="L14" s="56">
        <f>K14</f>
        <v>4</v>
      </c>
      <c r="N14" s="42"/>
    </row>
    <row r="15" spans="2:28" ht="14">
      <c r="B15" s="58">
        <v>1.2</v>
      </c>
      <c r="C15" s="57" t="s">
        <v>300</v>
      </c>
      <c r="D15" s="57" t="s">
        <v>301</v>
      </c>
      <c r="E15" s="57" t="s">
        <v>302</v>
      </c>
      <c r="F15" s="57" t="s">
        <v>307</v>
      </c>
      <c r="G15" s="58">
        <f t="shared" ref="G15:G78" si="0">VLOOKUP(C15,$C$4:$G$10,5,FALSE)</f>
        <v>3</v>
      </c>
      <c r="H15" s="58">
        <f t="shared" ref="H15:H78" si="1">VLOOKUP(D15,$D$4:$G$10,4,FALSE)</f>
        <v>3</v>
      </c>
      <c r="I15" s="58">
        <f t="shared" ref="I15:I78" si="2">VLOOKUP(E15,$E$4:$G$10,3,FALSE)</f>
        <v>3</v>
      </c>
      <c r="J15" s="58">
        <f t="shared" ref="J15:J78" si="3">VLOOKUP(F15,$F$4:$G$10,2,FALSE)</f>
        <v>4</v>
      </c>
      <c r="K15" s="58">
        <f t="shared" ref="K15:K78" si="4">ROUND(AVERAGE(G15:J15),0)</f>
        <v>3</v>
      </c>
      <c r="L15" s="59">
        <f t="shared" ref="L15:L78" si="5">K15</f>
        <v>3</v>
      </c>
      <c r="N15" s="42"/>
    </row>
    <row r="16" spans="2:28" ht="14">
      <c r="B16" s="55">
        <v>1.3</v>
      </c>
      <c r="C16" s="54" t="s">
        <v>308</v>
      </c>
      <c r="D16" s="54" t="s">
        <v>309</v>
      </c>
      <c r="E16" s="54" t="s">
        <v>310</v>
      </c>
      <c r="F16" s="54" t="s">
        <v>311</v>
      </c>
      <c r="G16" s="55">
        <f t="shared" si="0"/>
        <v>5</v>
      </c>
      <c r="H16" s="55">
        <f t="shared" si="1"/>
        <v>5</v>
      </c>
      <c r="I16" s="55">
        <f t="shared" si="2"/>
        <v>5</v>
      </c>
      <c r="J16" s="55">
        <f t="shared" si="3"/>
        <v>5</v>
      </c>
      <c r="K16" s="55">
        <f t="shared" si="4"/>
        <v>5</v>
      </c>
      <c r="L16" s="60">
        <f t="shared" si="5"/>
        <v>5</v>
      </c>
      <c r="N16" s="42"/>
    </row>
    <row r="17" spans="2:14" ht="14">
      <c r="B17" s="58">
        <v>1.4</v>
      </c>
      <c r="C17" s="57" t="s">
        <v>300</v>
      </c>
      <c r="D17" s="57" t="s">
        <v>301</v>
      </c>
      <c r="E17" s="57" t="s">
        <v>306</v>
      </c>
      <c r="F17" s="57" t="s">
        <v>311</v>
      </c>
      <c r="G17" s="58">
        <f t="shared" si="0"/>
        <v>3</v>
      </c>
      <c r="H17" s="58">
        <f t="shared" si="1"/>
        <v>3</v>
      </c>
      <c r="I17" s="58">
        <f t="shared" si="2"/>
        <v>4</v>
      </c>
      <c r="J17" s="58">
        <f t="shared" si="3"/>
        <v>5</v>
      </c>
      <c r="K17" s="58">
        <f t="shared" si="4"/>
        <v>4</v>
      </c>
      <c r="L17" s="59">
        <f t="shared" si="5"/>
        <v>4</v>
      </c>
      <c r="N17" s="42"/>
    </row>
    <row r="18" spans="2:14" ht="14">
      <c r="B18" s="55">
        <v>2.1</v>
      </c>
      <c r="C18" s="54" t="s">
        <v>296</v>
      </c>
      <c r="D18" s="54" t="s">
        <v>297</v>
      </c>
      <c r="E18" s="54" t="s">
        <v>298</v>
      </c>
      <c r="F18" s="54" t="s">
        <v>303</v>
      </c>
      <c r="G18" s="55">
        <f t="shared" si="0"/>
        <v>2</v>
      </c>
      <c r="H18" s="55">
        <f t="shared" si="1"/>
        <v>2</v>
      </c>
      <c r="I18" s="55">
        <f t="shared" si="2"/>
        <v>2</v>
      </c>
      <c r="J18" s="55">
        <f t="shared" si="3"/>
        <v>3</v>
      </c>
      <c r="K18" s="55">
        <f t="shared" si="4"/>
        <v>2</v>
      </c>
      <c r="L18" s="60">
        <f t="shared" si="5"/>
        <v>2</v>
      </c>
      <c r="N18" s="42"/>
    </row>
    <row r="19" spans="2:14" ht="14">
      <c r="B19" s="58">
        <v>2.2000000000000002</v>
      </c>
      <c r="C19" s="57" t="s">
        <v>300</v>
      </c>
      <c r="D19" s="57" t="s">
        <v>301</v>
      </c>
      <c r="E19" s="57" t="s">
        <v>302</v>
      </c>
      <c r="F19" s="57" t="s">
        <v>307</v>
      </c>
      <c r="G19" s="58">
        <f t="shared" si="0"/>
        <v>3</v>
      </c>
      <c r="H19" s="58">
        <f t="shared" si="1"/>
        <v>3</v>
      </c>
      <c r="I19" s="58">
        <f t="shared" si="2"/>
        <v>3</v>
      </c>
      <c r="J19" s="58">
        <f t="shared" si="3"/>
        <v>4</v>
      </c>
      <c r="K19" s="58">
        <f t="shared" si="4"/>
        <v>3</v>
      </c>
      <c r="L19" s="59">
        <f t="shared" si="5"/>
        <v>3</v>
      </c>
      <c r="N19" s="42"/>
    </row>
    <row r="20" spans="2:14" ht="14">
      <c r="B20" s="55">
        <v>2.2999999999999998</v>
      </c>
      <c r="C20" s="54" t="s">
        <v>300</v>
      </c>
      <c r="D20" s="54" t="s">
        <v>301</v>
      </c>
      <c r="E20" s="54" t="s">
        <v>302</v>
      </c>
      <c r="F20" s="54" t="s">
        <v>303</v>
      </c>
      <c r="G20" s="55">
        <f t="shared" si="0"/>
        <v>3</v>
      </c>
      <c r="H20" s="55">
        <f t="shared" si="1"/>
        <v>3</v>
      </c>
      <c r="I20" s="55">
        <f t="shared" si="2"/>
        <v>3</v>
      </c>
      <c r="J20" s="55">
        <f t="shared" si="3"/>
        <v>3</v>
      </c>
      <c r="K20" s="55">
        <f t="shared" si="4"/>
        <v>3</v>
      </c>
      <c r="L20" s="60">
        <f t="shared" si="5"/>
        <v>3</v>
      </c>
      <c r="N20" s="42"/>
    </row>
    <row r="21" spans="2:14" ht="14">
      <c r="B21" s="58">
        <v>2.4</v>
      </c>
      <c r="C21" s="57" t="s">
        <v>300</v>
      </c>
      <c r="D21" s="57" t="s">
        <v>309</v>
      </c>
      <c r="E21" s="57" t="s">
        <v>302</v>
      </c>
      <c r="F21" s="57" t="s">
        <v>307</v>
      </c>
      <c r="G21" s="58">
        <f t="shared" si="0"/>
        <v>3</v>
      </c>
      <c r="H21" s="58">
        <f t="shared" si="1"/>
        <v>5</v>
      </c>
      <c r="I21" s="58">
        <f t="shared" si="2"/>
        <v>3</v>
      </c>
      <c r="J21" s="58">
        <f t="shared" si="3"/>
        <v>4</v>
      </c>
      <c r="K21" s="58">
        <f t="shared" si="4"/>
        <v>4</v>
      </c>
      <c r="L21" s="59">
        <f t="shared" si="5"/>
        <v>4</v>
      </c>
      <c r="N21" s="42"/>
    </row>
    <row r="22" spans="2:14" ht="14">
      <c r="B22" s="55">
        <v>2.5</v>
      </c>
      <c r="C22" s="54" t="s">
        <v>308</v>
      </c>
      <c r="D22" s="54" t="s">
        <v>309</v>
      </c>
      <c r="E22" s="54" t="s">
        <v>310</v>
      </c>
      <c r="F22" s="54" t="s">
        <v>311</v>
      </c>
      <c r="G22" s="55">
        <f t="shared" si="0"/>
        <v>5</v>
      </c>
      <c r="H22" s="55">
        <f t="shared" si="1"/>
        <v>5</v>
      </c>
      <c r="I22" s="55">
        <f t="shared" si="2"/>
        <v>5</v>
      </c>
      <c r="J22" s="55">
        <f t="shared" si="3"/>
        <v>5</v>
      </c>
      <c r="K22" s="55">
        <f t="shared" si="4"/>
        <v>5</v>
      </c>
      <c r="L22" s="60">
        <f t="shared" si="5"/>
        <v>5</v>
      </c>
      <c r="N22" s="42"/>
    </row>
    <row r="23" spans="2:14" ht="14">
      <c r="B23" s="58">
        <v>2.6</v>
      </c>
      <c r="C23" s="57" t="s">
        <v>308</v>
      </c>
      <c r="D23" s="57" t="s">
        <v>301</v>
      </c>
      <c r="E23" s="57" t="s">
        <v>306</v>
      </c>
      <c r="F23" s="57" t="s">
        <v>311</v>
      </c>
      <c r="G23" s="58">
        <f t="shared" si="0"/>
        <v>5</v>
      </c>
      <c r="H23" s="58">
        <f t="shared" si="1"/>
        <v>3</v>
      </c>
      <c r="I23" s="58">
        <f t="shared" si="2"/>
        <v>4</v>
      </c>
      <c r="J23" s="58">
        <f t="shared" si="3"/>
        <v>5</v>
      </c>
      <c r="K23" s="58">
        <f t="shared" si="4"/>
        <v>4</v>
      </c>
      <c r="L23" s="59">
        <f t="shared" si="5"/>
        <v>4</v>
      </c>
      <c r="N23" s="42"/>
    </row>
    <row r="24" spans="2:14" ht="14">
      <c r="B24" s="55">
        <v>3.1</v>
      </c>
      <c r="C24" s="54" t="s">
        <v>308</v>
      </c>
      <c r="D24" s="54" t="s">
        <v>305</v>
      </c>
      <c r="E24" s="54" t="s">
        <v>306</v>
      </c>
      <c r="F24" s="54" t="s">
        <v>311</v>
      </c>
      <c r="G24" s="55">
        <f t="shared" si="0"/>
        <v>5</v>
      </c>
      <c r="H24" s="55">
        <f t="shared" si="1"/>
        <v>4</v>
      </c>
      <c r="I24" s="55">
        <f t="shared" si="2"/>
        <v>4</v>
      </c>
      <c r="J24" s="55">
        <f t="shared" si="3"/>
        <v>5</v>
      </c>
      <c r="K24" s="55">
        <f t="shared" si="4"/>
        <v>5</v>
      </c>
      <c r="L24" s="60">
        <f t="shared" si="5"/>
        <v>5</v>
      </c>
      <c r="N24" s="42"/>
    </row>
    <row r="25" spans="2:14" ht="14">
      <c r="B25" s="58">
        <v>3.2</v>
      </c>
      <c r="C25" s="57" t="s">
        <v>300</v>
      </c>
      <c r="D25" s="57" t="s">
        <v>305</v>
      </c>
      <c r="E25" s="57" t="s">
        <v>310</v>
      </c>
      <c r="F25" s="57" t="s">
        <v>307</v>
      </c>
      <c r="G25" s="58">
        <f t="shared" si="0"/>
        <v>3</v>
      </c>
      <c r="H25" s="58">
        <f t="shared" si="1"/>
        <v>4</v>
      </c>
      <c r="I25" s="58">
        <f t="shared" si="2"/>
        <v>5</v>
      </c>
      <c r="J25" s="58">
        <f t="shared" si="3"/>
        <v>4</v>
      </c>
      <c r="K25" s="58">
        <f t="shared" si="4"/>
        <v>4</v>
      </c>
      <c r="L25" s="59">
        <f t="shared" si="5"/>
        <v>4</v>
      </c>
      <c r="N25" s="42"/>
    </row>
    <row r="26" spans="2:14" ht="14">
      <c r="B26" s="55">
        <v>3.3</v>
      </c>
      <c r="C26" s="54" t="s">
        <v>300</v>
      </c>
      <c r="D26" s="54" t="s">
        <v>305</v>
      </c>
      <c r="E26" s="54" t="s">
        <v>306</v>
      </c>
      <c r="F26" s="54" t="s">
        <v>307</v>
      </c>
      <c r="G26" s="55">
        <f t="shared" si="0"/>
        <v>3</v>
      </c>
      <c r="H26" s="55">
        <f t="shared" si="1"/>
        <v>4</v>
      </c>
      <c r="I26" s="55">
        <f t="shared" si="2"/>
        <v>4</v>
      </c>
      <c r="J26" s="55">
        <f t="shared" si="3"/>
        <v>4</v>
      </c>
      <c r="K26" s="55">
        <f t="shared" si="4"/>
        <v>4</v>
      </c>
      <c r="L26" s="60">
        <f t="shared" si="5"/>
        <v>4</v>
      </c>
      <c r="N26" s="42"/>
    </row>
    <row r="27" spans="2:14" ht="14">
      <c r="B27" s="58">
        <v>3.4</v>
      </c>
      <c r="C27" s="57" t="s">
        <v>292</v>
      </c>
      <c r="D27" s="57" t="s">
        <v>293</v>
      </c>
      <c r="E27" s="57" t="s">
        <v>298</v>
      </c>
      <c r="F27" s="57" t="s">
        <v>295</v>
      </c>
      <c r="G27" s="58">
        <f t="shared" si="0"/>
        <v>1</v>
      </c>
      <c r="H27" s="58">
        <f t="shared" si="1"/>
        <v>1</v>
      </c>
      <c r="I27" s="58">
        <f t="shared" si="2"/>
        <v>2</v>
      </c>
      <c r="J27" s="58">
        <f t="shared" si="3"/>
        <v>1</v>
      </c>
      <c r="K27" s="58">
        <f t="shared" si="4"/>
        <v>1</v>
      </c>
      <c r="L27" s="59">
        <f t="shared" si="5"/>
        <v>1</v>
      </c>
      <c r="N27" s="42"/>
    </row>
    <row r="28" spans="2:14" ht="14">
      <c r="B28" s="55">
        <v>3.5</v>
      </c>
      <c r="C28" s="54" t="s">
        <v>292</v>
      </c>
      <c r="D28" s="54" t="s">
        <v>293</v>
      </c>
      <c r="E28" s="54" t="s">
        <v>298</v>
      </c>
      <c r="F28" s="54" t="s">
        <v>295</v>
      </c>
      <c r="G28" s="55">
        <f t="shared" si="0"/>
        <v>1</v>
      </c>
      <c r="H28" s="55">
        <f t="shared" si="1"/>
        <v>1</v>
      </c>
      <c r="I28" s="55">
        <f t="shared" si="2"/>
        <v>2</v>
      </c>
      <c r="J28" s="55">
        <f t="shared" si="3"/>
        <v>1</v>
      </c>
      <c r="K28" s="55">
        <f t="shared" si="4"/>
        <v>1</v>
      </c>
      <c r="L28" s="60">
        <f t="shared" si="5"/>
        <v>1</v>
      </c>
      <c r="N28" s="42"/>
    </row>
    <row r="29" spans="2:14" ht="14">
      <c r="B29" s="58">
        <v>3.6</v>
      </c>
      <c r="C29" s="57" t="s">
        <v>292</v>
      </c>
      <c r="D29" s="57" t="s">
        <v>293</v>
      </c>
      <c r="E29" s="57" t="s">
        <v>294</v>
      </c>
      <c r="F29" s="57" t="s">
        <v>295</v>
      </c>
      <c r="G29" s="58">
        <f t="shared" si="0"/>
        <v>1</v>
      </c>
      <c r="H29" s="58">
        <f t="shared" si="1"/>
        <v>1</v>
      </c>
      <c r="I29" s="58">
        <f t="shared" si="2"/>
        <v>1</v>
      </c>
      <c r="J29" s="58">
        <f t="shared" si="3"/>
        <v>1</v>
      </c>
      <c r="K29" s="58">
        <f t="shared" si="4"/>
        <v>1</v>
      </c>
      <c r="L29" s="59">
        <f t="shared" si="5"/>
        <v>1</v>
      </c>
      <c r="N29" s="42"/>
    </row>
    <row r="30" spans="2:14" ht="14">
      <c r="B30" s="55">
        <v>3.7</v>
      </c>
      <c r="C30" s="54" t="s">
        <v>308</v>
      </c>
      <c r="D30" s="54" t="s">
        <v>305</v>
      </c>
      <c r="E30" s="54" t="s">
        <v>306</v>
      </c>
      <c r="F30" s="54" t="s">
        <v>307</v>
      </c>
      <c r="G30" s="55">
        <f t="shared" si="0"/>
        <v>5</v>
      </c>
      <c r="H30" s="55">
        <f t="shared" si="1"/>
        <v>4</v>
      </c>
      <c r="I30" s="55">
        <f t="shared" si="2"/>
        <v>4</v>
      </c>
      <c r="J30" s="55">
        <f t="shared" si="3"/>
        <v>4</v>
      </c>
      <c r="K30" s="55">
        <f t="shared" si="4"/>
        <v>4</v>
      </c>
      <c r="L30" s="60">
        <f t="shared" si="5"/>
        <v>4</v>
      </c>
      <c r="N30" s="42"/>
    </row>
    <row r="31" spans="2:14" ht="14">
      <c r="B31" s="58">
        <v>3.8</v>
      </c>
      <c r="C31" s="57" t="s">
        <v>304</v>
      </c>
      <c r="D31" s="57" t="s">
        <v>305</v>
      </c>
      <c r="E31" s="57" t="s">
        <v>310</v>
      </c>
      <c r="F31" s="57" t="s">
        <v>303</v>
      </c>
      <c r="G31" s="58">
        <f t="shared" si="0"/>
        <v>4</v>
      </c>
      <c r="H31" s="58">
        <f t="shared" si="1"/>
        <v>4</v>
      </c>
      <c r="I31" s="58">
        <f t="shared" si="2"/>
        <v>5</v>
      </c>
      <c r="J31" s="58">
        <f t="shared" si="3"/>
        <v>3</v>
      </c>
      <c r="K31" s="58">
        <f t="shared" si="4"/>
        <v>4</v>
      </c>
      <c r="L31" s="59">
        <f t="shared" si="5"/>
        <v>4</v>
      </c>
      <c r="N31" s="42"/>
    </row>
    <row r="32" spans="2:14" ht="14">
      <c r="B32" s="55">
        <v>3.9</v>
      </c>
      <c r="C32" s="54" t="s">
        <v>300</v>
      </c>
      <c r="D32" s="54" t="s">
        <v>305</v>
      </c>
      <c r="E32" s="54" t="s">
        <v>306</v>
      </c>
      <c r="F32" s="54" t="s">
        <v>311</v>
      </c>
      <c r="G32" s="55">
        <f t="shared" si="0"/>
        <v>3</v>
      </c>
      <c r="H32" s="55">
        <f t="shared" si="1"/>
        <v>4</v>
      </c>
      <c r="I32" s="55">
        <f t="shared" si="2"/>
        <v>4</v>
      </c>
      <c r="J32" s="55">
        <f t="shared" si="3"/>
        <v>5</v>
      </c>
      <c r="K32" s="55">
        <f t="shared" si="4"/>
        <v>4</v>
      </c>
      <c r="L32" s="60">
        <f t="shared" si="5"/>
        <v>4</v>
      </c>
      <c r="N32" s="42"/>
    </row>
    <row r="33" spans="2:14" ht="14">
      <c r="B33" s="90">
        <v>3.1</v>
      </c>
      <c r="C33" s="57" t="s">
        <v>304</v>
      </c>
      <c r="D33" s="57" t="s">
        <v>309</v>
      </c>
      <c r="E33" s="57" t="s">
        <v>306</v>
      </c>
      <c r="F33" s="57" t="s">
        <v>311</v>
      </c>
      <c r="G33" s="58">
        <f t="shared" si="0"/>
        <v>4</v>
      </c>
      <c r="H33" s="58">
        <f t="shared" si="1"/>
        <v>5</v>
      </c>
      <c r="I33" s="58">
        <f t="shared" si="2"/>
        <v>4</v>
      </c>
      <c r="J33" s="58">
        <f t="shared" si="3"/>
        <v>5</v>
      </c>
      <c r="K33" s="58">
        <f t="shared" si="4"/>
        <v>5</v>
      </c>
      <c r="L33" s="59">
        <f t="shared" si="5"/>
        <v>5</v>
      </c>
      <c r="N33" s="42"/>
    </row>
    <row r="34" spans="2:14" ht="14">
      <c r="B34" s="55">
        <v>3.11</v>
      </c>
      <c r="C34" s="54" t="s">
        <v>304</v>
      </c>
      <c r="D34" s="54" t="s">
        <v>309</v>
      </c>
      <c r="E34" s="54" t="s">
        <v>310</v>
      </c>
      <c r="F34" s="54" t="s">
        <v>311</v>
      </c>
      <c r="G34" s="55">
        <f t="shared" si="0"/>
        <v>4</v>
      </c>
      <c r="H34" s="55">
        <f t="shared" si="1"/>
        <v>5</v>
      </c>
      <c r="I34" s="55">
        <f t="shared" si="2"/>
        <v>5</v>
      </c>
      <c r="J34" s="55">
        <f t="shared" si="3"/>
        <v>5</v>
      </c>
      <c r="K34" s="55">
        <f t="shared" si="4"/>
        <v>5</v>
      </c>
      <c r="L34" s="60">
        <f t="shared" si="5"/>
        <v>5</v>
      </c>
      <c r="N34" s="42"/>
    </row>
    <row r="35" spans="2:14" ht="14">
      <c r="B35" s="58">
        <v>3.12</v>
      </c>
      <c r="C35" s="57" t="s">
        <v>308</v>
      </c>
      <c r="D35" s="57" t="s">
        <v>305</v>
      </c>
      <c r="E35" s="57" t="s">
        <v>310</v>
      </c>
      <c r="F35" s="57" t="s">
        <v>307</v>
      </c>
      <c r="G35" s="58">
        <f t="shared" si="0"/>
        <v>5</v>
      </c>
      <c r="H35" s="58">
        <f t="shared" si="1"/>
        <v>4</v>
      </c>
      <c r="I35" s="58">
        <f t="shared" si="2"/>
        <v>5</v>
      </c>
      <c r="J35" s="58">
        <f t="shared" si="3"/>
        <v>4</v>
      </c>
      <c r="K35" s="58">
        <f t="shared" si="4"/>
        <v>5</v>
      </c>
      <c r="L35" s="59">
        <f t="shared" si="5"/>
        <v>5</v>
      </c>
      <c r="N35" s="42"/>
    </row>
    <row r="36" spans="2:14" ht="28">
      <c r="B36" s="55">
        <v>4.0999999999999996</v>
      </c>
      <c r="C36" s="54" t="s">
        <v>313</v>
      </c>
      <c r="D36" s="54" t="s">
        <v>313</v>
      </c>
      <c r="E36" s="54" t="s">
        <v>313</v>
      </c>
      <c r="F36" s="54" t="s">
        <v>313</v>
      </c>
      <c r="G36" s="55" t="str">
        <f t="shared" si="0"/>
        <v>Unknown - Unscored</v>
      </c>
      <c r="H36" s="55" t="str">
        <f t="shared" si="1"/>
        <v>Unknown - Unscored</v>
      </c>
      <c r="I36" s="55" t="str">
        <f t="shared" si="2"/>
        <v>Unknown - Unscored</v>
      </c>
      <c r="J36" s="55" t="str">
        <f t="shared" si="3"/>
        <v>Unknown - Unscored</v>
      </c>
      <c r="K36" s="55" t="e">
        <f t="shared" si="4"/>
        <v>#DIV/0!</v>
      </c>
      <c r="L36" s="60" t="e">
        <f t="shared" si="5"/>
        <v>#DIV/0!</v>
      </c>
      <c r="N36" s="42"/>
    </row>
    <row r="37" spans="2:14" ht="28">
      <c r="B37" s="58">
        <v>4.2</v>
      </c>
      <c r="C37" s="57" t="s">
        <v>313</v>
      </c>
      <c r="D37" s="57" t="s">
        <v>313</v>
      </c>
      <c r="E37" s="57" t="s">
        <v>313</v>
      </c>
      <c r="F37" s="57" t="s">
        <v>313</v>
      </c>
      <c r="G37" s="58" t="str">
        <f t="shared" si="0"/>
        <v>Unknown - Unscored</v>
      </c>
      <c r="H37" s="58" t="str">
        <f t="shared" si="1"/>
        <v>Unknown - Unscored</v>
      </c>
      <c r="I37" s="58" t="str">
        <f t="shared" si="2"/>
        <v>Unknown - Unscored</v>
      </c>
      <c r="J37" s="58" t="str">
        <f t="shared" si="3"/>
        <v>Unknown - Unscored</v>
      </c>
      <c r="K37" s="58" t="e">
        <f t="shared" si="4"/>
        <v>#DIV/0!</v>
      </c>
      <c r="L37" s="59" t="e">
        <f t="shared" si="5"/>
        <v>#DIV/0!</v>
      </c>
      <c r="N37" s="42"/>
    </row>
    <row r="38" spans="2:14" ht="28">
      <c r="B38" s="55">
        <v>4.3</v>
      </c>
      <c r="C38" s="54" t="s">
        <v>313</v>
      </c>
      <c r="D38" s="54" t="s">
        <v>313</v>
      </c>
      <c r="E38" s="54" t="s">
        <v>313</v>
      </c>
      <c r="F38" s="54" t="s">
        <v>313</v>
      </c>
      <c r="G38" s="55" t="str">
        <f t="shared" si="0"/>
        <v>Unknown - Unscored</v>
      </c>
      <c r="H38" s="55" t="str">
        <f t="shared" si="1"/>
        <v>Unknown - Unscored</v>
      </c>
      <c r="I38" s="55" t="str">
        <f t="shared" si="2"/>
        <v>Unknown - Unscored</v>
      </c>
      <c r="J38" s="55" t="str">
        <f t="shared" si="3"/>
        <v>Unknown - Unscored</v>
      </c>
      <c r="K38" s="55" t="e">
        <f t="shared" si="4"/>
        <v>#DIV/0!</v>
      </c>
      <c r="L38" s="60" t="e">
        <f t="shared" si="5"/>
        <v>#DIV/0!</v>
      </c>
      <c r="N38" s="42"/>
    </row>
    <row r="39" spans="2:14" ht="28">
      <c r="B39" s="58">
        <v>4.4000000000000004</v>
      </c>
      <c r="C39" s="57" t="s">
        <v>313</v>
      </c>
      <c r="D39" s="57" t="s">
        <v>313</v>
      </c>
      <c r="E39" s="57" t="s">
        <v>313</v>
      </c>
      <c r="F39" s="57" t="s">
        <v>313</v>
      </c>
      <c r="G39" s="58" t="str">
        <f t="shared" si="0"/>
        <v>Unknown - Unscored</v>
      </c>
      <c r="H39" s="58" t="str">
        <f t="shared" si="1"/>
        <v>Unknown - Unscored</v>
      </c>
      <c r="I39" s="58" t="str">
        <f t="shared" si="2"/>
        <v>Unknown - Unscored</v>
      </c>
      <c r="J39" s="58" t="str">
        <f t="shared" si="3"/>
        <v>Unknown - Unscored</v>
      </c>
      <c r="K39" s="58" t="e">
        <f t="shared" si="4"/>
        <v>#DIV/0!</v>
      </c>
      <c r="L39" s="59" t="e">
        <f t="shared" si="5"/>
        <v>#DIV/0!</v>
      </c>
      <c r="N39" s="42"/>
    </row>
    <row r="40" spans="2:14" ht="28">
      <c r="B40" s="55">
        <v>4.5</v>
      </c>
      <c r="C40" s="54" t="s">
        <v>313</v>
      </c>
      <c r="D40" s="54" t="s">
        <v>313</v>
      </c>
      <c r="E40" s="54" t="s">
        <v>313</v>
      </c>
      <c r="F40" s="54" t="s">
        <v>313</v>
      </c>
      <c r="G40" s="55" t="str">
        <f t="shared" si="0"/>
        <v>Unknown - Unscored</v>
      </c>
      <c r="H40" s="55" t="str">
        <f t="shared" si="1"/>
        <v>Unknown - Unscored</v>
      </c>
      <c r="I40" s="55" t="str">
        <f t="shared" si="2"/>
        <v>Unknown - Unscored</v>
      </c>
      <c r="J40" s="55" t="str">
        <f t="shared" si="3"/>
        <v>Unknown - Unscored</v>
      </c>
      <c r="K40" s="55" t="e">
        <f t="shared" si="4"/>
        <v>#DIV/0!</v>
      </c>
      <c r="L40" s="60" t="e">
        <f t="shared" si="5"/>
        <v>#DIV/0!</v>
      </c>
      <c r="N40" s="42"/>
    </row>
    <row r="41" spans="2:14" ht="14">
      <c r="B41" s="58">
        <v>4.5999999999999996</v>
      </c>
      <c r="C41" s="57" t="s">
        <v>308</v>
      </c>
      <c r="D41" s="57" t="s">
        <v>309</v>
      </c>
      <c r="E41" s="57" t="s">
        <v>310</v>
      </c>
      <c r="F41" s="57" t="s">
        <v>311</v>
      </c>
      <c r="G41" s="58">
        <f t="shared" si="0"/>
        <v>5</v>
      </c>
      <c r="H41" s="58">
        <f t="shared" si="1"/>
        <v>5</v>
      </c>
      <c r="I41" s="58">
        <f t="shared" si="2"/>
        <v>5</v>
      </c>
      <c r="J41" s="58">
        <f t="shared" si="3"/>
        <v>5</v>
      </c>
      <c r="K41" s="58">
        <f t="shared" si="4"/>
        <v>5</v>
      </c>
      <c r="L41" s="59">
        <f t="shared" si="5"/>
        <v>5</v>
      </c>
      <c r="N41" s="42"/>
    </row>
    <row r="42" spans="2:14" ht="14">
      <c r="B42" s="55">
        <v>4.7</v>
      </c>
      <c r="C42" s="54" t="s">
        <v>308</v>
      </c>
      <c r="D42" s="54" t="s">
        <v>309</v>
      </c>
      <c r="E42" s="54" t="s">
        <v>310</v>
      </c>
      <c r="F42" s="54" t="s">
        <v>311</v>
      </c>
      <c r="G42" s="55">
        <f t="shared" si="0"/>
        <v>5</v>
      </c>
      <c r="H42" s="55">
        <f t="shared" si="1"/>
        <v>5</v>
      </c>
      <c r="I42" s="55">
        <f t="shared" si="2"/>
        <v>5</v>
      </c>
      <c r="J42" s="55">
        <f t="shared" si="3"/>
        <v>5</v>
      </c>
      <c r="K42" s="55">
        <f t="shared" si="4"/>
        <v>5</v>
      </c>
      <c r="L42" s="60">
        <f t="shared" si="5"/>
        <v>5</v>
      </c>
      <c r="N42" s="42"/>
    </row>
    <row r="43" spans="2:14" ht="14">
      <c r="B43" s="58">
        <v>4.8</v>
      </c>
      <c r="C43" s="57" t="s">
        <v>308</v>
      </c>
      <c r="D43" s="57" t="s">
        <v>309</v>
      </c>
      <c r="E43" s="57" t="s">
        <v>310</v>
      </c>
      <c r="F43" s="57" t="s">
        <v>311</v>
      </c>
      <c r="G43" s="58">
        <f t="shared" si="0"/>
        <v>5</v>
      </c>
      <c r="H43" s="58">
        <f t="shared" si="1"/>
        <v>5</v>
      </c>
      <c r="I43" s="58">
        <f t="shared" si="2"/>
        <v>5</v>
      </c>
      <c r="J43" s="58">
        <f t="shared" si="3"/>
        <v>5</v>
      </c>
      <c r="K43" s="58">
        <f t="shared" si="4"/>
        <v>5</v>
      </c>
      <c r="L43" s="59">
        <f t="shared" si="5"/>
        <v>5</v>
      </c>
      <c r="N43" s="42"/>
    </row>
    <row r="44" spans="2:14" ht="28">
      <c r="B44" s="55">
        <v>4.9000000000000004</v>
      </c>
      <c r="C44" s="54" t="s">
        <v>313</v>
      </c>
      <c r="D44" s="54" t="s">
        <v>313</v>
      </c>
      <c r="E44" s="54" t="s">
        <v>313</v>
      </c>
      <c r="F44" s="54" t="s">
        <v>313</v>
      </c>
      <c r="G44" s="55" t="str">
        <f t="shared" si="0"/>
        <v>Unknown - Unscored</v>
      </c>
      <c r="H44" s="55" t="str">
        <f t="shared" si="1"/>
        <v>Unknown - Unscored</v>
      </c>
      <c r="I44" s="55" t="str">
        <f t="shared" si="2"/>
        <v>Unknown - Unscored</v>
      </c>
      <c r="J44" s="55" t="str">
        <f t="shared" si="3"/>
        <v>Unknown - Unscored</v>
      </c>
      <c r="K44" s="55" t="e">
        <f t="shared" si="4"/>
        <v>#DIV/0!</v>
      </c>
      <c r="L44" s="60" t="e">
        <f t="shared" si="5"/>
        <v>#DIV/0!</v>
      </c>
      <c r="N44" s="42"/>
    </row>
    <row r="45" spans="2:14" ht="28">
      <c r="B45" s="90">
        <v>4.0999999999999996</v>
      </c>
      <c r="C45" s="57" t="s">
        <v>313</v>
      </c>
      <c r="D45" s="57" t="s">
        <v>313</v>
      </c>
      <c r="E45" s="57" t="s">
        <v>313</v>
      </c>
      <c r="F45" s="57" t="s">
        <v>313</v>
      </c>
      <c r="G45" s="58" t="str">
        <f t="shared" si="0"/>
        <v>Unknown - Unscored</v>
      </c>
      <c r="H45" s="58" t="str">
        <f t="shared" si="1"/>
        <v>Unknown - Unscored</v>
      </c>
      <c r="I45" s="58" t="str">
        <f t="shared" si="2"/>
        <v>Unknown - Unscored</v>
      </c>
      <c r="J45" s="58" t="str">
        <f t="shared" si="3"/>
        <v>Unknown - Unscored</v>
      </c>
      <c r="K45" s="58" t="e">
        <f t="shared" si="4"/>
        <v>#DIV/0!</v>
      </c>
      <c r="L45" s="59" t="e">
        <f t="shared" si="5"/>
        <v>#DIV/0!</v>
      </c>
      <c r="N45" s="42"/>
    </row>
    <row r="46" spans="2:14" ht="14">
      <c r="B46" s="55">
        <v>4.1100000000000003</v>
      </c>
      <c r="C46" s="54" t="s">
        <v>308</v>
      </c>
      <c r="D46" s="54" t="s">
        <v>309</v>
      </c>
      <c r="E46" s="54" t="s">
        <v>310</v>
      </c>
      <c r="F46" s="54" t="s">
        <v>311</v>
      </c>
      <c r="G46" s="55">
        <f t="shared" si="0"/>
        <v>5</v>
      </c>
      <c r="H46" s="55">
        <f t="shared" si="1"/>
        <v>5</v>
      </c>
      <c r="I46" s="55">
        <f t="shared" si="2"/>
        <v>5</v>
      </c>
      <c r="J46" s="55">
        <f t="shared" si="3"/>
        <v>5</v>
      </c>
      <c r="K46" s="55">
        <f t="shared" si="4"/>
        <v>5</v>
      </c>
      <c r="L46" s="60">
        <f t="shared" si="5"/>
        <v>5</v>
      </c>
      <c r="N46" s="42"/>
    </row>
    <row r="47" spans="2:14" ht="14">
      <c r="B47" s="58">
        <v>5.0999999999999996</v>
      </c>
      <c r="C47" s="57" t="s">
        <v>308</v>
      </c>
      <c r="D47" s="57" t="s">
        <v>309</v>
      </c>
      <c r="E47" s="57" t="s">
        <v>310</v>
      </c>
      <c r="F47" s="57" t="s">
        <v>311</v>
      </c>
      <c r="G47" s="58">
        <f t="shared" si="0"/>
        <v>5</v>
      </c>
      <c r="H47" s="58">
        <f t="shared" si="1"/>
        <v>5</v>
      </c>
      <c r="I47" s="58">
        <f t="shared" si="2"/>
        <v>5</v>
      </c>
      <c r="J47" s="58">
        <f t="shared" si="3"/>
        <v>5</v>
      </c>
      <c r="K47" s="58">
        <f t="shared" si="4"/>
        <v>5</v>
      </c>
      <c r="L47" s="59">
        <f t="shared" si="5"/>
        <v>5</v>
      </c>
      <c r="N47" s="42"/>
    </row>
    <row r="48" spans="2:14" ht="28">
      <c r="B48" s="55">
        <v>5.2</v>
      </c>
      <c r="C48" s="54" t="s">
        <v>313</v>
      </c>
      <c r="D48" s="54" t="s">
        <v>313</v>
      </c>
      <c r="E48" s="54" t="s">
        <v>313</v>
      </c>
      <c r="F48" s="54" t="s">
        <v>313</v>
      </c>
      <c r="G48" s="55" t="str">
        <f t="shared" si="0"/>
        <v>Unknown - Unscored</v>
      </c>
      <c r="H48" s="55" t="str">
        <f t="shared" si="1"/>
        <v>Unknown - Unscored</v>
      </c>
      <c r="I48" s="55" t="str">
        <f t="shared" si="2"/>
        <v>Unknown - Unscored</v>
      </c>
      <c r="J48" s="55" t="str">
        <f t="shared" si="3"/>
        <v>Unknown - Unscored</v>
      </c>
      <c r="K48" s="55" t="e">
        <f t="shared" si="4"/>
        <v>#DIV/0!</v>
      </c>
      <c r="L48" s="60" t="e">
        <f t="shared" si="5"/>
        <v>#DIV/0!</v>
      </c>
      <c r="N48" s="42"/>
    </row>
    <row r="49" spans="2:14" ht="28">
      <c r="B49" s="58">
        <v>5.3</v>
      </c>
      <c r="C49" s="57" t="s">
        <v>313</v>
      </c>
      <c r="D49" s="57" t="s">
        <v>313</v>
      </c>
      <c r="E49" s="57" t="s">
        <v>313</v>
      </c>
      <c r="F49" s="57" t="s">
        <v>313</v>
      </c>
      <c r="G49" s="58" t="str">
        <f t="shared" si="0"/>
        <v>Unknown - Unscored</v>
      </c>
      <c r="H49" s="58" t="str">
        <f t="shared" si="1"/>
        <v>Unknown - Unscored</v>
      </c>
      <c r="I49" s="58" t="str">
        <f t="shared" si="2"/>
        <v>Unknown - Unscored</v>
      </c>
      <c r="J49" s="58" t="str">
        <f t="shared" si="3"/>
        <v>Unknown - Unscored</v>
      </c>
      <c r="K49" s="58" t="e">
        <f t="shared" si="4"/>
        <v>#DIV/0!</v>
      </c>
      <c r="L49" s="59" t="e">
        <f t="shared" si="5"/>
        <v>#DIV/0!</v>
      </c>
      <c r="N49" s="42"/>
    </row>
    <row r="50" spans="2:14" ht="28">
      <c r="B50" s="55">
        <v>5.4</v>
      </c>
      <c r="C50" s="54" t="s">
        <v>313</v>
      </c>
      <c r="D50" s="54" t="s">
        <v>313</v>
      </c>
      <c r="E50" s="54" t="s">
        <v>313</v>
      </c>
      <c r="F50" s="54" t="s">
        <v>313</v>
      </c>
      <c r="G50" s="55" t="str">
        <f t="shared" si="0"/>
        <v>Unknown - Unscored</v>
      </c>
      <c r="H50" s="55" t="str">
        <f t="shared" si="1"/>
        <v>Unknown - Unscored</v>
      </c>
      <c r="I50" s="55" t="str">
        <f t="shared" si="2"/>
        <v>Unknown - Unscored</v>
      </c>
      <c r="J50" s="55" t="str">
        <f t="shared" si="3"/>
        <v>Unknown - Unscored</v>
      </c>
      <c r="K50" s="55" t="e">
        <f t="shared" si="4"/>
        <v>#DIV/0!</v>
      </c>
      <c r="L50" s="60" t="e">
        <f t="shared" si="5"/>
        <v>#DIV/0!</v>
      </c>
      <c r="N50" s="42"/>
    </row>
    <row r="51" spans="2:14" ht="28">
      <c r="B51" s="58">
        <v>5.5</v>
      </c>
      <c r="C51" s="57" t="s">
        <v>313</v>
      </c>
      <c r="D51" s="57" t="s">
        <v>313</v>
      </c>
      <c r="E51" s="57" t="s">
        <v>313</v>
      </c>
      <c r="F51" s="57" t="s">
        <v>313</v>
      </c>
      <c r="G51" s="58" t="str">
        <f t="shared" si="0"/>
        <v>Unknown - Unscored</v>
      </c>
      <c r="H51" s="58" t="str">
        <f t="shared" si="1"/>
        <v>Unknown - Unscored</v>
      </c>
      <c r="I51" s="58" t="str">
        <f t="shared" si="2"/>
        <v>Unknown - Unscored</v>
      </c>
      <c r="J51" s="58" t="str">
        <f t="shared" si="3"/>
        <v>Unknown - Unscored</v>
      </c>
      <c r="K51" s="58" t="e">
        <f t="shared" si="4"/>
        <v>#DIV/0!</v>
      </c>
      <c r="L51" s="59" t="e">
        <f t="shared" si="5"/>
        <v>#DIV/0!</v>
      </c>
      <c r="N51" s="42"/>
    </row>
    <row r="52" spans="2:14" ht="28">
      <c r="B52" s="55">
        <v>5.6</v>
      </c>
      <c r="C52" s="54" t="s">
        <v>313</v>
      </c>
      <c r="D52" s="54" t="s">
        <v>313</v>
      </c>
      <c r="E52" s="54" t="s">
        <v>313</v>
      </c>
      <c r="F52" s="54" t="s">
        <v>313</v>
      </c>
      <c r="G52" s="55" t="str">
        <f t="shared" si="0"/>
        <v>Unknown - Unscored</v>
      </c>
      <c r="H52" s="55" t="str">
        <f t="shared" si="1"/>
        <v>Unknown - Unscored</v>
      </c>
      <c r="I52" s="55" t="str">
        <f t="shared" si="2"/>
        <v>Unknown - Unscored</v>
      </c>
      <c r="J52" s="55" t="str">
        <f t="shared" si="3"/>
        <v>Unknown - Unscored</v>
      </c>
      <c r="K52" s="55" t="e">
        <f t="shared" si="4"/>
        <v>#DIV/0!</v>
      </c>
      <c r="L52" s="60" t="e">
        <f t="shared" si="5"/>
        <v>#DIV/0!</v>
      </c>
      <c r="N52" s="42"/>
    </row>
    <row r="53" spans="2:14" ht="28">
      <c r="B53" s="58">
        <v>6.1</v>
      </c>
      <c r="C53" s="57" t="s">
        <v>313</v>
      </c>
      <c r="D53" s="57" t="s">
        <v>313</v>
      </c>
      <c r="E53" s="57" t="s">
        <v>313</v>
      </c>
      <c r="F53" s="57" t="s">
        <v>313</v>
      </c>
      <c r="G53" s="58" t="str">
        <f t="shared" si="0"/>
        <v>Unknown - Unscored</v>
      </c>
      <c r="H53" s="58" t="str">
        <f t="shared" si="1"/>
        <v>Unknown - Unscored</v>
      </c>
      <c r="I53" s="58" t="str">
        <f t="shared" si="2"/>
        <v>Unknown - Unscored</v>
      </c>
      <c r="J53" s="58" t="str">
        <f t="shared" si="3"/>
        <v>Unknown - Unscored</v>
      </c>
      <c r="K53" s="58" t="e">
        <f t="shared" si="4"/>
        <v>#DIV/0!</v>
      </c>
      <c r="L53" s="59" t="e">
        <f t="shared" si="5"/>
        <v>#DIV/0!</v>
      </c>
      <c r="N53" s="42"/>
    </row>
    <row r="54" spans="2:14" ht="14">
      <c r="B54" s="55">
        <v>6.2</v>
      </c>
      <c r="C54" s="54" t="s">
        <v>308</v>
      </c>
      <c r="D54" s="54" t="s">
        <v>309</v>
      </c>
      <c r="E54" s="54" t="s">
        <v>310</v>
      </c>
      <c r="F54" s="54" t="s">
        <v>315</v>
      </c>
      <c r="G54" s="55">
        <f t="shared" si="0"/>
        <v>5</v>
      </c>
      <c r="H54" s="55">
        <f t="shared" si="1"/>
        <v>5</v>
      </c>
      <c r="I54" s="55">
        <f t="shared" si="2"/>
        <v>5</v>
      </c>
      <c r="J54" s="55" t="str">
        <f t="shared" si="3"/>
        <v>Unknown - N/A</v>
      </c>
      <c r="K54" s="55">
        <f t="shared" si="4"/>
        <v>5</v>
      </c>
      <c r="L54" s="60">
        <f t="shared" si="5"/>
        <v>5</v>
      </c>
      <c r="N54" s="42"/>
    </row>
    <row r="55" spans="2:14" ht="28">
      <c r="B55" s="58">
        <v>6.3</v>
      </c>
      <c r="C55" s="57" t="s">
        <v>313</v>
      </c>
      <c r="D55" s="57" t="s">
        <v>313</v>
      </c>
      <c r="E55" s="57" t="s">
        <v>313</v>
      </c>
      <c r="F55" s="57" t="s">
        <v>313</v>
      </c>
      <c r="G55" s="58" t="str">
        <f t="shared" si="0"/>
        <v>Unknown - Unscored</v>
      </c>
      <c r="H55" s="58" t="str">
        <f t="shared" si="1"/>
        <v>Unknown - Unscored</v>
      </c>
      <c r="I55" s="58" t="str">
        <f t="shared" si="2"/>
        <v>Unknown - Unscored</v>
      </c>
      <c r="J55" s="58" t="str">
        <f t="shared" si="3"/>
        <v>Unknown - Unscored</v>
      </c>
      <c r="K55" s="58" t="e">
        <f t="shared" si="4"/>
        <v>#DIV/0!</v>
      </c>
      <c r="L55" s="59" t="e">
        <f t="shared" si="5"/>
        <v>#DIV/0!</v>
      </c>
      <c r="N55" s="42"/>
    </row>
    <row r="56" spans="2:14" ht="28">
      <c r="B56" s="55">
        <v>6.4</v>
      </c>
      <c r="C56" s="54" t="s">
        <v>313</v>
      </c>
      <c r="D56" s="54" t="s">
        <v>313</v>
      </c>
      <c r="E56" s="54" t="s">
        <v>313</v>
      </c>
      <c r="F56" s="54" t="s">
        <v>313</v>
      </c>
      <c r="G56" s="55" t="str">
        <f t="shared" si="0"/>
        <v>Unknown - Unscored</v>
      </c>
      <c r="H56" s="55" t="str">
        <f t="shared" si="1"/>
        <v>Unknown - Unscored</v>
      </c>
      <c r="I56" s="55" t="str">
        <f t="shared" si="2"/>
        <v>Unknown - Unscored</v>
      </c>
      <c r="J56" s="55" t="str">
        <f t="shared" si="3"/>
        <v>Unknown - Unscored</v>
      </c>
      <c r="K56" s="55" t="e">
        <f t="shared" si="4"/>
        <v>#DIV/0!</v>
      </c>
      <c r="L56" s="60" t="e">
        <f t="shared" si="5"/>
        <v>#DIV/0!</v>
      </c>
      <c r="N56" s="42"/>
    </row>
    <row r="57" spans="2:14" ht="14">
      <c r="B57" s="58">
        <v>6.5</v>
      </c>
      <c r="C57" s="57" t="s">
        <v>292</v>
      </c>
      <c r="D57" s="57" t="s">
        <v>293</v>
      </c>
      <c r="E57" s="57" t="s">
        <v>298</v>
      </c>
      <c r="F57" s="57" t="s">
        <v>295</v>
      </c>
      <c r="G57" s="58">
        <f t="shared" si="0"/>
        <v>1</v>
      </c>
      <c r="H57" s="58">
        <f t="shared" si="1"/>
        <v>1</v>
      </c>
      <c r="I57" s="58">
        <f t="shared" si="2"/>
        <v>2</v>
      </c>
      <c r="J57" s="58">
        <f t="shared" si="3"/>
        <v>1</v>
      </c>
      <c r="K57" s="58">
        <f t="shared" si="4"/>
        <v>1</v>
      </c>
      <c r="L57" s="59">
        <f t="shared" si="5"/>
        <v>1</v>
      </c>
      <c r="N57" s="42"/>
    </row>
    <row r="58" spans="2:14" ht="14">
      <c r="B58" s="55">
        <v>6.6</v>
      </c>
      <c r="C58" s="54" t="s">
        <v>292</v>
      </c>
      <c r="D58" s="54" t="s">
        <v>293</v>
      </c>
      <c r="E58" s="54" t="s">
        <v>294</v>
      </c>
      <c r="F58" s="54" t="s">
        <v>295</v>
      </c>
      <c r="G58" s="55">
        <f t="shared" si="0"/>
        <v>1</v>
      </c>
      <c r="H58" s="55">
        <f t="shared" si="1"/>
        <v>1</v>
      </c>
      <c r="I58" s="55">
        <f t="shared" si="2"/>
        <v>1</v>
      </c>
      <c r="J58" s="55">
        <f t="shared" si="3"/>
        <v>1</v>
      </c>
      <c r="K58" s="55">
        <f t="shared" si="4"/>
        <v>1</v>
      </c>
      <c r="L58" s="60">
        <f t="shared" si="5"/>
        <v>1</v>
      </c>
      <c r="N58" s="42"/>
    </row>
    <row r="59" spans="2:14" ht="14">
      <c r="B59" s="58">
        <v>6.7</v>
      </c>
      <c r="C59" s="57" t="s">
        <v>308</v>
      </c>
      <c r="D59" s="57" t="s">
        <v>305</v>
      </c>
      <c r="E59" s="57" t="s">
        <v>306</v>
      </c>
      <c r="F59" s="57" t="s">
        <v>307</v>
      </c>
      <c r="G59" s="58">
        <f t="shared" si="0"/>
        <v>5</v>
      </c>
      <c r="H59" s="58">
        <f t="shared" si="1"/>
        <v>4</v>
      </c>
      <c r="I59" s="58">
        <f t="shared" si="2"/>
        <v>4</v>
      </c>
      <c r="J59" s="58">
        <f t="shared" si="3"/>
        <v>4</v>
      </c>
      <c r="K59" s="58">
        <f t="shared" si="4"/>
        <v>4</v>
      </c>
      <c r="L59" s="59">
        <f t="shared" si="5"/>
        <v>4</v>
      </c>
      <c r="N59" s="42"/>
    </row>
    <row r="60" spans="2:14" ht="14">
      <c r="B60" s="55">
        <v>7.1</v>
      </c>
      <c r="C60" s="54" t="s">
        <v>304</v>
      </c>
      <c r="D60" s="54" t="s">
        <v>305</v>
      </c>
      <c r="E60" s="54" t="s">
        <v>310</v>
      </c>
      <c r="F60" s="54" t="s">
        <v>303</v>
      </c>
      <c r="G60" s="55">
        <f t="shared" si="0"/>
        <v>4</v>
      </c>
      <c r="H60" s="55">
        <f t="shared" si="1"/>
        <v>4</v>
      </c>
      <c r="I60" s="55">
        <f t="shared" si="2"/>
        <v>5</v>
      </c>
      <c r="J60" s="55">
        <f t="shared" si="3"/>
        <v>3</v>
      </c>
      <c r="K60" s="55">
        <f t="shared" si="4"/>
        <v>4</v>
      </c>
      <c r="L60" s="60">
        <f t="shared" si="5"/>
        <v>4</v>
      </c>
      <c r="N60" s="42"/>
    </row>
    <row r="61" spans="2:14" ht="14">
      <c r="B61" s="58">
        <v>7.2</v>
      </c>
      <c r="C61" s="57" t="s">
        <v>300</v>
      </c>
      <c r="D61" s="57" t="s">
        <v>305</v>
      </c>
      <c r="E61" s="57" t="s">
        <v>306</v>
      </c>
      <c r="F61" s="57" t="s">
        <v>311</v>
      </c>
      <c r="G61" s="58">
        <f t="shared" si="0"/>
        <v>3</v>
      </c>
      <c r="H61" s="58">
        <f t="shared" si="1"/>
        <v>4</v>
      </c>
      <c r="I61" s="58">
        <f t="shared" si="2"/>
        <v>4</v>
      </c>
      <c r="J61" s="58">
        <f t="shared" si="3"/>
        <v>5</v>
      </c>
      <c r="K61" s="58">
        <f t="shared" si="4"/>
        <v>4</v>
      </c>
      <c r="L61" s="59">
        <f t="shared" si="5"/>
        <v>4</v>
      </c>
      <c r="N61" s="42"/>
    </row>
    <row r="62" spans="2:14" ht="14">
      <c r="B62" s="55">
        <v>7.3</v>
      </c>
      <c r="C62" s="54" t="s">
        <v>304</v>
      </c>
      <c r="D62" s="54" t="s">
        <v>309</v>
      </c>
      <c r="E62" s="54" t="s">
        <v>306</v>
      </c>
      <c r="F62" s="54" t="s">
        <v>311</v>
      </c>
      <c r="G62" s="55">
        <f t="shared" si="0"/>
        <v>4</v>
      </c>
      <c r="H62" s="55">
        <f t="shared" si="1"/>
        <v>5</v>
      </c>
      <c r="I62" s="55">
        <f t="shared" si="2"/>
        <v>4</v>
      </c>
      <c r="J62" s="55">
        <f t="shared" si="3"/>
        <v>5</v>
      </c>
      <c r="K62" s="55">
        <f t="shared" si="4"/>
        <v>5</v>
      </c>
      <c r="L62" s="60">
        <f t="shared" si="5"/>
        <v>5</v>
      </c>
      <c r="N62" s="42"/>
    </row>
    <row r="63" spans="2:14" ht="14">
      <c r="B63" s="58">
        <v>7.4</v>
      </c>
      <c r="C63" s="57" t="s">
        <v>304</v>
      </c>
      <c r="D63" s="57" t="s">
        <v>309</v>
      </c>
      <c r="E63" s="57" t="s">
        <v>310</v>
      </c>
      <c r="F63" s="57" t="s">
        <v>311</v>
      </c>
      <c r="G63" s="58">
        <f t="shared" si="0"/>
        <v>4</v>
      </c>
      <c r="H63" s="58">
        <f t="shared" si="1"/>
        <v>5</v>
      </c>
      <c r="I63" s="58">
        <f t="shared" si="2"/>
        <v>5</v>
      </c>
      <c r="J63" s="58">
        <f t="shared" si="3"/>
        <v>5</v>
      </c>
      <c r="K63" s="58">
        <f t="shared" si="4"/>
        <v>5</v>
      </c>
      <c r="L63" s="59">
        <f t="shared" si="5"/>
        <v>5</v>
      </c>
      <c r="N63" s="42"/>
    </row>
    <row r="64" spans="2:14" ht="14">
      <c r="B64" s="55">
        <v>7.5</v>
      </c>
      <c r="C64" s="54" t="s">
        <v>308</v>
      </c>
      <c r="D64" s="54" t="s">
        <v>305</v>
      </c>
      <c r="E64" s="54" t="s">
        <v>310</v>
      </c>
      <c r="F64" s="54" t="s">
        <v>307</v>
      </c>
      <c r="G64" s="55">
        <f t="shared" si="0"/>
        <v>5</v>
      </c>
      <c r="H64" s="55">
        <f t="shared" si="1"/>
        <v>4</v>
      </c>
      <c r="I64" s="55">
        <f t="shared" si="2"/>
        <v>5</v>
      </c>
      <c r="J64" s="55">
        <f t="shared" si="3"/>
        <v>4</v>
      </c>
      <c r="K64" s="55">
        <f t="shared" si="4"/>
        <v>5</v>
      </c>
      <c r="L64" s="60">
        <f t="shared" si="5"/>
        <v>5</v>
      </c>
      <c r="N64" s="42"/>
    </row>
    <row r="65" spans="2:14" ht="14">
      <c r="B65" s="58">
        <v>7.6</v>
      </c>
      <c r="C65" s="57" t="s">
        <v>300</v>
      </c>
      <c r="D65" s="57" t="s">
        <v>305</v>
      </c>
      <c r="E65" s="57" t="s">
        <v>306</v>
      </c>
      <c r="F65" s="57" t="s">
        <v>311</v>
      </c>
      <c r="G65" s="58">
        <f t="shared" si="0"/>
        <v>3</v>
      </c>
      <c r="H65" s="58">
        <f t="shared" si="1"/>
        <v>4</v>
      </c>
      <c r="I65" s="58">
        <f t="shared" si="2"/>
        <v>4</v>
      </c>
      <c r="J65" s="58">
        <f t="shared" si="3"/>
        <v>5</v>
      </c>
      <c r="K65" s="58">
        <f t="shared" si="4"/>
        <v>4</v>
      </c>
      <c r="L65" s="59">
        <f t="shared" si="5"/>
        <v>4</v>
      </c>
      <c r="N65" s="42"/>
    </row>
    <row r="66" spans="2:14" ht="14">
      <c r="B66" s="55">
        <v>7.7</v>
      </c>
      <c r="C66" s="54" t="s">
        <v>304</v>
      </c>
      <c r="D66" s="54" t="s">
        <v>309</v>
      </c>
      <c r="E66" s="54" t="s">
        <v>306</v>
      </c>
      <c r="F66" s="54" t="s">
        <v>311</v>
      </c>
      <c r="G66" s="55">
        <f t="shared" si="0"/>
        <v>4</v>
      </c>
      <c r="H66" s="55">
        <f t="shared" si="1"/>
        <v>5</v>
      </c>
      <c r="I66" s="55">
        <f t="shared" si="2"/>
        <v>4</v>
      </c>
      <c r="J66" s="55">
        <f t="shared" si="3"/>
        <v>5</v>
      </c>
      <c r="K66" s="55">
        <f t="shared" si="4"/>
        <v>5</v>
      </c>
      <c r="L66" s="60">
        <f t="shared" si="5"/>
        <v>5</v>
      </c>
      <c r="N66" s="42"/>
    </row>
    <row r="67" spans="2:14" ht="14">
      <c r="B67" s="58">
        <v>8.1</v>
      </c>
      <c r="C67" s="57" t="s">
        <v>304</v>
      </c>
      <c r="D67" s="57" t="s">
        <v>309</v>
      </c>
      <c r="E67" s="57" t="s">
        <v>310</v>
      </c>
      <c r="F67" s="57" t="s">
        <v>311</v>
      </c>
      <c r="G67" s="58">
        <f t="shared" si="0"/>
        <v>4</v>
      </c>
      <c r="H67" s="58">
        <f t="shared" si="1"/>
        <v>5</v>
      </c>
      <c r="I67" s="58">
        <f t="shared" si="2"/>
        <v>5</v>
      </c>
      <c r="J67" s="58">
        <f t="shared" si="3"/>
        <v>5</v>
      </c>
      <c r="K67" s="58">
        <f t="shared" si="4"/>
        <v>5</v>
      </c>
      <c r="L67" s="59">
        <f t="shared" si="5"/>
        <v>5</v>
      </c>
      <c r="N67" s="42"/>
    </row>
    <row r="68" spans="2:14" ht="14">
      <c r="B68" s="55">
        <v>8.1999999999999993</v>
      </c>
      <c r="C68" s="54" t="s">
        <v>292</v>
      </c>
      <c r="D68" s="54" t="s">
        <v>293</v>
      </c>
      <c r="E68" s="54" t="s">
        <v>298</v>
      </c>
      <c r="F68" s="54" t="s">
        <v>295</v>
      </c>
      <c r="G68" s="55">
        <f t="shared" si="0"/>
        <v>1</v>
      </c>
      <c r="H68" s="55">
        <f t="shared" si="1"/>
        <v>1</v>
      </c>
      <c r="I68" s="55">
        <f t="shared" si="2"/>
        <v>2</v>
      </c>
      <c r="J68" s="55">
        <f t="shared" si="3"/>
        <v>1</v>
      </c>
      <c r="K68" s="55">
        <f t="shared" si="4"/>
        <v>1</v>
      </c>
      <c r="L68" s="60">
        <f t="shared" si="5"/>
        <v>1</v>
      </c>
      <c r="N68" s="42"/>
    </row>
    <row r="69" spans="2:14" ht="14">
      <c r="B69" s="58">
        <v>8.3000000000000007</v>
      </c>
      <c r="C69" s="57" t="s">
        <v>292</v>
      </c>
      <c r="D69" s="57" t="s">
        <v>293</v>
      </c>
      <c r="E69" s="57" t="s">
        <v>294</v>
      </c>
      <c r="F69" s="57" t="s">
        <v>295</v>
      </c>
      <c r="G69" s="58">
        <f t="shared" si="0"/>
        <v>1</v>
      </c>
      <c r="H69" s="58">
        <f t="shared" si="1"/>
        <v>1</v>
      </c>
      <c r="I69" s="58">
        <f t="shared" si="2"/>
        <v>1</v>
      </c>
      <c r="J69" s="58">
        <f t="shared" si="3"/>
        <v>1</v>
      </c>
      <c r="K69" s="58">
        <f t="shared" si="4"/>
        <v>1</v>
      </c>
      <c r="L69" s="60">
        <f t="shared" si="5"/>
        <v>1</v>
      </c>
      <c r="N69" s="42"/>
    </row>
    <row r="70" spans="2:14">
      <c r="B70" s="55">
        <v>8.4</v>
      </c>
      <c r="C70" s="54"/>
      <c r="D70" s="54"/>
      <c r="E70" s="54"/>
      <c r="F70" s="54"/>
      <c r="G70" s="55" t="e">
        <f t="shared" si="0"/>
        <v>#N/A</v>
      </c>
      <c r="H70" s="55" t="e">
        <f t="shared" si="1"/>
        <v>#N/A</v>
      </c>
      <c r="I70" s="55" t="e">
        <f t="shared" si="2"/>
        <v>#N/A</v>
      </c>
      <c r="J70" s="55" t="e">
        <f t="shared" si="3"/>
        <v>#N/A</v>
      </c>
      <c r="K70" s="55" t="e">
        <f t="shared" si="4"/>
        <v>#N/A</v>
      </c>
      <c r="L70" s="59" t="e">
        <f t="shared" si="5"/>
        <v>#N/A</v>
      </c>
      <c r="N70" s="42"/>
    </row>
    <row r="71" spans="2:14">
      <c r="B71" s="58">
        <v>8.5</v>
      </c>
      <c r="C71" s="57"/>
      <c r="D71" s="57"/>
      <c r="E71" s="57"/>
      <c r="F71" s="57"/>
      <c r="G71" s="58" t="e">
        <f t="shared" si="0"/>
        <v>#N/A</v>
      </c>
      <c r="H71" s="58" t="e">
        <f t="shared" si="1"/>
        <v>#N/A</v>
      </c>
      <c r="I71" s="58" t="e">
        <f t="shared" si="2"/>
        <v>#N/A</v>
      </c>
      <c r="J71" s="58" t="e">
        <f t="shared" si="3"/>
        <v>#N/A</v>
      </c>
      <c r="K71" s="58" t="e">
        <f t="shared" si="4"/>
        <v>#N/A</v>
      </c>
      <c r="L71" s="60" t="e">
        <f t="shared" si="5"/>
        <v>#N/A</v>
      </c>
      <c r="N71" s="42"/>
    </row>
    <row r="72" spans="2:14">
      <c r="B72" s="55">
        <v>8.6</v>
      </c>
      <c r="C72" s="54"/>
      <c r="D72" s="54"/>
      <c r="E72" s="54"/>
      <c r="F72" s="54"/>
      <c r="G72" s="55" t="e">
        <f t="shared" si="0"/>
        <v>#N/A</v>
      </c>
      <c r="H72" s="55" t="e">
        <f t="shared" si="1"/>
        <v>#N/A</v>
      </c>
      <c r="I72" s="55" t="e">
        <f t="shared" si="2"/>
        <v>#N/A</v>
      </c>
      <c r="J72" s="55" t="e">
        <f t="shared" si="3"/>
        <v>#N/A</v>
      </c>
      <c r="K72" s="55" t="e">
        <f t="shared" si="4"/>
        <v>#N/A</v>
      </c>
      <c r="L72" s="59" t="e">
        <f t="shared" si="5"/>
        <v>#N/A</v>
      </c>
      <c r="N72" s="42"/>
    </row>
    <row r="73" spans="2:14">
      <c r="B73" s="58">
        <v>8.6999999999999993</v>
      </c>
      <c r="C73" s="57"/>
      <c r="D73" s="57"/>
      <c r="E73" s="57"/>
      <c r="F73" s="57"/>
      <c r="G73" s="58" t="e">
        <f t="shared" si="0"/>
        <v>#N/A</v>
      </c>
      <c r="H73" s="58" t="e">
        <f t="shared" si="1"/>
        <v>#N/A</v>
      </c>
      <c r="I73" s="58" t="e">
        <f t="shared" si="2"/>
        <v>#N/A</v>
      </c>
      <c r="J73" s="58" t="e">
        <f t="shared" si="3"/>
        <v>#N/A</v>
      </c>
      <c r="K73" s="58" t="e">
        <f t="shared" si="4"/>
        <v>#N/A</v>
      </c>
      <c r="L73" s="60" t="e">
        <f t="shared" si="5"/>
        <v>#N/A</v>
      </c>
      <c r="N73" s="42"/>
    </row>
    <row r="74" spans="2:14">
      <c r="B74" s="55">
        <v>8.8000000000000007</v>
      </c>
      <c r="C74" s="54"/>
      <c r="D74" s="54"/>
      <c r="E74" s="54"/>
      <c r="F74" s="54"/>
      <c r="G74" s="55" t="e">
        <f t="shared" si="0"/>
        <v>#N/A</v>
      </c>
      <c r="H74" s="55" t="e">
        <f t="shared" si="1"/>
        <v>#N/A</v>
      </c>
      <c r="I74" s="55" t="e">
        <f t="shared" si="2"/>
        <v>#N/A</v>
      </c>
      <c r="J74" s="55" t="e">
        <f t="shared" si="3"/>
        <v>#N/A</v>
      </c>
      <c r="K74" s="55" t="e">
        <f t="shared" si="4"/>
        <v>#N/A</v>
      </c>
      <c r="L74" s="59" t="e">
        <f t="shared" si="5"/>
        <v>#N/A</v>
      </c>
      <c r="N74" s="42"/>
    </row>
    <row r="75" spans="2:14">
      <c r="B75" s="58">
        <v>8.9</v>
      </c>
      <c r="C75" s="57"/>
      <c r="D75" s="57"/>
      <c r="E75" s="57"/>
      <c r="F75" s="57"/>
      <c r="G75" s="58" t="e">
        <f t="shared" si="0"/>
        <v>#N/A</v>
      </c>
      <c r="H75" s="58" t="e">
        <f t="shared" si="1"/>
        <v>#N/A</v>
      </c>
      <c r="I75" s="58" t="e">
        <f t="shared" si="2"/>
        <v>#N/A</v>
      </c>
      <c r="J75" s="58" t="e">
        <f t="shared" si="3"/>
        <v>#N/A</v>
      </c>
      <c r="K75" s="58" t="e">
        <f t="shared" si="4"/>
        <v>#N/A</v>
      </c>
      <c r="L75" s="60" t="e">
        <f t="shared" si="5"/>
        <v>#N/A</v>
      </c>
      <c r="N75" s="42"/>
    </row>
    <row r="76" spans="2:14">
      <c r="B76" s="99">
        <v>8.1</v>
      </c>
      <c r="C76" s="54"/>
      <c r="D76" s="54"/>
      <c r="E76" s="54"/>
      <c r="F76" s="54"/>
      <c r="G76" s="55" t="e">
        <f t="shared" si="0"/>
        <v>#N/A</v>
      </c>
      <c r="H76" s="55" t="e">
        <f t="shared" si="1"/>
        <v>#N/A</v>
      </c>
      <c r="I76" s="55" t="e">
        <f t="shared" si="2"/>
        <v>#N/A</v>
      </c>
      <c r="J76" s="55" t="e">
        <f t="shared" si="3"/>
        <v>#N/A</v>
      </c>
      <c r="K76" s="55" t="e">
        <f t="shared" si="4"/>
        <v>#N/A</v>
      </c>
      <c r="L76" s="59" t="e">
        <f t="shared" si="5"/>
        <v>#N/A</v>
      </c>
      <c r="N76" s="42"/>
    </row>
    <row r="77" spans="2:14">
      <c r="B77" s="58">
        <v>8.11</v>
      </c>
      <c r="C77" s="57"/>
      <c r="D77" s="57"/>
      <c r="E77" s="57"/>
      <c r="F77" s="57"/>
      <c r="G77" s="58" t="e">
        <f t="shared" si="0"/>
        <v>#N/A</v>
      </c>
      <c r="H77" s="58" t="e">
        <f t="shared" si="1"/>
        <v>#N/A</v>
      </c>
      <c r="I77" s="58" t="e">
        <f t="shared" si="2"/>
        <v>#N/A</v>
      </c>
      <c r="J77" s="58" t="e">
        <f t="shared" si="3"/>
        <v>#N/A</v>
      </c>
      <c r="K77" s="58" t="e">
        <f t="shared" si="4"/>
        <v>#N/A</v>
      </c>
      <c r="L77" s="60" t="e">
        <f t="shared" si="5"/>
        <v>#N/A</v>
      </c>
      <c r="N77" s="42"/>
    </row>
    <row r="78" spans="2:14">
      <c r="B78" s="55">
        <v>9.1</v>
      </c>
      <c r="C78" s="54"/>
      <c r="D78" s="54"/>
      <c r="E78" s="54"/>
      <c r="F78" s="54"/>
      <c r="G78" s="55" t="e">
        <f t="shared" si="0"/>
        <v>#N/A</v>
      </c>
      <c r="H78" s="55" t="e">
        <f t="shared" si="1"/>
        <v>#N/A</v>
      </c>
      <c r="I78" s="55" t="e">
        <f t="shared" si="2"/>
        <v>#N/A</v>
      </c>
      <c r="J78" s="55" t="e">
        <f t="shared" si="3"/>
        <v>#N/A</v>
      </c>
      <c r="K78" s="55" t="e">
        <f t="shared" si="4"/>
        <v>#N/A</v>
      </c>
      <c r="L78" s="59" t="e">
        <f t="shared" si="5"/>
        <v>#N/A</v>
      </c>
      <c r="N78" s="42"/>
    </row>
    <row r="79" spans="2:14">
      <c r="B79" s="58">
        <v>9.1999999999999993</v>
      </c>
      <c r="C79" s="57"/>
      <c r="D79" s="57"/>
      <c r="E79" s="57"/>
      <c r="F79" s="57"/>
      <c r="G79" s="58" t="e">
        <f t="shared" ref="G79:G142" si="6">VLOOKUP(C79,$C$4:$G$10,5,FALSE)</f>
        <v>#N/A</v>
      </c>
      <c r="H79" s="58" t="e">
        <f t="shared" ref="H79:H142" si="7">VLOOKUP(D79,$D$4:$G$10,4,FALSE)</f>
        <v>#N/A</v>
      </c>
      <c r="I79" s="58" t="e">
        <f t="shared" ref="I79:I142" si="8">VLOOKUP(E79,$E$4:$G$10,3,FALSE)</f>
        <v>#N/A</v>
      </c>
      <c r="J79" s="58" t="e">
        <f t="shared" ref="J79:J142" si="9">VLOOKUP(F79,$F$4:$G$10,2,FALSE)</f>
        <v>#N/A</v>
      </c>
      <c r="K79" s="58" t="e">
        <f t="shared" ref="K79:K142" si="10">ROUND(AVERAGE(G79:J79),0)</f>
        <v>#N/A</v>
      </c>
      <c r="L79" s="60" t="e">
        <f t="shared" ref="L79:L142" si="11">K79</f>
        <v>#N/A</v>
      </c>
      <c r="N79" s="42"/>
    </row>
    <row r="80" spans="2:14">
      <c r="B80" s="55">
        <v>9.3000000000000007</v>
      </c>
      <c r="C80" s="54"/>
      <c r="D80" s="54"/>
      <c r="E80" s="54"/>
      <c r="F80" s="54"/>
      <c r="G80" s="55" t="e">
        <f t="shared" si="6"/>
        <v>#N/A</v>
      </c>
      <c r="H80" s="55" t="e">
        <f t="shared" si="7"/>
        <v>#N/A</v>
      </c>
      <c r="I80" s="55" t="e">
        <f t="shared" si="8"/>
        <v>#N/A</v>
      </c>
      <c r="J80" s="55" t="e">
        <f t="shared" si="9"/>
        <v>#N/A</v>
      </c>
      <c r="K80" s="55" t="e">
        <f t="shared" si="10"/>
        <v>#N/A</v>
      </c>
      <c r="L80" s="59" t="e">
        <f t="shared" si="11"/>
        <v>#N/A</v>
      </c>
      <c r="N80" s="42"/>
    </row>
    <row r="81" spans="2:14">
      <c r="B81" s="58">
        <v>9.4</v>
      </c>
      <c r="C81" s="57"/>
      <c r="D81" s="57"/>
      <c r="E81" s="57"/>
      <c r="F81" s="57"/>
      <c r="G81" s="58" t="e">
        <f t="shared" si="6"/>
        <v>#N/A</v>
      </c>
      <c r="H81" s="58" t="e">
        <f t="shared" si="7"/>
        <v>#N/A</v>
      </c>
      <c r="I81" s="58" t="e">
        <f t="shared" si="8"/>
        <v>#N/A</v>
      </c>
      <c r="J81" s="58" t="e">
        <f t="shared" si="9"/>
        <v>#N/A</v>
      </c>
      <c r="K81" s="58" t="e">
        <f t="shared" si="10"/>
        <v>#N/A</v>
      </c>
      <c r="L81" s="60" t="e">
        <f t="shared" si="11"/>
        <v>#N/A</v>
      </c>
      <c r="N81" s="42"/>
    </row>
    <row r="82" spans="2:14">
      <c r="B82" s="55">
        <v>9.5</v>
      </c>
      <c r="C82" s="54"/>
      <c r="D82" s="54"/>
      <c r="E82" s="54"/>
      <c r="F82" s="54"/>
      <c r="G82" s="55" t="e">
        <f t="shared" si="6"/>
        <v>#N/A</v>
      </c>
      <c r="H82" s="55" t="e">
        <f t="shared" si="7"/>
        <v>#N/A</v>
      </c>
      <c r="I82" s="55" t="e">
        <f t="shared" si="8"/>
        <v>#N/A</v>
      </c>
      <c r="J82" s="55" t="e">
        <f t="shared" si="9"/>
        <v>#N/A</v>
      </c>
      <c r="K82" s="55" t="e">
        <f t="shared" si="10"/>
        <v>#N/A</v>
      </c>
      <c r="L82" s="59" t="e">
        <f t="shared" si="11"/>
        <v>#N/A</v>
      </c>
      <c r="N82" s="42"/>
    </row>
    <row r="83" spans="2:14">
      <c r="B83" s="58">
        <v>9.6</v>
      </c>
      <c r="C83" s="57"/>
      <c r="D83" s="57"/>
      <c r="E83" s="57"/>
      <c r="F83" s="57"/>
      <c r="G83" s="58" t="e">
        <f t="shared" si="6"/>
        <v>#N/A</v>
      </c>
      <c r="H83" s="58" t="e">
        <f t="shared" si="7"/>
        <v>#N/A</v>
      </c>
      <c r="I83" s="58" t="e">
        <f t="shared" si="8"/>
        <v>#N/A</v>
      </c>
      <c r="J83" s="58" t="e">
        <f t="shared" si="9"/>
        <v>#N/A</v>
      </c>
      <c r="K83" s="58" t="e">
        <f t="shared" si="10"/>
        <v>#N/A</v>
      </c>
      <c r="L83" s="60" t="e">
        <f t="shared" si="11"/>
        <v>#N/A</v>
      </c>
      <c r="N83" s="42"/>
    </row>
    <row r="84" spans="2:14">
      <c r="B84" s="55">
        <v>10.1</v>
      </c>
      <c r="C84" s="54"/>
      <c r="D84" s="54"/>
      <c r="E84" s="54"/>
      <c r="F84" s="54"/>
      <c r="G84" s="55" t="e">
        <f t="shared" si="6"/>
        <v>#N/A</v>
      </c>
      <c r="H84" s="55" t="e">
        <f t="shared" si="7"/>
        <v>#N/A</v>
      </c>
      <c r="I84" s="55" t="e">
        <f t="shared" si="8"/>
        <v>#N/A</v>
      </c>
      <c r="J84" s="55" t="e">
        <f t="shared" si="9"/>
        <v>#N/A</v>
      </c>
      <c r="K84" s="55" t="e">
        <f t="shared" si="10"/>
        <v>#N/A</v>
      </c>
      <c r="L84" s="59" t="e">
        <f t="shared" si="11"/>
        <v>#N/A</v>
      </c>
      <c r="N84" s="42"/>
    </row>
    <row r="85" spans="2:14">
      <c r="B85" s="58">
        <v>10.199999999999999</v>
      </c>
      <c r="C85" s="57"/>
      <c r="D85" s="57"/>
      <c r="E85" s="57"/>
      <c r="F85" s="57"/>
      <c r="G85" s="58" t="e">
        <f t="shared" si="6"/>
        <v>#N/A</v>
      </c>
      <c r="H85" s="58" t="e">
        <f t="shared" si="7"/>
        <v>#N/A</v>
      </c>
      <c r="I85" s="58" t="e">
        <f t="shared" si="8"/>
        <v>#N/A</v>
      </c>
      <c r="J85" s="58" t="e">
        <f t="shared" si="9"/>
        <v>#N/A</v>
      </c>
      <c r="K85" s="58" t="e">
        <f t="shared" si="10"/>
        <v>#N/A</v>
      </c>
      <c r="L85" s="60" t="e">
        <f t="shared" si="11"/>
        <v>#N/A</v>
      </c>
      <c r="N85" s="42"/>
    </row>
    <row r="86" spans="2:14">
      <c r="B86" s="55">
        <v>10.3</v>
      </c>
      <c r="C86" s="54"/>
      <c r="D86" s="54"/>
      <c r="E86" s="54"/>
      <c r="F86" s="54"/>
      <c r="G86" s="55" t="e">
        <f t="shared" si="6"/>
        <v>#N/A</v>
      </c>
      <c r="H86" s="55" t="e">
        <f t="shared" si="7"/>
        <v>#N/A</v>
      </c>
      <c r="I86" s="55" t="e">
        <f t="shared" si="8"/>
        <v>#N/A</v>
      </c>
      <c r="J86" s="55" t="e">
        <f t="shared" si="9"/>
        <v>#N/A</v>
      </c>
      <c r="K86" s="55" t="e">
        <f t="shared" si="10"/>
        <v>#N/A</v>
      </c>
      <c r="L86" s="59" t="e">
        <f t="shared" si="11"/>
        <v>#N/A</v>
      </c>
      <c r="N86" s="42"/>
    </row>
    <row r="87" spans="2:14">
      <c r="B87" s="58">
        <v>10.4</v>
      </c>
      <c r="C87" s="57"/>
      <c r="D87" s="57"/>
      <c r="E87" s="57"/>
      <c r="F87" s="57"/>
      <c r="G87" s="58" t="e">
        <f t="shared" si="6"/>
        <v>#N/A</v>
      </c>
      <c r="H87" s="58" t="e">
        <f t="shared" si="7"/>
        <v>#N/A</v>
      </c>
      <c r="I87" s="58" t="e">
        <f t="shared" si="8"/>
        <v>#N/A</v>
      </c>
      <c r="J87" s="58" t="e">
        <f t="shared" si="9"/>
        <v>#N/A</v>
      </c>
      <c r="K87" s="58" t="e">
        <f t="shared" si="10"/>
        <v>#N/A</v>
      </c>
      <c r="L87" s="60" t="e">
        <f t="shared" si="11"/>
        <v>#N/A</v>
      </c>
      <c r="N87" s="42"/>
    </row>
    <row r="88" spans="2:14">
      <c r="B88" s="55">
        <v>10.5</v>
      </c>
      <c r="C88" s="54"/>
      <c r="D88" s="54"/>
      <c r="E88" s="54"/>
      <c r="F88" s="54"/>
      <c r="G88" s="55" t="e">
        <f t="shared" si="6"/>
        <v>#N/A</v>
      </c>
      <c r="H88" s="55" t="e">
        <f t="shared" si="7"/>
        <v>#N/A</v>
      </c>
      <c r="I88" s="55" t="e">
        <f t="shared" si="8"/>
        <v>#N/A</v>
      </c>
      <c r="J88" s="55" t="e">
        <f t="shared" si="9"/>
        <v>#N/A</v>
      </c>
      <c r="K88" s="55" t="e">
        <f t="shared" si="10"/>
        <v>#N/A</v>
      </c>
      <c r="L88" s="59" t="e">
        <f t="shared" si="11"/>
        <v>#N/A</v>
      </c>
      <c r="N88" s="42"/>
    </row>
    <row r="89" spans="2:14">
      <c r="B89" s="58">
        <v>10.6</v>
      </c>
      <c r="C89" s="57"/>
      <c r="D89" s="57"/>
      <c r="E89" s="57"/>
      <c r="F89" s="57"/>
      <c r="G89" s="58" t="e">
        <f t="shared" si="6"/>
        <v>#N/A</v>
      </c>
      <c r="H89" s="58" t="e">
        <f t="shared" si="7"/>
        <v>#N/A</v>
      </c>
      <c r="I89" s="58" t="e">
        <f t="shared" si="8"/>
        <v>#N/A</v>
      </c>
      <c r="J89" s="58" t="e">
        <f t="shared" si="9"/>
        <v>#N/A</v>
      </c>
      <c r="K89" s="58" t="e">
        <f t="shared" si="10"/>
        <v>#N/A</v>
      </c>
      <c r="L89" s="60" t="e">
        <f t="shared" si="11"/>
        <v>#N/A</v>
      </c>
      <c r="N89" s="42"/>
    </row>
    <row r="90" spans="2:14">
      <c r="B90" s="55">
        <v>10.7</v>
      </c>
      <c r="C90" s="54"/>
      <c r="D90" s="54"/>
      <c r="E90" s="54"/>
      <c r="F90" s="54"/>
      <c r="G90" s="55" t="e">
        <f t="shared" si="6"/>
        <v>#N/A</v>
      </c>
      <c r="H90" s="55" t="e">
        <f t="shared" si="7"/>
        <v>#N/A</v>
      </c>
      <c r="I90" s="55" t="e">
        <f t="shared" si="8"/>
        <v>#N/A</v>
      </c>
      <c r="J90" s="55" t="e">
        <f t="shared" si="9"/>
        <v>#N/A</v>
      </c>
      <c r="K90" s="55" t="e">
        <f t="shared" si="10"/>
        <v>#N/A</v>
      </c>
      <c r="L90" s="59" t="e">
        <f t="shared" si="11"/>
        <v>#N/A</v>
      </c>
      <c r="N90" s="42"/>
    </row>
    <row r="91" spans="2:14">
      <c r="B91" s="58">
        <v>11.1</v>
      </c>
      <c r="C91" s="57"/>
      <c r="D91" s="57"/>
      <c r="E91" s="57"/>
      <c r="F91" s="57"/>
      <c r="G91" s="58" t="e">
        <f t="shared" si="6"/>
        <v>#N/A</v>
      </c>
      <c r="H91" s="58" t="e">
        <f t="shared" si="7"/>
        <v>#N/A</v>
      </c>
      <c r="I91" s="58" t="e">
        <f t="shared" si="8"/>
        <v>#N/A</v>
      </c>
      <c r="J91" s="58" t="e">
        <f t="shared" si="9"/>
        <v>#N/A</v>
      </c>
      <c r="K91" s="58" t="e">
        <f t="shared" si="10"/>
        <v>#N/A</v>
      </c>
      <c r="L91" s="60" t="e">
        <f t="shared" si="11"/>
        <v>#N/A</v>
      </c>
      <c r="N91" s="42"/>
    </row>
    <row r="92" spans="2:14">
      <c r="B92" s="55">
        <v>11.2</v>
      </c>
      <c r="C92" s="54"/>
      <c r="D92" s="54"/>
      <c r="E92" s="54"/>
      <c r="F92" s="54"/>
      <c r="G92" s="55" t="e">
        <f t="shared" si="6"/>
        <v>#N/A</v>
      </c>
      <c r="H92" s="55" t="e">
        <f t="shared" si="7"/>
        <v>#N/A</v>
      </c>
      <c r="I92" s="55" t="e">
        <f t="shared" si="8"/>
        <v>#N/A</v>
      </c>
      <c r="J92" s="55" t="e">
        <f t="shared" si="9"/>
        <v>#N/A</v>
      </c>
      <c r="K92" s="55" t="e">
        <f t="shared" si="10"/>
        <v>#N/A</v>
      </c>
      <c r="L92" s="59" t="e">
        <f t="shared" si="11"/>
        <v>#N/A</v>
      </c>
      <c r="N92" s="42"/>
    </row>
    <row r="93" spans="2:14">
      <c r="B93" s="58">
        <v>11.3</v>
      </c>
      <c r="C93" s="57"/>
      <c r="D93" s="57"/>
      <c r="E93" s="57"/>
      <c r="F93" s="57"/>
      <c r="G93" s="58" t="e">
        <f t="shared" si="6"/>
        <v>#N/A</v>
      </c>
      <c r="H93" s="58" t="e">
        <f t="shared" si="7"/>
        <v>#N/A</v>
      </c>
      <c r="I93" s="58" t="e">
        <f t="shared" si="8"/>
        <v>#N/A</v>
      </c>
      <c r="J93" s="58" t="e">
        <f t="shared" si="9"/>
        <v>#N/A</v>
      </c>
      <c r="K93" s="58" t="e">
        <f t="shared" si="10"/>
        <v>#N/A</v>
      </c>
      <c r="L93" s="60" t="e">
        <f t="shared" si="11"/>
        <v>#N/A</v>
      </c>
      <c r="N93" s="42"/>
    </row>
    <row r="94" spans="2:14">
      <c r="B94" s="55">
        <v>11.4</v>
      </c>
      <c r="C94" s="54"/>
      <c r="D94" s="54"/>
      <c r="E94" s="54"/>
      <c r="F94" s="54"/>
      <c r="G94" s="55" t="e">
        <f t="shared" si="6"/>
        <v>#N/A</v>
      </c>
      <c r="H94" s="55" t="e">
        <f t="shared" si="7"/>
        <v>#N/A</v>
      </c>
      <c r="I94" s="55" t="e">
        <f t="shared" si="8"/>
        <v>#N/A</v>
      </c>
      <c r="J94" s="55" t="e">
        <f t="shared" si="9"/>
        <v>#N/A</v>
      </c>
      <c r="K94" s="55" t="e">
        <f t="shared" si="10"/>
        <v>#N/A</v>
      </c>
      <c r="L94" s="59" t="e">
        <f t="shared" si="11"/>
        <v>#N/A</v>
      </c>
      <c r="N94" s="42"/>
    </row>
    <row r="95" spans="2:14">
      <c r="B95" s="58">
        <v>11.5</v>
      </c>
      <c r="C95" s="57"/>
      <c r="D95" s="57"/>
      <c r="E95" s="57"/>
      <c r="F95" s="57"/>
      <c r="G95" s="58" t="e">
        <f t="shared" si="6"/>
        <v>#N/A</v>
      </c>
      <c r="H95" s="58" t="e">
        <f t="shared" si="7"/>
        <v>#N/A</v>
      </c>
      <c r="I95" s="58" t="e">
        <f t="shared" si="8"/>
        <v>#N/A</v>
      </c>
      <c r="J95" s="58" t="e">
        <f t="shared" si="9"/>
        <v>#N/A</v>
      </c>
      <c r="K95" s="58" t="e">
        <f t="shared" si="10"/>
        <v>#N/A</v>
      </c>
      <c r="L95" s="60" t="e">
        <f t="shared" si="11"/>
        <v>#N/A</v>
      </c>
      <c r="N95" s="42"/>
    </row>
    <row r="96" spans="2:14">
      <c r="B96" s="55">
        <v>12.1</v>
      </c>
      <c r="C96" s="54"/>
      <c r="D96" s="54"/>
      <c r="E96" s="54"/>
      <c r="F96" s="54"/>
      <c r="G96" s="55" t="e">
        <f t="shared" si="6"/>
        <v>#N/A</v>
      </c>
      <c r="H96" s="55" t="e">
        <f t="shared" si="7"/>
        <v>#N/A</v>
      </c>
      <c r="I96" s="55" t="e">
        <f t="shared" si="8"/>
        <v>#N/A</v>
      </c>
      <c r="J96" s="55" t="e">
        <f t="shared" si="9"/>
        <v>#N/A</v>
      </c>
      <c r="K96" s="55" t="e">
        <f t="shared" si="10"/>
        <v>#N/A</v>
      </c>
      <c r="L96" s="59" t="e">
        <f t="shared" si="11"/>
        <v>#N/A</v>
      </c>
      <c r="N96" s="42"/>
    </row>
    <row r="97" spans="2:14">
      <c r="B97" s="58">
        <v>12.2</v>
      </c>
      <c r="C97" s="57"/>
      <c r="D97" s="57"/>
      <c r="E97" s="57"/>
      <c r="F97" s="57"/>
      <c r="G97" s="58" t="e">
        <f t="shared" si="6"/>
        <v>#N/A</v>
      </c>
      <c r="H97" s="58" t="e">
        <f t="shared" si="7"/>
        <v>#N/A</v>
      </c>
      <c r="I97" s="58" t="e">
        <f t="shared" si="8"/>
        <v>#N/A</v>
      </c>
      <c r="J97" s="58" t="e">
        <f t="shared" si="9"/>
        <v>#N/A</v>
      </c>
      <c r="K97" s="58" t="e">
        <f t="shared" si="10"/>
        <v>#N/A</v>
      </c>
      <c r="L97" s="60" t="e">
        <f t="shared" si="11"/>
        <v>#N/A</v>
      </c>
      <c r="N97" s="42"/>
    </row>
    <row r="98" spans="2:14">
      <c r="B98" s="55">
        <v>12.3</v>
      </c>
      <c r="C98" s="54"/>
      <c r="D98" s="54"/>
      <c r="E98" s="54"/>
      <c r="F98" s="54"/>
      <c r="G98" s="55" t="e">
        <f t="shared" si="6"/>
        <v>#N/A</v>
      </c>
      <c r="H98" s="55" t="e">
        <f t="shared" si="7"/>
        <v>#N/A</v>
      </c>
      <c r="I98" s="55" t="e">
        <f t="shared" si="8"/>
        <v>#N/A</v>
      </c>
      <c r="J98" s="55" t="e">
        <f t="shared" si="9"/>
        <v>#N/A</v>
      </c>
      <c r="K98" s="55" t="e">
        <f t="shared" si="10"/>
        <v>#N/A</v>
      </c>
      <c r="L98" s="59" t="e">
        <f t="shared" si="11"/>
        <v>#N/A</v>
      </c>
      <c r="N98" s="42"/>
    </row>
    <row r="99" spans="2:14">
      <c r="B99" s="58">
        <v>12.4</v>
      </c>
      <c r="C99" s="57"/>
      <c r="D99" s="57"/>
      <c r="E99" s="57"/>
      <c r="F99" s="57"/>
      <c r="G99" s="58" t="e">
        <f t="shared" si="6"/>
        <v>#N/A</v>
      </c>
      <c r="H99" s="58" t="e">
        <f t="shared" si="7"/>
        <v>#N/A</v>
      </c>
      <c r="I99" s="58" t="e">
        <f t="shared" si="8"/>
        <v>#N/A</v>
      </c>
      <c r="J99" s="58" t="e">
        <f t="shared" si="9"/>
        <v>#N/A</v>
      </c>
      <c r="K99" s="58" t="e">
        <f t="shared" si="10"/>
        <v>#N/A</v>
      </c>
      <c r="L99" s="60" t="e">
        <f t="shared" si="11"/>
        <v>#N/A</v>
      </c>
      <c r="N99" s="42"/>
    </row>
    <row r="100" spans="2:14">
      <c r="B100" s="55">
        <v>12.5</v>
      </c>
      <c r="C100" s="54"/>
      <c r="D100" s="54"/>
      <c r="E100" s="54"/>
      <c r="F100" s="54"/>
      <c r="G100" s="55" t="e">
        <f t="shared" si="6"/>
        <v>#N/A</v>
      </c>
      <c r="H100" s="55" t="e">
        <f t="shared" si="7"/>
        <v>#N/A</v>
      </c>
      <c r="I100" s="55" t="e">
        <f t="shared" si="8"/>
        <v>#N/A</v>
      </c>
      <c r="J100" s="55" t="e">
        <f t="shared" si="9"/>
        <v>#N/A</v>
      </c>
      <c r="K100" s="55" t="e">
        <f t="shared" si="10"/>
        <v>#N/A</v>
      </c>
      <c r="L100" s="59" t="e">
        <f t="shared" si="11"/>
        <v>#N/A</v>
      </c>
      <c r="N100" s="42"/>
    </row>
    <row r="101" spans="2:14">
      <c r="B101" s="58">
        <v>12.6</v>
      </c>
      <c r="C101" s="57"/>
      <c r="D101" s="57"/>
      <c r="E101" s="57"/>
      <c r="F101" s="57"/>
      <c r="G101" s="58" t="e">
        <f t="shared" si="6"/>
        <v>#N/A</v>
      </c>
      <c r="H101" s="58" t="e">
        <f t="shared" si="7"/>
        <v>#N/A</v>
      </c>
      <c r="I101" s="58" t="e">
        <f t="shared" si="8"/>
        <v>#N/A</v>
      </c>
      <c r="J101" s="58" t="e">
        <f t="shared" si="9"/>
        <v>#N/A</v>
      </c>
      <c r="K101" s="58" t="e">
        <f t="shared" si="10"/>
        <v>#N/A</v>
      </c>
      <c r="L101" s="60" t="e">
        <f t="shared" si="11"/>
        <v>#N/A</v>
      </c>
      <c r="N101" s="42"/>
    </row>
    <row r="102" spans="2:14">
      <c r="B102" s="55">
        <v>12.7</v>
      </c>
      <c r="C102" s="54"/>
      <c r="D102" s="54"/>
      <c r="E102" s="54"/>
      <c r="F102" s="54"/>
      <c r="G102" s="55" t="e">
        <f t="shared" si="6"/>
        <v>#N/A</v>
      </c>
      <c r="H102" s="55" t="e">
        <f t="shared" si="7"/>
        <v>#N/A</v>
      </c>
      <c r="I102" s="55" t="e">
        <f t="shared" si="8"/>
        <v>#N/A</v>
      </c>
      <c r="J102" s="55" t="e">
        <f t="shared" si="9"/>
        <v>#N/A</v>
      </c>
      <c r="K102" s="55" t="e">
        <f t="shared" si="10"/>
        <v>#N/A</v>
      </c>
      <c r="L102" s="59" t="e">
        <f t="shared" si="11"/>
        <v>#N/A</v>
      </c>
      <c r="N102" s="42"/>
    </row>
    <row r="103" spans="2:14">
      <c r="B103" s="58">
        <v>13.1</v>
      </c>
      <c r="C103" s="57"/>
      <c r="D103" s="57"/>
      <c r="E103" s="57"/>
      <c r="F103" s="57"/>
      <c r="G103" s="58" t="e">
        <f t="shared" si="6"/>
        <v>#N/A</v>
      </c>
      <c r="H103" s="58" t="e">
        <f t="shared" si="7"/>
        <v>#N/A</v>
      </c>
      <c r="I103" s="58" t="e">
        <f t="shared" si="8"/>
        <v>#N/A</v>
      </c>
      <c r="J103" s="58" t="e">
        <f t="shared" si="9"/>
        <v>#N/A</v>
      </c>
      <c r="K103" s="58" t="e">
        <f t="shared" si="10"/>
        <v>#N/A</v>
      </c>
      <c r="L103" s="60" t="e">
        <f t="shared" si="11"/>
        <v>#N/A</v>
      </c>
      <c r="N103" s="42"/>
    </row>
    <row r="104" spans="2:14">
      <c r="B104" s="55">
        <v>13.2</v>
      </c>
      <c r="C104" s="54"/>
      <c r="D104" s="54"/>
      <c r="E104" s="54"/>
      <c r="F104" s="54"/>
      <c r="G104" s="55" t="e">
        <f t="shared" si="6"/>
        <v>#N/A</v>
      </c>
      <c r="H104" s="55" t="e">
        <f t="shared" si="7"/>
        <v>#N/A</v>
      </c>
      <c r="I104" s="55" t="e">
        <f t="shared" si="8"/>
        <v>#N/A</v>
      </c>
      <c r="J104" s="55" t="e">
        <f t="shared" si="9"/>
        <v>#N/A</v>
      </c>
      <c r="K104" s="55" t="e">
        <f t="shared" si="10"/>
        <v>#N/A</v>
      </c>
      <c r="L104" s="59" t="e">
        <f t="shared" si="11"/>
        <v>#N/A</v>
      </c>
      <c r="N104" s="42"/>
    </row>
    <row r="105" spans="2:14">
      <c r="B105" s="58">
        <v>13.3</v>
      </c>
      <c r="C105" s="57"/>
      <c r="D105" s="57"/>
      <c r="E105" s="57"/>
      <c r="F105" s="57"/>
      <c r="G105" s="58" t="e">
        <f t="shared" si="6"/>
        <v>#N/A</v>
      </c>
      <c r="H105" s="58" t="e">
        <f t="shared" si="7"/>
        <v>#N/A</v>
      </c>
      <c r="I105" s="58" t="e">
        <f t="shared" si="8"/>
        <v>#N/A</v>
      </c>
      <c r="J105" s="58" t="e">
        <f t="shared" si="9"/>
        <v>#N/A</v>
      </c>
      <c r="K105" s="58" t="e">
        <f t="shared" si="10"/>
        <v>#N/A</v>
      </c>
      <c r="L105" s="60" t="e">
        <f t="shared" si="11"/>
        <v>#N/A</v>
      </c>
      <c r="N105" s="42"/>
    </row>
    <row r="106" spans="2:14">
      <c r="B106" s="55">
        <v>13.4</v>
      </c>
      <c r="C106" s="54"/>
      <c r="D106" s="54"/>
      <c r="E106" s="54"/>
      <c r="F106" s="54"/>
      <c r="G106" s="55" t="e">
        <f t="shared" si="6"/>
        <v>#N/A</v>
      </c>
      <c r="H106" s="55" t="e">
        <f t="shared" si="7"/>
        <v>#N/A</v>
      </c>
      <c r="I106" s="55" t="e">
        <f t="shared" si="8"/>
        <v>#N/A</v>
      </c>
      <c r="J106" s="55" t="e">
        <f t="shared" si="9"/>
        <v>#N/A</v>
      </c>
      <c r="K106" s="55" t="e">
        <f t="shared" si="10"/>
        <v>#N/A</v>
      </c>
      <c r="L106" s="59" t="e">
        <f t="shared" si="11"/>
        <v>#N/A</v>
      </c>
      <c r="N106" s="42"/>
    </row>
    <row r="107" spans="2:14">
      <c r="B107" s="58">
        <v>13.5</v>
      </c>
      <c r="C107" s="57"/>
      <c r="D107" s="57"/>
      <c r="E107" s="57"/>
      <c r="F107" s="57"/>
      <c r="G107" s="58" t="e">
        <f t="shared" si="6"/>
        <v>#N/A</v>
      </c>
      <c r="H107" s="58" t="e">
        <f t="shared" si="7"/>
        <v>#N/A</v>
      </c>
      <c r="I107" s="58" t="e">
        <f t="shared" si="8"/>
        <v>#N/A</v>
      </c>
      <c r="J107" s="58" t="e">
        <f t="shared" si="9"/>
        <v>#N/A</v>
      </c>
      <c r="K107" s="58" t="e">
        <f t="shared" si="10"/>
        <v>#N/A</v>
      </c>
      <c r="L107" s="60" t="e">
        <f t="shared" si="11"/>
        <v>#N/A</v>
      </c>
      <c r="N107" s="42"/>
    </row>
    <row r="108" spans="2:14">
      <c r="B108" s="55">
        <v>13.6</v>
      </c>
      <c r="C108" s="54"/>
      <c r="D108" s="54"/>
      <c r="E108" s="54"/>
      <c r="F108" s="54"/>
      <c r="G108" s="55" t="e">
        <f t="shared" si="6"/>
        <v>#N/A</v>
      </c>
      <c r="H108" s="55" t="e">
        <f t="shared" si="7"/>
        <v>#N/A</v>
      </c>
      <c r="I108" s="55" t="e">
        <f t="shared" si="8"/>
        <v>#N/A</v>
      </c>
      <c r="J108" s="55" t="e">
        <f t="shared" si="9"/>
        <v>#N/A</v>
      </c>
      <c r="K108" s="55" t="e">
        <f t="shared" si="10"/>
        <v>#N/A</v>
      </c>
      <c r="L108" s="59" t="e">
        <f t="shared" si="11"/>
        <v>#N/A</v>
      </c>
      <c r="N108" s="42"/>
    </row>
    <row r="109" spans="2:14">
      <c r="B109" s="58">
        <v>14.1</v>
      </c>
      <c r="C109" s="57"/>
      <c r="D109" s="57"/>
      <c r="E109" s="57"/>
      <c r="F109" s="57"/>
      <c r="G109" s="58" t="e">
        <f t="shared" si="6"/>
        <v>#N/A</v>
      </c>
      <c r="H109" s="58" t="e">
        <f t="shared" si="7"/>
        <v>#N/A</v>
      </c>
      <c r="I109" s="58" t="e">
        <f t="shared" si="8"/>
        <v>#N/A</v>
      </c>
      <c r="J109" s="58" t="e">
        <f t="shared" si="9"/>
        <v>#N/A</v>
      </c>
      <c r="K109" s="58" t="e">
        <f t="shared" si="10"/>
        <v>#N/A</v>
      </c>
      <c r="L109" s="60" t="e">
        <f t="shared" si="11"/>
        <v>#N/A</v>
      </c>
      <c r="N109" s="42"/>
    </row>
    <row r="110" spans="2:14">
      <c r="B110" s="55">
        <v>14.2</v>
      </c>
      <c r="C110" s="54"/>
      <c r="D110" s="54"/>
      <c r="E110" s="54"/>
      <c r="F110" s="54"/>
      <c r="G110" s="55" t="e">
        <f t="shared" si="6"/>
        <v>#N/A</v>
      </c>
      <c r="H110" s="55" t="e">
        <f t="shared" si="7"/>
        <v>#N/A</v>
      </c>
      <c r="I110" s="55" t="e">
        <f t="shared" si="8"/>
        <v>#N/A</v>
      </c>
      <c r="J110" s="55" t="e">
        <f t="shared" si="9"/>
        <v>#N/A</v>
      </c>
      <c r="K110" s="55" t="e">
        <f t="shared" si="10"/>
        <v>#N/A</v>
      </c>
      <c r="L110" s="59" t="e">
        <f t="shared" si="11"/>
        <v>#N/A</v>
      </c>
      <c r="N110" s="42"/>
    </row>
    <row r="111" spans="2:14">
      <c r="B111" s="58">
        <v>14.3</v>
      </c>
      <c r="C111" s="57"/>
      <c r="D111" s="57"/>
      <c r="E111" s="57"/>
      <c r="F111" s="57"/>
      <c r="G111" s="58" t="e">
        <f t="shared" si="6"/>
        <v>#N/A</v>
      </c>
      <c r="H111" s="58" t="e">
        <f t="shared" si="7"/>
        <v>#N/A</v>
      </c>
      <c r="I111" s="58" t="e">
        <f t="shared" si="8"/>
        <v>#N/A</v>
      </c>
      <c r="J111" s="58" t="e">
        <f t="shared" si="9"/>
        <v>#N/A</v>
      </c>
      <c r="K111" s="58" t="e">
        <f t="shared" si="10"/>
        <v>#N/A</v>
      </c>
      <c r="L111" s="60" t="e">
        <f t="shared" si="11"/>
        <v>#N/A</v>
      </c>
      <c r="N111" s="42"/>
    </row>
    <row r="112" spans="2:14">
      <c r="B112" s="55">
        <v>14.4</v>
      </c>
      <c r="C112" s="54"/>
      <c r="D112" s="54"/>
      <c r="E112" s="54"/>
      <c r="F112" s="54"/>
      <c r="G112" s="55" t="e">
        <f t="shared" si="6"/>
        <v>#N/A</v>
      </c>
      <c r="H112" s="55" t="e">
        <f t="shared" si="7"/>
        <v>#N/A</v>
      </c>
      <c r="I112" s="55" t="e">
        <f t="shared" si="8"/>
        <v>#N/A</v>
      </c>
      <c r="J112" s="55" t="e">
        <f t="shared" si="9"/>
        <v>#N/A</v>
      </c>
      <c r="K112" s="55" t="e">
        <f t="shared" si="10"/>
        <v>#N/A</v>
      </c>
      <c r="L112" s="59" t="e">
        <f t="shared" si="11"/>
        <v>#N/A</v>
      </c>
      <c r="N112" s="42"/>
    </row>
    <row r="113" spans="2:14">
      <c r="B113" s="58">
        <v>14.5</v>
      </c>
      <c r="C113" s="57"/>
      <c r="D113" s="57"/>
      <c r="E113" s="57"/>
      <c r="F113" s="57"/>
      <c r="G113" s="58" t="e">
        <f t="shared" si="6"/>
        <v>#N/A</v>
      </c>
      <c r="H113" s="58" t="e">
        <f t="shared" si="7"/>
        <v>#N/A</v>
      </c>
      <c r="I113" s="58" t="e">
        <f t="shared" si="8"/>
        <v>#N/A</v>
      </c>
      <c r="J113" s="58" t="e">
        <f t="shared" si="9"/>
        <v>#N/A</v>
      </c>
      <c r="K113" s="58" t="e">
        <f t="shared" si="10"/>
        <v>#N/A</v>
      </c>
      <c r="L113" s="60" t="e">
        <f t="shared" si="11"/>
        <v>#N/A</v>
      </c>
      <c r="N113" s="42"/>
    </row>
    <row r="114" spans="2:14">
      <c r="B114" s="55">
        <v>14.6</v>
      </c>
      <c r="C114" s="54"/>
      <c r="D114" s="54"/>
      <c r="E114" s="54"/>
      <c r="F114" s="54"/>
      <c r="G114" s="55" t="e">
        <f t="shared" si="6"/>
        <v>#N/A</v>
      </c>
      <c r="H114" s="55" t="e">
        <f t="shared" si="7"/>
        <v>#N/A</v>
      </c>
      <c r="I114" s="55" t="e">
        <f t="shared" si="8"/>
        <v>#N/A</v>
      </c>
      <c r="J114" s="55" t="e">
        <f t="shared" si="9"/>
        <v>#N/A</v>
      </c>
      <c r="K114" s="55" t="e">
        <f t="shared" si="10"/>
        <v>#N/A</v>
      </c>
      <c r="L114" s="59" t="e">
        <f t="shared" si="11"/>
        <v>#N/A</v>
      </c>
      <c r="N114" s="42"/>
    </row>
    <row r="115" spans="2:14">
      <c r="B115" s="58">
        <v>14.7</v>
      </c>
      <c r="C115" s="57"/>
      <c r="D115" s="57"/>
      <c r="E115" s="57"/>
      <c r="F115" s="57"/>
      <c r="G115" s="58" t="e">
        <f t="shared" si="6"/>
        <v>#N/A</v>
      </c>
      <c r="H115" s="58" t="e">
        <f t="shared" si="7"/>
        <v>#N/A</v>
      </c>
      <c r="I115" s="58" t="e">
        <f t="shared" si="8"/>
        <v>#N/A</v>
      </c>
      <c r="J115" s="58" t="e">
        <f t="shared" si="9"/>
        <v>#N/A</v>
      </c>
      <c r="K115" s="58" t="e">
        <f t="shared" si="10"/>
        <v>#N/A</v>
      </c>
      <c r="L115" s="60" t="e">
        <f t="shared" si="11"/>
        <v>#N/A</v>
      </c>
      <c r="N115" s="42"/>
    </row>
    <row r="116" spans="2:14">
      <c r="B116" s="55">
        <v>14.8</v>
      </c>
      <c r="C116" s="54"/>
      <c r="D116" s="54"/>
      <c r="E116" s="54"/>
      <c r="F116" s="54"/>
      <c r="G116" s="55" t="e">
        <f t="shared" si="6"/>
        <v>#N/A</v>
      </c>
      <c r="H116" s="55" t="e">
        <f t="shared" si="7"/>
        <v>#N/A</v>
      </c>
      <c r="I116" s="55" t="e">
        <f t="shared" si="8"/>
        <v>#N/A</v>
      </c>
      <c r="J116" s="55" t="e">
        <f t="shared" si="9"/>
        <v>#N/A</v>
      </c>
      <c r="K116" s="55" t="e">
        <f t="shared" si="10"/>
        <v>#N/A</v>
      </c>
      <c r="L116" s="59" t="e">
        <f t="shared" si="11"/>
        <v>#N/A</v>
      </c>
      <c r="N116" s="42"/>
    </row>
    <row r="117" spans="2:14">
      <c r="B117" s="58">
        <v>14.9</v>
      </c>
      <c r="C117" s="57"/>
      <c r="D117" s="57"/>
      <c r="E117" s="57"/>
      <c r="F117" s="57"/>
      <c r="G117" s="58" t="e">
        <f t="shared" si="6"/>
        <v>#N/A</v>
      </c>
      <c r="H117" s="58" t="e">
        <f t="shared" si="7"/>
        <v>#N/A</v>
      </c>
      <c r="I117" s="58" t="e">
        <f t="shared" si="8"/>
        <v>#N/A</v>
      </c>
      <c r="J117" s="58" t="e">
        <f t="shared" si="9"/>
        <v>#N/A</v>
      </c>
      <c r="K117" s="58" t="e">
        <f t="shared" si="10"/>
        <v>#N/A</v>
      </c>
      <c r="L117" s="60" t="e">
        <f t="shared" si="11"/>
        <v>#N/A</v>
      </c>
      <c r="N117" s="42"/>
    </row>
    <row r="118" spans="2:14">
      <c r="B118" s="55">
        <v>15.1</v>
      </c>
      <c r="C118" s="54"/>
      <c r="D118" s="54"/>
      <c r="E118" s="54"/>
      <c r="F118" s="54"/>
      <c r="G118" s="55" t="e">
        <f t="shared" si="6"/>
        <v>#N/A</v>
      </c>
      <c r="H118" s="55" t="e">
        <f t="shared" si="7"/>
        <v>#N/A</v>
      </c>
      <c r="I118" s="55" t="e">
        <f t="shared" si="8"/>
        <v>#N/A</v>
      </c>
      <c r="J118" s="55" t="e">
        <f t="shared" si="9"/>
        <v>#N/A</v>
      </c>
      <c r="K118" s="55" t="e">
        <f t="shared" si="10"/>
        <v>#N/A</v>
      </c>
      <c r="L118" s="59" t="e">
        <f t="shared" si="11"/>
        <v>#N/A</v>
      </c>
      <c r="N118" s="42"/>
    </row>
    <row r="119" spans="2:14">
      <c r="B119" s="58">
        <v>15.2</v>
      </c>
      <c r="C119" s="57"/>
      <c r="D119" s="57"/>
      <c r="E119" s="57"/>
      <c r="F119" s="57"/>
      <c r="G119" s="58" t="e">
        <f t="shared" si="6"/>
        <v>#N/A</v>
      </c>
      <c r="H119" s="58" t="e">
        <f t="shared" si="7"/>
        <v>#N/A</v>
      </c>
      <c r="I119" s="58" t="e">
        <f t="shared" si="8"/>
        <v>#N/A</v>
      </c>
      <c r="J119" s="58" t="e">
        <f t="shared" si="9"/>
        <v>#N/A</v>
      </c>
      <c r="K119" s="58" t="e">
        <f t="shared" si="10"/>
        <v>#N/A</v>
      </c>
      <c r="L119" s="60" t="e">
        <f t="shared" si="11"/>
        <v>#N/A</v>
      </c>
      <c r="N119" s="42"/>
    </row>
    <row r="120" spans="2:14">
      <c r="B120" s="55">
        <v>15.3</v>
      </c>
      <c r="C120" s="54"/>
      <c r="D120" s="54"/>
      <c r="E120" s="54"/>
      <c r="F120" s="54"/>
      <c r="G120" s="55" t="e">
        <f t="shared" si="6"/>
        <v>#N/A</v>
      </c>
      <c r="H120" s="55" t="e">
        <f t="shared" si="7"/>
        <v>#N/A</v>
      </c>
      <c r="I120" s="55" t="e">
        <f t="shared" si="8"/>
        <v>#N/A</v>
      </c>
      <c r="J120" s="55" t="e">
        <f t="shared" si="9"/>
        <v>#N/A</v>
      </c>
      <c r="K120" s="55" t="e">
        <f t="shared" si="10"/>
        <v>#N/A</v>
      </c>
      <c r="L120" s="59" t="e">
        <f t="shared" si="11"/>
        <v>#N/A</v>
      </c>
      <c r="N120" s="42"/>
    </row>
    <row r="121" spans="2:14">
      <c r="B121" s="58">
        <v>15.4</v>
      </c>
      <c r="C121" s="57"/>
      <c r="D121" s="57"/>
      <c r="E121" s="57"/>
      <c r="F121" s="57"/>
      <c r="G121" s="58" t="e">
        <f t="shared" si="6"/>
        <v>#N/A</v>
      </c>
      <c r="H121" s="58" t="e">
        <f t="shared" si="7"/>
        <v>#N/A</v>
      </c>
      <c r="I121" s="58" t="e">
        <f t="shared" si="8"/>
        <v>#N/A</v>
      </c>
      <c r="J121" s="58" t="e">
        <f t="shared" si="9"/>
        <v>#N/A</v>
      </c>
      <c r="K121" s="58" t="e">
        <f t="shared" si="10"/>
        <v>#N/A</v>
      </c>
      <c r="L121" s="60" t="e">
        <f t="shared" si="11"/>
        <v>#N/A</v>
      </c>
      <c r="N121" s="42"/>
    </row>
    <row r="122" spans="2:14">
      <c r="B122" s="55">
        <v>16.100000000000001</v>
      </c>
      <c r="C122" s="54"/>
      <c r="D122" s="54"/>
      <c r="E122" s="54"/>
      <c r="F122" s="54"/>
      <c r="G122" s="55" t="e">
        <f t="shared" si="6"/>
        <v>#N/A</v>
      </c>
      <c r="H122" s="55" t="e">
        <f t="shared" si="7"/>
        <v>#N/A</v>
      </c>
      <c r="I122" s="55" t="e">
        <f t="shared" si="8"/>
        <v>#N/A</v>
      </c>
      <c r="J122" s="55" t="e">
        <f t="shared" si="9"/>
        <v>#N/A</v>
      </c>
      <c r="K122" s="55" t="e">
        <f t="shared" si="10"/>
        <v>#N/A</v>
      </c>
      <c r="L122" s="59" t="e">
        <f t="shared" si="11"/>
        <v>#N/A</v>
      </c>
      <c r="N122" s="42"/>
    </row>
    <row r="123" spans="2:14">
      <c r="B123" s="58">
        <v>16.2</v>
      </c>
      <c r="C123" s="57"/>
      <c r="D123" s="57"/>
      <c r="E123" s="57"/>
      <c r="F123" s="57"/>
      <c r="G123" s="58" t="e">
        <f t="shared" si="6"/>
        <v>#N/A</v>
      </c>
      <c r="H123" s="58" t="e">
        <f t="shared" si="7"/>
        <v>#N/A</v>
      </c>
      <c r="I123" s="58" t="e">
        <f t="shared" si="8"/>
        <v>#N/A</v>
      </c>
      <c r="J123" s="58" t="e">
        <f t="shared" si="9"/>
        <v>#N/A</v>
      </c>
      <c r="K123" s="58" t="e">
        <f t="shared" si="10"/>
        <v>#N/A</v>
      </c>
      <c r="L123" s="60" t="e">
        <f t="shared" si="11"/>
        <v>#N/A</v>
      </c>
      <c r="N123" s="42"/>
    </row>
    <row r="124" spans="2:14">
      <c r="B124" s="55">
        <v>16.3</v>
      </c>
      <c r="C124" s="54"/>
      <c r="D124" s="54"/>
      <c r="E124" s="54"/>
      <c r="F124" s="54"/>
      <c r="G124" s="55" t="e">
        <f t="shared" si="6"/>
        <v>#N/A</v>
      </c>
      <c r="H124" s="55" t="e">
        <f t="shared" si="7"/>
        <v>#N/A</v>
      </c>
      <c r="I124" s="55" t="e">
        <f t="shared" si="8"/>
        <v>#N/A</v>
      </c>
      <c r="J124" s="55" t="e">
        <f t="shared" si="9"/>
        <v>#N/A</v>
      </c>
      <c r="K124" s="55" t="e">
        <f t="shared" si="10"/>
        <v>#N/A</v>
      </c>
      <c r="L124" s="59" t="e">
        <f t="shared" si="11"/>
        <v>#N/A</v>
      </c>
      <c r="N124" s="42"/>
    </row>
    <row r="125" spans="2:14">
      <c r="B125" s="58">
        <v>16.399999999999999</v>
      </c>
      <c r="C125" s="57"/>
      <c r="D125" s="57"/>
      <c r="E125" s="57"/>
      <c r="F125" s="57"/>
      <c r="G125" s="58" t="e">
        <f t="shared" si="6"/>
        <v>#N/A</v>
      </c>
      <c r="H125" s="58" t="e">
        <f t="shared" si="7"/>
        <v>#N/A</v>
      </c>
      <c r="I125" s="58" t="e">
        <f t="shared" si="8"/>
        <v>#N/A</v>
      </c>
      <c r="J125" s="58" t="e">
        <f t="shared" si="9"/>
        <v>#N/A</v>
      </c>
      <c r="K125" s="58" t="e">
        <f t="shared" si="10"/>
        <v>#N/A</v>
      </c>
      <c r="L125" s="60" t="e">
        <f t="shared" si="11"/>
        <v>#N/A</v>
      </c>
      <c r="N125" s="42"/>
    </row>
    <row r="126" spans="2:14">
      <c r="B126" s="55">
        <v>16.5</v>
      </c>
      <c r="C126" s="54"/>
      <c r="D126" s="54"/>
      <c r="E126" s="54"/>
      <c r="F126" s="54"/>
      <c r="G126" s="55" t="e">
        <f t="shared" si="6"/>
        <v>#N/A</v>
      </c>
      <c r="H126" s="55" t="e">
        <f t="shared" si="7"/>
        <v>#N/A</v>
      </c>
      <c r="I126" s="55" t="e">
        <f t="shared" si="8"/>
        <v>#N/A</v>
      </c>
      <c r="J126" s="55" t="e">
        <f t="shared" si="9"/>
        <v>#N/A</v>
      </c>
      <c r="K126" s="55" t="e">
        <f t="shared" si="10"/>
        <v>#N/A</v>
      </c>
      <c r="L126" s="59" t="e">
        <f t="shared" si="11"/>
        <v>#N/A</v>
      </c>
      <c r="N126" s="42"/>
    </row>
    <row r="127" spans="2:14">
      <c r="B127" s="58">
        <v>16.600000000000001</v>
      </c>
      <c r="C127" s="57"/>
      <c r="D127" s="57"/>
      <c r="E127" s="57"/>
      <c r="F127" s="57"/>
      <c r="G127" s="58" t="e">
        <f t="shared" si="6"/>
        <v>#N/A</v>
      </c>
      <c r="H127" s="58" t="e">
        <f t="shared" si="7"/>
        <v>#N/A</v>
      </c>
      <c r="I127" s="58" t="e">
        <f t="shared" si="8"/>
        <v>#N/A</v>
      </c>
      <c r="J127" s="58" t="e">
        <f t="shared" si="9"/>
        <v>#N/A</v>
      </c>
      <c r="K127" s="58" t="e">
        <f t="shared" si="10"/>
        <v>#N/A</v>
      </c>
      <c r="L127" s="60" t="e">
        <f t="shared" si="11"/>
        <v>#N/A</v>
      </c>
      <c r="N127" s="42"/>
    </row>
    <row r="128" spans="2:14">
      <c r="B128" s="55">
        <v>16.7</v>
      </c>
      <c r="C128" s="54"/>
      <c r="D128" s="54"/>
      <c r="E128" s="54"/>
      <c r="F128" s="54"/>
      <c r="G128" s="55" t="e">
        <f t="shared" si="6"/>
        <v>#N/A</v>
      </c>
      <c r="H128" s="55" t="e">
        <f t="shared" si="7"/>
        <v>#N/A</v>
      </c>
      <c r="I128" s="55" t="e">
        <f t="shared" si="8"/>
        <v>#N/A</v>
      </c>
      <c r="J128" s="55" t="e">
        <f t="shared" si="9"/>
        <v>#N/A</v>
      </c>
      <c r="K128" s="55" t="e">
        <f t="shared" si="10"/>
        <v>#N/A</v>
      </c>
      <c r="L128" s="59" t="e">
        <f t="shared" si="11"/>
        <v>#N/A</v>
      </c>
      <c r="N128" s="42"/>
    </row>
    <row r="129" spans="2:14">
      <c r="B129" s="58">
        <v>16.8</v>
      </c>
      <c r="C129" s="57"/>
      <c r="D129" s="57"/>
      <c r="E129" s="57"/>
      <c r="F129" s="57"/>
      <c r="G129" s="58" t="e">
        <f t="shared" si="6"/>
        <v>#N/A</v>
      </c>
      <c r="H129" s="58" t="e">
        <f t="shared" si="7"/>
        <v>#N/A</v>
      </c>
      <c r="I129" s="58" t="e">
        <f t="shared" si="8"/>
        <v>#N/A</v>
      </c>
      <c r="J129" s="58" t="e">
        <f t="shared" si="9"/>
        <v>#N/A</v>
      </c>
      <c r="K129" s="58" t="e">
        <f t="shared" si="10"/>
        <v>#N/A</v>
      </c>
      <c r="L129" s="60" t="e">
        <f t="shared" si="11"/>
        <v>#N/A</v>
      </c>
      <c r="N129" s="42"/>
    </row>
    <row r="130" spans="2:14">
      <c r="B130" s="55">
        <v>16.899999999999999</v>
      </c>
      <c r="C130" s="54"/>
      <c r="D130" s="54"/>
      <c r="E130" s="54"/>
      <c r="F130" s="54"/>
      <c r="G130" s="55" t="e">
        <f t="shared" si="6"/>
        <v>#N/A</v>
      </c>
      <c r="H130" s="55" t="e">
        <f t="shared" si="7"/>
        <v>#N/A</v>
      </c>
      <c r="I130" s="55" t="e">
        <f t="shared" si="8"/>
        <v>#N/A</v>
      </c>
      <c r="J130" s="55" t="e">
        <f t="shared" si="9"/>
        <v>#N/A</v>
      </c>
      <c r="K130" s="55" t="e">
        <f t="shared" si="10"/>
        <v>#N/A</v>
      </c>
      <c r="L130" s="59" t="e">
        <f t="shared" si="11"/>
        <v>#N/A</v>
      </c>
      <c r="N130" s="42"/>
    </row>
    <row r="131" spans="2:14">
      <c r="B131" s="90">
        <v>16.100000000000001</v>
      </c>
      <c r="C131" s="57"/>
      <c r="D131" s="57"/>
      <c r="E131" s="57"/>
      <c r="F131" s="57"/>
      <c r="G131" s="58" t="e">
        <f t="shared" si="6"/>
        <v>#N/A</v>
      </c>
      <c r="H131" s="58" t="e">
        <f t="shared" si="7"/>
        <v>#N/A</v>
      </c>
      <c r="I131" s="58" t="e">
        <f t="shared" si="8"/>
        <v>#N/A</v>
      </c>
      <c r="J131" s="58" t="e">
        <f t="shared" si="9"/>
        <v>#N/A</v>
      </c>
      <c r="K131" s="58" t="e">
        <f t="shared" si="10"/>
        <v>#N/A</v>
      </c>
      <c r="L131" s="60" t="e">
        <f t="shared" si="11"/>
        <v>#N/A</v>
      </c>
      <c r="N131" s="42"/>
    </row>
    <row r="132" spans="2:14">
      <c r="B132" s="55">
        <v>16.11</v>
      </c>
      <c r="C132" s="54"/>
      <c r="D132" s="54"/>
      <c r="E132" s="54"/>
      <c r="F132" s="54"/>
      <c r="G132" s="55" t="e">
        <f t="shared" si="6"/>
        <v>#N/A</v>
      </c>
      <c r="H132" s="55" t="e">
        <f t="shared" si="7"/>
        <v>#N/A</v>
      </c>
      <c r="I132" s="55" t="e">
        <f t="shared" si="8"/>
        <v>#N/A</v>
      </c>
      <c r="J132" s="55" t="e">
        <f t="shared" si="9"/>
        <v>#N/A</v>
      </c>
      <c r="K132" s="55" t="e">
        <f t="shared" si="10"/>
        <v>#N/A</v>
      </c>
      <c r="L132" s="59" t="e">
        <f t="shared" si="11"/>
        <v>#N/A</v>
      </c>
      <c r="N132" s="42"/>
    </row>
    <row r="133" spans="2:14">
      <c r="B133" s="58">
        <v>17.100000000000001</v>
      </c>
      <c r="C133" s="57"/>
      <c r="D133" s="57"/>
      <c r="E133" s="57"/>
      <c r="F133" s="57"/>
      <c r="G133" s="58" t="e">
        <f t="shared" si="6"/>
        <v>#N/A</v>
      </c>
      <c r="H133" s="58" t="e">
        <f t="shared" si="7"/>
        <v>#N/A</v>
      </c>
      <c r="I133" s="58" t="e">
        <f t="shared" si="8"/>
        <v>#N/A</v>
      </c>
      <c r="J133" s="58" t="e">
        <f t="shared" si="9"/>
        <v>#N/A</v>
      </c>
      <c r="K133" s="58" t="e">
        <f t="shared" si="10"/>
        <v>#N/A</v>
      </c>
      <c r="L133" s="60" t="e">
        <f t="shared" si="11"/>
        <v>#N/A</v>
      </c>
      <c r="N133" s="42"/>
    </row>
    <row r="134" spans="2:14">
      <c r="B134" s="55">
        <v>17.2</v>
      </c>
      <c r="C134" s="54"/>
      <c r="D134" s="54"/>
      <c r="E134" s="54"/>
      <c r="F134" s="54"/>
      <c r="G134" s="55" t="e">
        <f t="shared" si="6"/>
        <v>#N/A</v>
      </c>
      <c r="H134" s="55" t="e">
        <f t="shared" si="7"/>
        <v>#N/A</v>
      </c>
      <c r="I134" s="55" t="e">
        <f t="shared" si="8"/>
        <v>#N/A</v>
      </c>
      <c r="J134" s="55" t="e">
        <f t="shared" si="9"/>
        <v>#N/A</v>
      </c>
      <c r="K134" s="55" t="e">
        <f t="shared" si="10"/>
        <v>#N/A</v>
      </c>
      <c r="L134" s="59" t="e">
        <f t="shared" si="11"/>
        <v>#N/A</v>
      </c>
      <c r="N134" s="42"/>
    </row>
    <row r="135" spans="2:14">
      <c r="B135" s="58">
        <v>17.3</v>
      </c>
      <c r="C135" s="57"/>
      <c r="D135" s="57"/>
      <c r="E135" s="57"/>
      <c r="F135" s="57"/>
      <c r="G135" s="58" t="e">
        <f t="shared" si="6"/>
        <v>#N/A</v>
      </c>
      <c r="H135" s="58" t="e">
        <f t="shared" si="7"/>
        <v>#N/A</v>
      </c>
      <c r="I135" s="58" t="e">
        <f t="shared" si="8"/>
        <v>#N/A</v>
      </c>
      <c r="J135" s="58" t="e">
        <f t="shared" si="9"/>
        <v>#N/A</v>
      </c>
      <c r="K135" s="58" t="e">
        <f t="shared" si="10"/>
        <v>#N/A</v>
      </c>
      <c r="L135" s="60" t="e">
        <f t="shared" si="11"/>
        <v>#N/A</v>
      </c>
      <c r="N135" s="42"/>
    </row>
    <row r="136" spans="2:14">
      <c r="B136" s="55">
        <v>17.399999999999999</v>
      </c>
      <c r="C136" s="54"/>
      <c r="D136" s="54"/>
      <c r="E136" s="54"/>
      <c r="F136" s="54"/>
      <c r="G136" s="55" t="e">
        <f t="shared" si="6"/>
        <v>#N/A</v>
      </c>
      <c r="H136" s="55" t="e">
        <f t="shared" si="7"/>
        <v>#N/A</v>
      </c>
      <c r="I136" s="55" t="e">
        <f t="shared" si="8"/>
        <v>#N/A</v>
      </c>
      <c r="J136" s="55" t="e">
        <f t="shared" si="9"/>
        <v>#N/A</v>
      </c>
      <c r="K136" s="55" t="e">
        <f t="shared" si="10"/>
        <v>#N/A</v>
      </c>
      <c r="L136" s="59" t="e">
        <f t="shared" si="11"/>
        <v>#N/A</v>
      </c>
      <c r="N136" s="42"/>
    </row>
    <row r="137" spans="2:14">
      <c r="B137" s="58">
        <v>17.5</v>
      </c>
      <c r="C137" s="57"/>
      <c r="D137" s="57"/>
      <c r="E137" s="57"/>
      <c r="F137" s="57"/>
      <c r="G137" s="58" t="e">
        <f t="shared" si="6"/>
        <v>#N/A</v>
      </c>
      <c r="H137" s="58" t="e">
        <f t="shared" si="7"/>
        <v>#N/A</v>
      </c>
      <c r="I137" s="58" t="e">
        <f t="shared" si="8"/>
        <v>#N/A</v>
      </c>
      <c r="J137" s="58" t="e">
        <f t="shared" si="9"/>
        <v>#N/A</v>
      </c>
      <c r="K137" s="58" t="e">
        <f t="shared" si="10"/>
        <v>#N/A</v>
      </c>
      <c r="L137" s="60" t="e">
        <f t="shared" si="11"/>
        <v>#N/A</v>
      </c>
      <c r="N137" s="42"/>
    </row>
    <row r="138" spans="2:14">
      <c r="B138" s="55">
        <v>17.600000000000001</v>
      </c>
      <c r="C138" s="54"/>
      <c r="D138" s="54"/>
      <c r="E138" s="54"/>
      <c r="F138" s="54"/>
      <c r="G138" s="55" t="e">
        <f t="shared" si="6"/>
        <v>#N/A</v>
      </c>
      <c r="H138" s="55" t="e">
        <f t="shared" si="7"/>
        <v>#N/A</v>
      </c>
      <c r="I138" s="55" t="e">
        <f t="shared" si="8"/>
        <v>#N/A</v>
      </c>
      <c r="J138" s="55" t="e">
        <f t="shared" si="9"/>
        <v>#N/A</v>
      </c>
      <c r="K138" s="55" t="e">
        <f t="shared" si="10"/>
        <v>#N/A</v>
      </c>
      <c r="L138" s="59" t="e">
        <f t="shared" si="11"/>
        <v>#N/A</v>
      </c>
      <c r="N138" s="42"/>
    </row>
    <row r="139" spans="2:14">
      <c r="B139" s="58">
        <v>17.7</v>
      </c>
      <c r="C139" s="57"/>
      <c r="D139" s="57"/>
      <c r="E139" s="57"/>
      <c r="F139" s="57"/>
      <c r="G139" s="58" t="e">
        <f t="shared" si="6"/>
        <v>#N/A</v>
      </c>
      <c r="H139" s="58" t="e">
        <f t="shared" si="7"/>
        <v>#N/A</v>
      </c>
      <c r="I139" s="58" t="e">
        <f t="shared" si="8"/>
        <v>#N/A</v>
      </c>
      <c r="J139" s="58" t="e">
        <f t="shared" si="9"/>
        <v>#N/A</v>
      </c>
      <c r="K139" s="58" t="e">
        <f t="shared" si="10"/>
        <v>#N/A</v>
      </c>
      <c r="L139" s="60" t="e">
        <f t="shared" si="11"/>
        <v>#N/A</v>
      </c>
      <c r="N139" s="42"/>
    </row>
    <row r="140" spans="2:14">
      <c r="B140" s="55">
        <v>17.8</v>
      </c>
      <c r="C140" s="54"/>
      <c r="D140" s="54"/>
      <c r="E140" s="54"/>
      <c r="F140" s="54"/>
      <c r="G140" s="55" t="e">
        <f t="shared" si="6"/>
        <v>#N/A</v>
      </c>
      <c r="H140" s="55" t="e">
        <f t="shared" si="7"/>
        <v>#N/A</v>
      </c>
      <c r="I140" s="55" t="e">
        <f t="shared" si="8"/>
        <v>#N/A</v>
      </c>
      <c r="J140" s="55" t="e">
        <f t="shared" si="9"/>
        <v>#N/A</v>
      </c>
      <c r="K140" s="55" t="e">
        <f t="shared" si="10"/>
        <v>#N/A</v>
      </c>
      <c r="L140" s="59" t="e">
        <f t="shared" si="11"/>
        <v>#N/A</v>
      </c>
      <c r="N140" s="42"/>
    </row>
    <row r="141" spans="2:14">
      <c r="B141" s="58">
        <v>18.100000000000001</v>
      </c>
      <c r="C141" s="57"/>
      <c r="D141" s="57"/>
      <c r="E141" s="57"/>
      <c r="F141" s="57"/>
      <c r="G141" s="58" t="e">
        <f t="shared" si="6"/>
        <v>#N/A</v>
      </c>
      <c r="H141" s="58" t="e">
        <f t="shared" si="7"/>
        <v>#N/A</v>
      </c>
      <c r="I141" s="58" t="e">
        <f t="shared" si="8"/>
        <v>#N/A</v>
      </c>
      <c r="J141" s="58" t="e">
        <f t="shared" si="9"/>
        <v>#N/A</v>
      </c>
      <c r="K141" s="58" t="e">
        <f t="shared" si="10"/>
        <v>#N/A</v>
      </c>
      <c r="L141" s="60" t="e">
        <f t="shared" si="11"/>
        <v>#N/A</v>
      </c>
      <c r="N141" s="42"/>
    </row>
    <row r="142" spans="2:14">
      <c r="B142" s="55">
        <v>18.2</v>
      </c>
      <c r="C142" s="54"/>
      <c r="D142" s="54"/>
      <c r="E142" s="54"/>
      <c r="F142" s="54"/>
      <c r="G142" s="55" t="e">
        <f t="shared" si="6"/>
        <v>#N/A</v>
      </c>
      <c r="H142" s="55" t="e">
        <f t="shared" si="7"/>
        <v>#N/A</v>
      </c>
      <c r="I142" s="55" t="e">
        <f t="shared" si="8"/>
        <v>#N/A</v>
      </c>
      <c r="J142" s="55" t="e">
        <f t="shared" si="9"/>
        <v>#N/A</v>
      </c>
      <c r="K142" s="55" t="e">
        <f t="shared" si="10"/>
        <v>#N/A</v>
      </c>
      <c r="L142" s="59" t="e">
        <f t="shared" si="11"/>
        <v>#N/A</v>
      </c>
      <c r="N142" s="42"/>
    </row>
    <row r="143" spans="2:14" ht="14" thickBot="1">
      <c r="B143" s="63">
        <v>18.3</v>
      </c>
      <c r="C143" s="62"/>
      <c r="D143" s="62"/>
      <c r="E143" s="62"/>
      <c r="F143" s="62"/>
      <c r="G143" s="63" t="e">
        <f t="shared" ref="G143" si="12">VLOOKUP(C143,$C$4:$G$10,5,FALSE)</f>
        <v>#N/A</v>
      </c>
      <c r="H143" s="63" t="e">
        <f t="shared" ref="H143" si="13">VLOOKUP(D143,$D$4:$G$10,4,FALSE)</f>
        <v>#N/A</v>
      </c>
      <c r="I143" s="63" t="e">
        <f t="shared" ref="I143" si="14">VLOOKUP(E143,$E$4:$G$10,3,FALSE)</f>
        <v>#N/A</v>
      </c>
      <c r="J143" s="63" t="e">
        <f t="shared" ref="J143" si="15">VLOOKUP(F143,$F$4:$G$10,2,FALSE)</f>
        <v>#N/A</v>
      </c>
      <c r="K143" s="63" t="e">
        <f t="shared" ref="K143" si="16">ROUND(AVERAGE(G143:J143),0)</f>
        <v>#N/A</v>
      </c>
      <c r="L143" s="61" t="e">
        <f t="shared" ref="L143" si="17">K143</f>
        <v>#N/A</v>
      </c>
      <c r="N143" s="42"/>
    </row>
    <row r="144" spans="2:14">
      <c r="B144" s="42"/>
      <c r="C144" s="46"/>
      <c r="N144" s="42"/>
    </row>
    <row r="145" spans="2:14">
      <c r="B145" s="42"/>
      <c r="C145" s="46"/>
      <c r="N145" s="42"/>
    </row>
    <row r="146" spans="2:14">
      <c r="B146" s="42"/>
      <c r="C146" s="46"/>
      <c r="N146" s="42"/>
    </row>
    <row r="147" spans="2:14">
      <c r="B147" s="42"/>
      <c r="C147" s="46"/>
      <c r="N147" s="42"/>
    </row>
    <row r="148" spans="2:14">
      <c r="B148" s="42"/>
      <c r="C148" s="46"/>
      <c r="N148" s="42"/>
    </row>
    <row r="149" spans="2:14">
      <c r="B149" s="42"/>
      <c r="C149" s="46"/>
      <c r="N149" s="42"/>
    </row>
    <row r="150" spans="2:14">
      <c r="B150" s="42"/>
      <c r="C150" s="46"/>
      <c r="N150" s="42"/>
    </row>
    <row r="151" spans="2:14">
      <c r="B151" s="42"/>
      <c r="C151" s="46"/>
      <c r="N151" s="42"/>
    </row>
    <row r="152" spans="2:14">
      <c r="B152" s="42"/>
      <c r="C152" s="46"/>
      <c r="N152" s="42"/>
    </row>
    <row r="153" spans="2:14">
      <c r="B153" s="42"/>
      <c r="C153" s="46"/>
      <c r="N153" s="42"/>
    </row>
    <row r="154" spans="2:14">
      <c r="B154" s="42"/>
      <c r="C154" s="46"/>
      <c r="N154" s="42"/>
    </row>
    <row r="155" spans="2:14">
      <c r="B155" s="42"/>
      <c r="C155" s="46"/>
      <c r="N155" s="42"/>
    </row>
  </sheetData>
  <sheetProtection sheet="1" objects="1" scenarios="1"/>
  <mergeCells count="6">
    <mergeCell ref="B1:L1"/>
    <mergeCell ref="I3:O9"/>
    <mergeCell ref="C12:F12"/>
    <mergeCell ref="G12:J12"/>
    <mergeCell ref="K12:K13"/>
    <mergeCell ref="L12:L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EE2A99B948A3E74D82683DEA34A0B629" ma:contentTypeVersion="14" ma:contentTypeDescription="Create a new document." ma:contentTypeScope="" ma:versionID="7b1b15d7da630ba8f32476be9f7c7c74">
  <xsd:schema xmlns:xsd="http://www.w3.org/2001/XMLSchema" xmlns:xs="http://www.w3.org/2001/XMLSchema" xmlns:p="http://schemas.microsoft.com/office/2006/metadata/properties" xmlns:ns2="1ca8c3bf-6909-4544-ae00-cda6071a0e89" xmlns:ns3="14383da4-97a8-4c4e-bdf3-51697a2afc5e" targetNamespace="http://schemas.microsoft.com/office/2006/metadata/properties" ma:root="true" ma:fieldsID="0f3ff40e094fffc93884ec2e9986a59b" ns2:_="" ns3:_="">
    <xsd:import namespace="1ca8c3bf-6909-4544-ae00-cda6071a0e89"/>
    <xsd:import namespace="14383da4-97a8-4c4e-bdf3-51697a2afc5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a8c3bf-6909-4544-ae00-cda6071a0e8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2" nillable="true" ma:displayName="Taxonomy Catch All Column" ma:hidden="true" ma:list="{24a6fd5c-fa14-4674-9f9b-c7e5824768ed}" ma:internalName="TaxCatchAll" ma:showField="CatchAllData" ma:web="1ca8c3bf-6909-4544-ae00-cda6071a0e8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4383da4-97a8-4c4e-bdf3-51697a2afc5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0a0fca-8054-4316-a419-8be4c997ea8c"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TaxCatchAll xmlns="1ca8c3bf-6909-4544-ae00-cda6071a0e89" xsi:nil="true"/>
    <_dlc_DocId xmlns="1ca8c3bf-6909-4544-ae00-cda6071a0e89">E3DAVTDFHYNF-1156252676-141011</_dlc_DocId>
    <_dlc_DocIdUrl xmlns="1ca8c3bf-6909-4544-ae00-cda6071a0e89">
      <Url>https://centerforinternetsecurity.sharepoint.com/sites/CISDocumentLibrary/_layouts/15/DocIdRedir.aspx?ID=E3DAVTDFHYNF-1156252676-141011</Url>
      <Description>E3DAVTDFHYNF-1156252676-141011</Description>
    </_dlc_DocIdUrl>
    <lcf76f155ced4ddcb4097134ff3c332f xmlns="14383da4-97a8-4c4e-bdf3-51697a2afc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807C70-5236-41F0-9881-3A6C1B85CFB2}">
  <ds:schemaRefs>
    <ds:schemaRef ds:uri="http://schemas.microsoft.com/DataMashup"/>
  </ds:schemaRefs>
</ds:datastoreItem>
</file>

<file path=customXml/itemProps2.xml><?xml version="1.0" encoding="utf-8"?>
<ds:datastoreItem xmlns:ds="http://schemas.openxmlformats.org/officeDocument/2006/customXml" ds:itemID="{1FAB4BE7-37A8-48A8-AA46-A90C45337F88}"/>
</file>

<file path=customXml/itemProps3.xml><?xml version="1.0" encoding="utf-8"?>
<ds:datastoreItem xmlns:ds="http://schemas.openxmlformats.org/officeDocument/2006/customXml" ds:itemID="{3036C073-506A-4689-B8B8-FC261E12473D}">
  <ds:schemaRefs>
    <ds:schemaRef ds:uri="http://schemas.microsoft.com/sharepoint/events"/>
  </ds:schemaRefs>
</ds:datastoreItem>
</file>

<file path=customXml/itemProps4.xml><?xml version="1.0" encoding="utf-8"?>
<ds:datastoreItem xmlns:ds="http://schemas.openxmlformats.org/officeDocument/2006/customXml" ds:itemID="{051E9D89-EA01-4F56-AADE-24F0BF3C5E8F}">
  <ds:schemaRefs>
    <ds:schemaRef ds:uri="http://schemas.microsoft.com/sharepoint/v3/contenttype/forms"/>
  </ds:schemaRefs>
</ds:datastoreItem>
</file>

<file path=customXml/itemProps5.xml><?xml version="1.0" encoding="utf-8"?>
<ds:datastoreItem xmlns:ds="http://schemas.openxmlformats.org/officeDocument/2006/customXml" ds:itemID="{429C70A1-A80F-4B8F-BB2A-7C4711483B4E}">
  <ds:schemaRefs>
    <ds:schemaRef ds:uri="http://schemas.microsoft.com/office/2006/documentManagement/types"/>
    <ds:schemaRef ds:uri="http://purl.org/dc/elements/1.1/"/>
    <ds:schemaRef ds:uri="http://schemas.openxmlformats.org/package/2006/metadata/core-properties"/>
    <ds:schemaRef ds:uri="http://purl.org/dc/dcmitype/"/>
    <ds:schemaRef ds:uri="51a3a8b5-de16-4ecc-9fc4-a87a912b3b98"/>
    <ds:schemaRef ds:uri="http://schemas.microsoft.com/office/2006/metadata/properties"/>
    <ds:schemaRef ds:uri="http://schemas.microsoft.com/office/infopath/2007/PartnerControls"/>
    <ds:schemaRef ds:uri="1ca8c3bf-6909-4544-ae00-cda6071a0e89"/>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7</vt:i4>
      </vt:variant>
    </vt:vector>
  </HeadingPairs>
  <TitlesOfParts>
    <vt:vector size="22" baseType="lpstr">
      <vt:lpstr>Cover</vt:lpstr>
      <vt:lpstr>Read_Me</vt:lpstr>
      <vt:lpstr>Important Resources</vt:lpstr>
      <vt:lpstr>1. Impact Criteria Survey </vt:lpstr>
      <vt:lpstr>2. Enterprise Parameters</vt:lpstr>
      <vt:lpstr>3. Risk Register Controls v8.1</vt:lpstr>
      <vt:lpstr>Legend</vt:lpstr>
      <vt:lpstr>Lookup Tables</vt:lpstr>
      <vt:lpstr>CIS CSAT Pro</vt:lpstr>
      <vt:lpstr>CIS-Hosted CSAT</vt:lpstr>
      <vt:lpstr>Impact Criteria Survey-EXAMPLE</vt:lpstr>
      <vt:lpstr>Enterprise Parameters -EXAMPLE</vt:lpstr>
      <vt:lpstr>Risk Register Controls v8.1 Ex</vt:lpstr>
      <vt:lpstr>CIS CSAT Pro - EXAMPLE</vt:lpstr>
      <vt:lpstr>CIS-Hosted CSAT - EXAMPLE</vt:lpstr>
      <vt:lpstr>'CIS CSAT Pro'!_ftn1</vt:lpstr>
      <vt:lpstr>'CIS CSAT Pro'!_ftnref1</vt:lpstr>
      <vt:lpstr>'CIS CSAT Pro'!_Hlk82606169</vt:lpstr>
      <vt:lpstr>AcceptableRisk</vt:lpstr>
      <vt:lpstr>AcceptableRisk1</vt:lpstr>
      <vt:lpstr>Asset_Class</vt:lpstr>
      <vt:lpstr>Maturity_Score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Cronin</dc:creator>
  <cp:lastModifiedBy>Melissa Johnson</cp:lastModifiedBy>
  <dcterms:created xsi:type="dcterms:W3CDTF">2019-10-25T13:04:24Z</dcterms:created>
  <dcterms:modified xsi:type="dcterms:W3CDTF">2025-11-03T15:17:31Z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0x010100EE2A99B948A3E74D82683DEA34A0B629</vt:lpwstr>
  </property>
  <property fmtid="{D5CDD505-2E9C-101B-9397-08002B2CF9AE}" pid="3" name="_dlc_DocIdItemGuid">
    <vt:lpwstr>c7b18691-1c1c-4a2b-8785-bedce6c69a01</vt:lpwstr>
  </property>
  <property fmtid="{D5CDD505-2E9C-101B-9397-08002B2CF9AE}" pid="4" name="MSIP_Label_35ee6e7b-9efa-4f67-8428-04c5b571e08e_Enabled">
    <vt:lpwstr>true</vt:lpwstr>
  </property>
  <property fmtid="{D5CDD505-2E9C-101B-9397-08002B2CF9AE}" pid="5" name="MSIP_Label_35ee6e7b-9efa-4f67-8428-04c5b571e08e_SetDate">
    <vt:lpwstr>2025-06-26T12:49:12Z</vt:lpwstr>
  </property>
  <property fmtid="{D5CDD505-2E9C-101B-9397-08002B2CF9AE}" pid="6" name="MSIP_Label_35ee6e7b-9efa-4f67-8428-04c5b571e08e_Method">
    <vt:lpwstr>Standard</vt:lpwstr>
  </property>
  <property fmtid="{D5CDD505-2E9C-101B-9397-08002B2CF9AE}" pid="7" name="MSIP_Label_35ee6e7b-9efa-4f67-8428-04c5b571e08e_Name">
    <vt:lpwstr>Internal Only - General</vt:lpwstr>
  </property>
  <property fmtid="{D5CDD505-2E9C-101B-9397-08002B2CF9AE}" pid="8" name="MSIP_Label_35ee6e7b-9efa-4f67-8428-04c5b571e08e_SiteId">
    <vt:lpwstr>0db8894b-5a7a-4432-8cdc-399a3807bda0</vt:lpwstr>
  </property>
  <property fmtid="{D5CDD505-2E9C-101B-9397-08002B2CF9AE}" pid="9" name="MSIP_Label_35ee6e7b-9efa-4f67-8428-04c5b571e08e_ActionId">
    <vt:lpwstr>766d3f13-4331-4c0a-9e8f-5097417a3067</vt:lpwstr>
  </property>
  <property fmtid="{D5CDD505-2E9C-101B-9397-08002B2CF9AE}" pid="10" name="MSIP_Label_35ee6e7b-9efa-4f67-8428-04c5b571e08e_ContentBits">
    <vt:lpwstr>0</vt:lpwstr>
  </property>
  <property fmtid="{D5CDD505-2E9C-101B-9397-08002B2CF9AE}" pid="11" name="MSIP_Label_35ee6e7b-9efa-4f67-8428-04c5b571e08e_Tag">
    <vt:lpwstr>10, 3, 0, 1</vt:lpwstr>
  </property>
  <property fmtid="{D5CDD505-2E9C-101B-9397-08002B2CF9AE}" pid="12" name="MediaServiceImageTags">
    <vt:lpwstr/>
  </property>
</Properties>
</file>